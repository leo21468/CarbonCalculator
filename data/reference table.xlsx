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D:\SJTU\Innovation\数据库\"/>
    </mc:Choice>
  </mc:AlternateContent>
  <xr:revisionPtr revIDLastSave="0" documentId="8_{4EF01914-1941-4BFB-ABA9-765AEF90AE70}" xr6:coauthVersionLast="47" xr6:coauthVersionMax="47" xr10:uidLastSave="{00000000-0000-0000-0000-000000000000}"/>
  <bookViews>
    <workbookView xWindow="-110" yWindow="-110" windowWidth="25820" windowHeight="15500" activeTab="1" xr2:uid="{00000000-000D-0000-FFFF-FFFF00000000}"/>
  </bookViews>
  <sheets>
    <sheet name="购销发票税收分类编码" sheetId="1" r:id="rId1"/>
    <sheet name="服务发票税收分类编码" sheetId="2" r:id="rId2"/>
  </sheets>
  <externalReferences>
    <externalReference r:id="rId3"/>
    <externalReference r:id="rId4"/>
    <externalReference r:id="rId5"/>
  </externalReferences>
  <definedNames>
    <definedName name="_xlnm._FilterDatabase" localSheetId="0" hidden="1">购销发票税收分类编码!$A$1:$H$3214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89" i="2" l="1"/>
  <c r="I289" i="2"/>
  <c r="J288" i="2"/>
  <c r="I288" i="2"/>
  <c r="J287" i="2"/>
  <c r="I287" i="2"/>
  <c r="J286" i="2"/>
  <c r="I286" i="2"/>
  <c r="J285" i="2"/>
  <c r="I285" i="2"/>
  <c r="J284" i="2"/>
  <c r="I284" i="2"/>
  <c r="J283" i="2"/>
  <c r="I283" i="2"/>
  <c r="J282" i="2"/>
  <c r="I282" i="2"/>
  <c r="J281" i="2"/>
  <c r="I281" i="2"/>
  <c r="J280" i="2"/>
  <c r="I280" i="2"/>
  <c r="J279" i="2"/>
  <c r="I279" i="2"/>
  <c r="J278" i="2"/>
  <c r="I278" i="2"/>
  <c r="J277" i="2"/>
  <c r="I277" i="2"/>
  <c r="J276" i="2"/>
  <c r="I276" i="2"/>
  <c r="J275" i="2"/>
  <c r="I275" i="2"/>
  <c r="J274" i="2"/>
  <c r="I274" i="2"/>
  <c r="J273" i="2"/>
  <c r="I273" i="2"/>
  <c r="J272" i="2"/>
  <c r="I272" i="2"/>
  <c r="J271" i="2"/>
  <c r="I271" i="2"/>
  <c r="J270" i="2"/>
  <c r="I270" i="2"/>
  <c r="J269" i="2"/>
  <c r="I269" i="2"/>
  <c r="J268" i="2"/>
  <c r="I268" i="2"/>
  <c r="J267" i="2"/>
  <c r="I267" i="2"/>
  <c r="J266" i="2"/>
  <c r="I266" i="2"/>
  <c r="J265" i="2"/>
  <c r="I265" i="2"/>
  <c r="J264" i="2"/>
  <c r="I264" i="2"/>
  <c r="J263" i="2"/>
  <c r="I263" i="2"/>
  <c r="J262" i="2"/>
  <c r="I262" i="2"/>
  <c r="J261" i="2"/>
  <c r="I261" i="2"/>
  <c r="J260" i="2"/>
  <c r="I260" i="2"/>
  <c r="J259" i="2"/>
  <c r="I259" i="2"/>
  <c r="J258" i="2"/>
  <c r="I258" i="2"/>
  <c r="J257" i="2"/>
  <c r="I257" i="2"/>
  <c r="J256" i="2"/>
  <c r="I256" i="2"/>
  <c r="J255" i="2"/>
  <c r="I255" i="2"/>
  <c r="J254" i="2"/>
  <c r="I254" i="2"/>
  <c r="J253" i="2"/>
  <c r="I253" i="2"/>
  <c r="J252" i="2"/>
  <c r="I252" i="2"/>
  <c r="J251" i="2"/>
  <c r="I251" i="2"/>
  <c r="J250" i="2"/>
  <c r="I250" i="2"/>
  <c r="J249" i="2"/>
  <c r="I249" i="2"/>
  <c r="J248" i="2"/>
  <c r="I248" i="2"/>
  <c r="J247" i="2"/>
  <c r="I247" i="2"/>
  <c r="J246" i="2"/>
  <c r="I246" i="2"/>
  <c r="J245" i="2"/>
  <c r="I245" i="2"/>
  <c r="J244" i="2"/>
  <c r="I244" i="2"/>
  <c r="J243" i="2"/>
  <c r="I243" i="2"/>
  <c r="J242" i="2"/>
  <c r="I242" i="2"/>
  <c r="J241" i="2"/>
  <c r="I241" i="2"/>
  <c r="J240" i="2"/>
  <c r="I240" i="2"/>
  <c r="J239" i="2"/>
  <c r="I239" i="2"/>
  <c r="J238" i="2"/>
  <c r="I238" i="2"/>
  <c r="J237" i="2"/>
  <c r="I237" i="2"/>
  <c r="J236" i="2"/>
  <c r="I236" i="2"/>
  <c r="J235" i="2"/>
  <c r="I235" i="2"/>
  <c r="J234" i="2"/>
  <c r="I234" i="2"/>
  <c r="J233" i="2"/>
  <c r="I233" i="2"/>
  <c r="J232" i="2"/>
  <c r="I232" i="2"/>
  <c r="J231" i="2"/>
  <c r="I231" i="2"/>
  <c r="J230" i="2"/>
  <c r="I230" i="2"/>
  <c r="J229" i="2"/>
  <c r="I229" i="2"/>
  <c r="J228" i="2"/>
  <c r="I228" i="2"/>
  <c r="J227" i="2"/>
  <c r="I227" i="2"/>
  <c r="J226" i="2"/>
  <c r="I226" i="2"/>
  <c r="J225" i="2"/>
  <c r="I225" i="2"/>
  <c r="J224" i="2"/>
  <c r="I224" i="2"/>
  <c r="J223" i="2"/>
  <c r="I223" i="2"/>
  <c r="J222" i="2"/>
  <c r="I222" i="2"/>
  <c r="J221" i="2"/>
  <c r="I221" i="2"/>
  <c r="J220" i="2"/>
  <c r="I220" i="2"/>
  <c r="J219" i="2"/>
  <c r="I219" i="2"/>
  <c r="J218" i="2"/>
  <c r="I218" i="2"/>
  <c r="J217" i="2"/>
  <c r="I217" i="2"/>
  <c r="J216" i="2"/>
  <c r="I216" i="2"/>
  <c r="J215" i="2"/>
  <c r="I215" i="2"/>
  <c r="J214" i="2"/>
  <c r="I214" i="2"/>
  <c r="J213" i="2"/>
  <c r="I213" i="2"/>
  <c r="J212" i="2"/>
  <c r="I212" i="2"/>
  <c r="J211" i="2"/>
  <c r="I211" i="2"/>
  <c r="J210" i="2"/>
  <c r="I210" i="2"/>
  <c r="J209" i="2"/>
  <c r="I209" i="2"/>
  <c r="J208" i="2"/>
  <c r="I208" i="2"/>
  <c r="J207" i="2"/>
  <c r="I207" i="2"/>
  <c r="J206" i="2"/>
  <c r="I206" i="2"/>
  <c r="J205" i="2"/>
  <c r="I205" i="2"/>
  <c r="J204" i="2"/>
  <c r="I204" i="2"/>
  <c r="J203" i="2"/>
  <c r="I203" i="2"/>
  <c r="J202" i="2"/>
  <c r="I202" i="2"/>
  <c r="J201" i="2"/>
  <c r="I201" i="2"/>
  <c r="J200" i="2"/>
  <c r="I200" i="2"/>
  <c r="J199" i="2"/>
  <c r="I199" i="2"/>
  <c r="J198" i="2"/>
  <c r="I198" i="2"/>
  <c r="J197" i="2"/>
  <c r="I197" i="2"/>
  <c r="J196" i="2"/>
  <c r="I196" i="2"/>
  <c r="J195" i="2"/>
  <c r="I195" i="2"/>
  <c r="J194" i="2"/>
  <c r="I194" i="2"/>
  <c r="J193" i="2"/>
  <c r="I193" i="2"/>
  <c r="J192" i="2"/>
  <c r="I192" i="2"/>
  <c r="J191" i="2"/>
  <c r="I191" i="2"/>
  <c r="J190" i="2"/>
  <c r="I190" i="2"/>
  <c r="J189" i="2"/>
  <c r="I189" i="2"/>
  <c r="J188" i="2"/>
  <c r="I188" i="2"/>
  <c r="J187" i="2"/>
  <c r="I187" i="2"/>
  <c r="J186" i="2"/>
  <c r="I186" i="2"/>
  <c r="J185" i="2"/>
  <c r="I185" i="2"/>
  <c r="J184" i="2"/>
  <c r="I184" i="2"/>
  <c r="J183" i="2"/>
  <c r="I183" i="2"/>
  <c r="J182" i="2"/>
  <c r="I182" i="2"/>
  <c r="J181" i="2"/>
  <c r="I181" i="2"/>
  <c r="J180" i="2"/>
  <c r="I180" i="2"/>
  <c r="J179" i="2"/>
  <c r="I179" i="2"/>
  <c r="J178" i="2"/>
  <c r="I178" i="2"/>
  <c r="J177" i="2"/>
  <c r="I177" i="2"/>
  <c r="J176" i="2"/>
  <c r="I176" i="2"/>
  <c r="J175" i="2"/>
  <c r="I175" i="2"/>
  <c r="J174" i="2"/>
  <c r="I174" i="2"/>
  <c r="J173" i="2"/>
  <c r="I173" i="2"/>
  <c r="J172" i="2"/>
  <c r="I172" i="2"/>
  <c r="J171" i="2"/>
  <c r="I171" i="2"/>
  <c r="J170" i="2"/>
  <c r="I170" i="2"/>
  <c r="J169" i="2"/>
  <c r="I169" i="2"/>
  <c r="J168" i="2"/>
  <c r="I168" i="2"/>
  <c r="J167" i="2"/>
  <c r="I167" i="2"/>
  <c r="J166" i="2"/>
  <c r="I166" i="2"/>
  <c r="J165" i="2"/>
  <c r="I165" i="2"/>
  <c r="J164" i="2"/>
  <c r="I164" i="2"/>
  <c r="J163" i="2"/>
  <c r="I163" i="2"/>
  <c r="J162" i="2"/>
  <c r="I162" i="2"/>
  <c r="J161" i="2"/>
  <c r="I161" i="2"/>
  <c r="J160" i="2"/>
  <c r="I160" i="2"/>
  <c r="J159" i="2"/>
  <c r="I159" i="2"/>
  <c r="J158" i="2"/>
  <c r="I158" i="2"/>
  <c r="J157" i="2"/>
  <c r="I157" i="2"/>
  <c r="J156" i="2"/>
  <c r="I156" i="2"/>
  <c r="J155" i="2"/>
  <c r="I155" i="2"/>
  <c r="J154" i="2"/>
  <c r="I154" i="2"/>
  <c r="J153" i="2"/>
  <c r="I153" i="2"/>
  <c r="J152" i="2"/>
  <c r="I152" i="2"/>
  <c r="J151" i="2"/>
  <c r="I151" i="2"/>
  <c r="J150" i="2"/>
  <c r="I150" i="2"/>
  <c r="J149" i="2"/>
  <c r="I149" i="2"/>
  <c r="J148" i="2"/>
  <c r="I148" i="2"/>
  <c r="J147" i="2"/>
  <c r="I147" i="2"/>
  <c r="J146" i="2"/>
  <c r="I146" i="2"/>
  <c r="J145" i="2"/>
  <c r="I145" i="2"/>
  <c r="J144" i="2"/>
  <c r="I144" i="2"/>
  <c r="J143" i="2"/>
  <c r="I143" i="2"/>
  <c r="J142" i="2"/>
  <c r="I142" i="2"/>
  <c r="J141" i="2"/>
  <c r="I141" i="2"/>
  <c r="J140" i="2"/>
  <c r="I140" i="2"/>
  <c r="J139" i="2"/>
  <c r="I139" i="2"/>
  <c r="J138" i="2"/>
  <c r="I138" i="2"/>
  <c r="J137" i="2"/>
  <c r="I137" i="2"/>
  <c r="J136" i="2"/>
  <c r="I136" i="2"/>
  <c r="J135" i="2"/>
  <c r="I135" i="2"/>
  <c r="J134" i="2"/>
  <c r="I134" i="2"/>
  <c r="J133" i="2"/>
  <c r="I133" i="2"/>
  <c r="J132" i="2"/>
  <c r="I132" i="2"/>
  <c r="J131" i="2"/>
  <c r="I131" i="2"/>
  <c r="J130" i="2"/>
  <c r="I130" i="2"/>
  <c r="J129" i="2"/>
  <c r="I129" i="2"/>
  <c r="J128" i="2"/>
  <c r="I128" i="2"/>
  <c r="J127" i="2"/>
  <c r="I127" i="2"/>
  <c r="J126" i="2"/>
  <c r="I126" i="2"/>
  <c r="J125" i="2"/>
  <c r="I125" i="2"/>
  <c r="J124" i="2"/>
  <c r="I124" i="2"/>
  <c r="J123" i="2"/>
  <c r="I123" i="2"/>
  <c r="J122" i="2"/>
  <c r="I122" i="2"/>
  <c r="J121" i="2"/>
  <c r="I121" i="2"/>
  <c r="J120" i="2"/>
  <c r="I120" i="2"/>
  <c r="J119" i="2"/>
  <c r="I119" i="2"/>
  <c r="J118" i="2"/>
  <c r="I118" i="2"/>
  <c r="J117" i="2"/>
  <c r="I117" i="2"/>
  <c r="J116" i="2"/>
  <c r="I116" i="2"/>
  <c r="J115" i="2"/>
  <c r="I115" i="2"/>
  <c r="J114" i="2"/>
  <c r="I114" i="2"/>
  <c r="J113" i="2"/>
  <c r="I113" i="2"/>
  <c r="J112" i="2"/>
  <c r="I112" i="2"/>
  <c r="J111" i="2"/>
  <c r="I111" i="2"/>
  <c r="J110" i="2"/>
  <c r="I110" i="2"/>
  <c r="J109" i="2"/>
  <c r="I109" i="2"/>
  <c r="J108" i="2"/>
  <c r="I108" i="2"/>
  <c r="J107" i="2"/>
  <c r="I107" i="2"/>
  <c r="J106" i="2"/>
  <c r="I106" i="2"/>
  <c r="J105" i="2"/>
  <c r="I105" i="2"/>
  <c r="J104" i="2"/>
  <c r="I104" i="2"/>
  <c r="J103" i="2"/>
  <c r="I103" i="2"/>
  <c r="J102" i="2"/>
  <c r="I102" i="2"/>
  <c r="J101" i="2"/>
  <c r="I101" i="2"/>
  <c r="J100" i="2"/>
  <c r="I100" i="2"/>
  <c r="J99" i="2"/>
  <c r="I99" i="2"/>
  <c r="J98" i="2"/>
  <c r="I98" i="2"/>
  <c r="J97" i="2"/>
  <c r="I97" i="2"/>
  <c r="J96" i="2"/>
  <c r="I96" i="2"/>
  <c r="J95" i="2"/>
  <c r="I95" i="2"/>
  <c r="J94" i="2"/>
  <c r="I94" i="2"/>
  <c r="J93" i="2"/>
  <c r="I93" i="2"/>
  <c r="J92" i="2"/>
  <c r="I92" i="2"/>
  <c r="J91" i="2"/>
  <c r="I91" i="2"/>
  <c r="J90" i="2"/>
  <c r="I90" i="2"/>
  <c r="J89" i="2"/>
  <c r="I89" i="2"/>
  <c r="J88" i="2"/>
  <c r="I88" i="2"/>
  <c r="J87" i="2"/>
  <c r="I87" i="2"/>
  <c r="J86" i="2"/>
  <c r="I86" i="2"/>
  <c r="J85" i="2"/>
  <c r="I85" i="2"/>
  <c r="J84" i="2"/>
  <c r="I84" i="2"/>
  <c r="J83" i="2"/>
  <c r="I83" i="2"/>
  <c r="J82" i="2"/>
  <c r="I82" i="2"/>
  <c r="J81" i="2"/>
  <c r="I81" i="2"/>
  <c r="J80" i="2"/>
  <c r="I80" i="2"/>
  <c r="J79" i="2"/>
  <c r="I79" i="2"/>
  <c r="J78" i="2"/>
  <c r="I78" i="2"/>
  <c r="J77" i="2"/>
  <c r="I77" i="2"/>
  <c r="J76" i="2"/>
  <c r="I76" i="2"/>
  <c r="J75" i="2"/>
  <c r="I75" i="2"/>
  <c r="J74" i="2"/>
  <c r="I74" i="2"/>
  <c r="J73" i="2"/>
  <c r="I73" i="2"/>
  <c r="J72" i="2"/>
  <c r="I72" i="2"/>
  <c r="J71" i="2"/>
  <c r="I71" i="2"/>
  <c r="J70" i="2"/>
  <c r="I70" i="2"/>
  <c r="J69" i="2"/>
  <c r="I69" i="2"/>
  <c r="J68" i="2"/>
  <c r="I68" i="2"/>
  <c r="J67" i="2"/>
  <c r="I67" i="2"/>
  <c r="J66" i="2"/>
  <c r="I66" i="2"/>
  <c r="J65" i="2"/>
  <c r="I65" i="2"/>
  <c r="J64" i="2"/>
  <c r="I64" i="2"/>
  <c r="J63" i="2"/>
  <c r="I63" i="2"/>
  <c r="J62" i="2"/>
  <c r="I62" i="2"/>
  <c r="J61" i="2"/>
  <c r="I61" i="2"/>
  <c r="J60" i="2"/>
  <c r="I60" i="2"/>
  <c r="J59" i="2"/>
  <c r="I59" i="2"/>
  <c r="J58" i="2"/>
  <c r="I58" i="2"/>
  <c r="J57" i="2"/>
  <c r="I57" i="2"/>
  <c r="J56" i="2"/>
  <c r="I56" i="2"/>
  <c r="J55" i="2"/>
  <c r="I55" i="2"/>
  <c r="J54" i="2"/>
  <c r="I54" i="2"/>
  <c r="J53" i="2"/>
  <c r="I53" i="2"/>
  <c r="J52" i="2"/>
  <c r="I52" i="2"/>
  <c r="J51" i="2"/>
  <c r="I51" i="2"/>
  <c r="J50" i="2"/>
  <c r="I50" i="2"/>
  <c r="J49" i="2"/>
  <c r="I49" i="2"/>
  <c r="J48" i="2"/>
  <c r="I48" i="2"/>
  <c r="J47" i="2"/>
  <c r="I47" i="2"/>
  <c r="J46" i="2"/>
  <c r="I46" i="2"/>
  <c r="J45" i="2"/>
  <c r="I45" i="2"/>
  <c r="J44" i="2"/>
  <c r="I44" i="2"/>
  <c r="J43" i="2"/>
  <c r="I43" i="2"/>
  <c r="J42" i="2"/>
  <c r="I42" i="2"/>
  <c r="J41" i="2"/>
  <c r="I41" i="2"/>
  <c r="J40" i="2"/>
  <c r="I40" i="2"/>
  <c r="J39" i="2"/>
  <c r="I39" i="2"/>
  <c r="J38" i="2"/>
  <c r="I38" i="2"/>
  <c r="J37" i="2"/>
  <c r="I37" i="2"/>
  <c r="J36" i="2"/>
  <c r="I36" i="2"/>
  <c r="J35" i="2"/>
  <c r="I35" i="2"/>
  <c r="J34" i="2"/>
  <c r="I34" i="2"/>
  <c r="J33" i="2"/>
  <c r="I33" i="2"/>
  <c r="J32" i="2"/>
  <c r="I32" i="2"/>
  <c r="J31" i="2"/>
  <c r="I31" i="2"/>
  <c r="J30" i="2"/>
  <c r="I30" i="2"/>
  <c r="J29" i="2"/>
  <c r="I29" i="2"/>
  <c r="J28" i="2"/>
  <c r="I28" i="2"/>
  <c r="J27" i="2"/>
  <c r="I27" i="2"/>
  <c r="J26" i="2"/>
  <c r="I26" i="2"/>
  <c r="J25" i="2"/>
  <c r="I25" i="2"/>
  <c r="J24" i="2"/>
  <c r="I24" i="2"/>
  <c r="J23" i="2"/>
  <c r="I23" i="2"/>
  <c r="J22" i="2"/>
  <c r="I22" i="2"/>
  <c r="J21" i="2"/>
  <c r="I21" i="2"/>
  <c r="J20" i="2"/>
  <c r="I20" i="2"/>
  <c r="J19" i="2"/>
  <c r="I19" i="2"/>
  <c r="J18" i="2"/>
  <c r="I18" i="2"/>
  <c r="J17" i="2"/>
  <c r="I17" i="2"/>
  <c r="J16" i="2"/>
  <c r="I16" i="2"/>
  <c r="J15" i="2"/>
  <c r="I15" i="2"/>
  <c r="J14" i="2"/>
  <c r="I14" i="2"/>
  <c r="J13" i="2"/>
  <c r="I13" i="2"/>
  <c r="J12" i="2"/>
  <c r="I12" i="2"/>
  <c r="J11" i="2"/>
  <c r="I11" i="2"/>
  <c r="J10" i="2"/>
  <c r="I10" i="2"/>
  <c r="J9" i="2"/>
  <c r="I9" i="2"/>
  <c r="J8" i="2"/>
  <c r="I8" i="2"/>
  <c r="J7" i="2"/>
  <c r="I7" i="2"/>
  <c r="J6" i="2"/>
  <c r="I6" i="2"/>
  <c r="J5" i="2"/>
  <c r="I5" i="2"/>
  <c r="J4" i="2"/>
  <c r="I4" i="2"/>
  <c r="J3" i="2"/>
  <c r="I3" i="2"/>
  <c r="J2" i="2"/>
  <c r="I2" i="2"/>
  <c r="J3214" i="1"/>
  <c r="I3214" i="1"/>
  <c r="J3213" i="1"/>
  <c r="I3213" i="1"/>
  <c r="J3212" i="1"/>
  <c r="I3212" i="1"/>
  <c r="J3211" i="1"/>
  <c r="I3211" i="1"/>
  <c r="J3210" i="1"/>
  <c r="I3210" i="1"/>
  <c r="J3209" i="1"/>
  <c r="I3209" i="1"/>
  <c r="J3208" i="1"/>
  <c r="I3208" i="1"/>
  <c r="J3207" i="1"/>
  <c r="I3207" i="1"/>
  <c r="J3206" i="1"/>
  <c r="I3206" i="1"/>
  <c r="J3205" i="1"/>
  <c r="I3205" i="1"/>
  <c r="J3204" i="1"/>
  <c r="I3204" i="1"/>
  <c r="J3203" i="1"/>
  <c r="I3203" i="1"/>
  <c r="J3202" i="1"/>
  <c r="I3202" i="1"/>
  <c r="J3201" i="1"/>
  <c r="I3201" i="1"/>
  <c r="J3200" i="1"/>
  <c r="I3200" i="1"/>
  <c r="J3199" i="1"/>
  <c r="I3199" i="1"/>
  <c r="J3198" i="1"/>
  <c r="I3198" i="1"/>
  <c r="J3197" i="1"/>
  <c r="I3197" i="1"/>
  <c r="J3196" i="1"/>
  <c r="I3196" i="1"/>
  <c r="J3195" i="1"/>
  <c r="I3195" i="1"/>
  <c r="J3194" i="1"/>
  <c r="I3194" i="1"/>
  <c r="J3193" i="1"/>
  <c r="I3193" i="1"/>
  <c r="J3192" i="1"/>
  <c r="I3192" i="1"/>
  <c r="J3191" i="1"/>
  <c r="I3191" i="1"/>
  <c r="J3190" i="1"/>
  <c r="I3190" i="1"/>
  <c r="J3189" i="1"/>
  <c r="I3189" i="1"/>
  <c r="J3188" i="1"/>
  <c r="I3188" i="1"/>
  <c r="J3187" i="1"/>
  <c r="I3187" i="1"/>
  <c r="J3186" i="1"/>
  <c r="I3186" i="1"/>
  <c r="J3185" i="1"/>
  <c r="I3185" i="1"/>
  <c r="J3184" i="1"/>
  <c r="I3184" i="1"/>
  <c r="J3183" i="1"/>
  <c r="I3183" i="1"/>
  <c r="J3182" i="1"/>
  <c r="I3182" i="1"/>
  <c r="J3181" i="1"/>
  <c r="I3181" i="1"/>
  <c r="J3180" i="1"/>
  <c r="I3180" i="1"/>
  <c r="J3179" i="1"/>
  <c r="I3179" i="1"/>
  <c r="J3178" i="1"/>
  <c r="I3178" i="1"/>
  <c r="J3177" i="1"/>
  <c r="I3177" i="1"/>
  <c r="J3176" i="1"/>
  <c r="I3176" i="1"/>
  <c r="J3175" i="1"/>
  <c r="I3175" i="1"/>
  <c r="J3174" i="1"/>
  <c r="I3174" i="1"/>
  <c r="J3173" i="1"/>
  <c r="I3173" i="1"/>
  <c r="J3172" i="1"/>
  <c r="I3172" i="1"/>
  <c r="J3171" i="1"/>
  <c r="I3171" i="1"/>
  <c r="J3170" i="1"/>
  <c r="I3170" i="1"/>
  <c r="J3169" i="1"/>
  <c r="I3169" i="1"/>
  <c r="J3168" i="1"/>
  <c r="I3168" i="1"/>
  <c r="J3167" i="1"/>
  <c r="I3167" i="1"/>
  <c r="J3166" i="1"/>
  <c r="I3166" i="1"/>
  <c r="J3165" i="1"/>
  <c r="I3165" i="1"/>
  <c r="J3164" i="1"/>
  <c r="I3164" i="1"/>
  <c r="J3163" i="1"/>
  <c r="I3163" i="1"/>
  <c r="J3162" i="1"/>
  <c r="I3162" i="1"/>
  <c r="J3161" i="1"/>
  <c r="I3161" i="1"/>
  <c r="J3160" i="1"/>
  <c r="I3160" i="1"/>
  <c r="J3159" i="1"/>
  <c r="I3159" i="1"/>
  <c r="J3158" i="1"/>
  <c r="I3158" i="1"/>
  <c r="J3157" i="1"/>
  <c r="I3157" i="1"/>
  <c r="J3156" i="1"/>
  <c r="I3156" i="1"/>
  <c r="J3155" i="1"/>
  <c r="I3155" i="1"/>
  <c r="J3154" i="1"/>
  <c r="I3154" i="1"/>
  <c r="J3153" i="1"/>
  <c r="I3153" i="1"/>
  <c r="J3152" i="1"/>
  <c r="I3152" i="1"/>
  <c r="J3151" i="1"/>
  <c r="I3151" i="1"/>
  <c r="J3150" i="1"/>
  <c r="I3150" i="1"/>
  <c r="J3149" i="1"/>
  <c r="I3149" i="1"/>
  <c r="J3148" i="1"/>
  <c r="I3148" i="1"/>
  <c r="J3147" i="1"/>
  <c r="I3147" i="1"/>
  <c r="J3146" i="1"/>
  <c r="I3146" i="1"/>
  <c r="J3145" i="1"/>
  <c r="I3145" i="1"/>
  <c r="J3144" i="1"/>
  <c r="I3144" i="1"/>
  <c r="J3143" i="1"/>
  <c r="I3143" i="1"/>
  <c r="J3142" i="1"/>
  <c r="I3142" i="1"/>
  <c r="J3141" i="1"/>
  <c r="I3141" i="1"/>
  <c r="J3140" i="1"/>
  <c r="I3140" i="1"/>
  <c r="J3139" i="1"/>
  <c r="I3139" i="1"/>
  <c r="J3138" i="1"/>
  <c r="I3138" i="1"/>
  <c r="J3137" i="1"/>
  <c r="I3137" i="1"/>
  <c r="J3136" i="1"/>
  <c r="I3136" i="1"/>
  <c r="J3135" i="1"/>
  <c r="I3135" i="1"/>
  <c r="J3134" i="1"/>
  <c r="I3134" i="1"/>
  <c r="J3133" i="1"/>
  <c r="I3133" i="1"/>
  <c r="J3132" i="1"/>
  <c r="I3132" i="1"/>
  <c r="J3131" i="1"/>
  <c r="I3131" i="1"/>
  <c r="J3130" i="1"/>
  <c r="I3130" i="1"/>
  <c r="J3129" i="1"/>
  <c r="I3129" i="1"/>
  <c r="J3128" i="1"/>
  <c r="I3128" i="1"/>
  <c r="J3127" i="1"/>
  <c r="I3127" i="1"/>
  <c r="J3126" i="1"/>
  <c r="I3126" i="1"/>
  <c r="J3125" i="1"/>
  <c r="I3125" i="1"/>
  <c r="J3124" i="1"/>
  <c r="I3124" i="1"/>
  <c r="J3123" i="1"/>
  <c r="I3123" i="1"/>
  <c r="J3122" i="1"/>
  <c r="I3122" i="1"/>
  <c r="J3121" i="1"/>
  <c r="I3121" i="1"/>
  <c r="J3120" i="1"/>
  <c r="I3120" i="1"/>
  <c r="J3119" i="1"/>
  <c r="I3119" i="1"/>
  <c r="J3118" i="1"/>
  <c r="I3118" i="1"/>
  <c r="J3117" i="1"/>
  <c r="I3117" i="1"/>
  <c r="J3116" i="1"/>
  <c r="I3116" i="1"/>
  <c r="J3115" i="1"/>
  <c r="I3115" i="1"/>
  <c r="J3114" i="1"/>
  <c r="I3114" i="1"/>
  <c r="J3113" i="1"/>
  <c r="I3113" i="1"/>
  <c r="J3112" i="1"/>
  <c r="I3112" i="1"/>
  <c r="J3111" i="1"/>
  <c r="I3111" i="1"/>
  <c r="J3110" i="1"/>
  <c r="I3110" i="1"/>
  <c r="J3109" i="1"/>
  <c r="I3109" i="1"/>
  <c r="J3108" i="1"/>
  <c r="I3108" i="1"/>
  <c r="J3107" i="1"/>
  <c r="I3107" i="1"/>
  <c r="J3106" i="1"/>
  <c r="I3106" i="1"/>
  <c r="J3105" i="1"/>
  <c r="I3105" i="1"/>
  <c r="J3104" i="1"/>
  <c r="I3104" i="1"/>
  <c r="J3103" i="1"/>
  <c r="I3103" i="1"/>
  <c r="J3102" i="1"/>
  <c r="I3102" i="1"/>
  <c r="J3101" i="1"/>
  <c r="I3101" i="1"/>
  <c r="J3100" i="1"/>
  <c r="I3100" i="1"/>
  <c r="J3099" i="1"/>
  <c r="I3099" i="1"/>
  <c r="J3098" i="1"/>
  <c r="I3098" i="1"/>
  <c r="J3097" i="1"/>
  <c r="I3097" i="1"/>
  <c r="J3096" i="1"/>
  <c r="I3096" i="1"/>
  <c r="J3095" i="1"/>
  <c r="I3095" i="1"/>
  <c r="J3094" i="1"/>
  <c r="I3094" i="1"/>
  <c r="J3093" i="1"/>
  <c r="I3093" i="1"/>
  <c r="J3092" i="1"/>
  <c r="I3092" i="1"/>
  <c r="J3091" i="1"/>
  <c r="I3091" i="1"/>
  <c r="J3090" i="1"/>
  <c r="I3090" i="1"/>
  <c r="J3089" i="1"/>
  <c r="I3089" i="1"/>
  <c r="J3088" i="1"/>
  <c r="I3088" i="1"/>
  <c r="J3087" i="1"/>
  <c r="I3087" i="1"/>
  <c r="J3086" i="1"/>
  <c r="I3086" i="1"/>
  <c r="J3085" i="1"/>
  <c r="I3085" i="1"/>
  <c r="J3084" i="1"/>
  <c r="I3084" i="1"/>
  <c r="J3083" i="1"/>
  <c r="I3083" i="1"/>
  <c r="J3082" i="1"/>
  <c r="I3082" i="1"/>
  <c r="J3081" i="1"/>
  <c r="I3081" i="1"/>
  <c r="J3080" i="1"/>
  <c r="I3080" i="1"/>
  <c r="J3079" i="1"/>
  <c r="I3079" i="1"/>
  <c r="J3078" i="1"/>
  <c r="I3078" i="1"/>
  <c r="J3077" i="1"/>
  <c r="I3077" i="1"/>
  <c r="J3076" i="1"/>
  <c r="I3076" i="1"/>
  <c r="J3075" i="1"/>
  <c r="I3075" i="1"/>
  <c r="J3074" i="1"/>
  <c r="I3074" i="1"/>
  <c r="J3073" i="1"/>
  <c r="I3073" i="1"/>
  <c r="J3072" i="1"/>
  <c r="I3072" i="1"/>
  <c r="J3071" i="1"/>
  <c r="I3071" i="1"/>
  <c r="J3070" i="1"/>
  <c r="I3070" i="1"/>
  <c r="J3069" i="1"/>
  <c r="I3069" i="1"/>
  <c r="J3068" i="1"/>
  <c r="I3068" i="1"/>
  <c r="J3067" i="1"/>
  <c r="I3067" i="1"/>
  <c r="J3066" i="1"/>
  <c r="I3066" i="1"/>
  <c r="J3065" i="1"/>
  <c r="I3065" i="1"/>
  <c r="J3064" i="1"/>
  <c r="I3064" i="1"/>
  <c r="J3063" i="1"/>
  <c r="I3063" i="1"/>
  <c r="J3062" i="1"/>
  <c r="I3062" i="1"/>
  <c r="J3061" i="1"/>
  <c r="I3061" i="1"/>
  <c r="J3060" i="1"/>
  <c r="I3060" i="1"/>
  <c r="J3059" i="1"/>
  <c r="I3059" i="1"/>
  <c r="J3058" i="1"/>
  <c r="I3058" i="1"/>
  <c r="J3057" i="1"/>
  <c r="I3057" i="1"/>
  <c r="J3056" i="1"/>
  <c r="I3056" i="1"/>
  <c r="J3055" i="1"/>
  <c r="I3055" i="1"/>
  <c r="J3054" i="1"/>
  <c r="I3054" i="1"/>
  <c r="J3053" i="1"/>
  <c r="I3053" i="1"/>
  <c r="J3052" i="1"/>
  <c r="I3052" i="1"/>
  <c r="J3051" i="1"/>
  <c r="I3051" i="1"/>
  <c r="J3050" i="1"/>
  <c r="I3050" i="1"/>
  <c r="J3049" i="1"/>
  <c r="I3049" i="1"/>
  <c r="J3048" i="1"/>
  <c r="I3048" i="1"/>
  <c r="J3047" i="1"/>
  <c r="I3047" i="1"/>
  <c r="J3046" i="1"/>
  <c r="I3046" i="1"/>
  <c r="J3045" i="1"/>
  <c r="I3045" i="1"/>
  <c r="J3044" i="1"/>
  <c r="I3044" i="1"/>
  <c r="J3043" i="1"/>
  <c r="I3043" i="1"/>
  <c r="J3042" i="1"/>
  <c r="I3042" i="1"/>
  <c r="J3041" i="1"/>
  <c r="I3041" i="1"/>
  <c r="J3040" i="1"/>
  <c r="I3040" i="1"/>
  <c r="J3039" i="1"/>
  <c r="I3039" i="1"/>
  <c r="J3038" i="1"/>
  <c r="I3038" i="1"/>
  <c r="J3037" i="1"/>
  <c r="I3037" i="1"/>
  <c r="J3036" i="1"/>
  <c r="I3036" i="1"/>
  <c r="J3035" i="1"/>
  <c r="I3035" i="1"/>
  <c r="J3034" i="1"/>
  <c r="I3034" i="1"/>
  <c r="J3033" i="1"/>
  <c r="I3033" i="1"/>
  <c r="J3032" i="1"/>
  <c r="I3032" i="1"/>
  <c r="J3031" i="1"/>
  <c r="I3031" i="1"/>
  <c r="J3030" i="1"/>
  <c r="I3030" i="1"/>
  <c r="J3029" i="1"/>
  <c r="I3029" i="1"/>
  <c r="J3028" i="1"/>
  <c r="I3028" i="1"/>
  <c r="J3027" i="1"/>
  <c r="I3027" i="1"/>
  <c r="J3026" i="1"/>
  <c r="I3026" i="1"/>
  <c r="J3025" i="1"/>
  <c r="I3025" i="1"/>
  <c r="J3024" i="1"/>
  <c r="I3024" i="1"/>
  <c r="J3023" i="1"/>
  <c r="I3023" i="1"/>
  <c r="J3022" i="1"/>
  <c r="I3022" i="1"/>
  <c r="J3021" i="1"/>
  <c r="I3021" i="1"/>
  <c r="J3020" i="1"/>
  <c r="I3020" i="1"/>
  <c r="J3019" i="1"/>
  <c r="I3019" i="1"/>
  <c r="J3018" i="1"/>
  <c r="I3018" i="1"/>
  <c r="J3017" i="1"/>
  <c r="I3017" i="1"/>
  <c r="J3016" i="1"/>
  <c r="I3016" i="1"/>
  <c r="J3015" i="1"/>
  <c r="I3015" i="1"/>
  <c r="J3014" i="1"/>
  <c r="I3014" i="1"/>
  <c r="J3013" i="1"/>
  <c r="I3013" i="1"/>
  <c r="J3012" i="1"/>
  <c r="I3012" i="1"/>
  <c r="J3011" i="1"/>
  <c r="I3011" i="1"/>
  <c r="J3010" i="1"/>
  <c r="I3010" i="1"/>
  <c r="J3009" i="1"/>
  <c r="I3009" i="1"/>
  <c r="J3008" i="1"/>
  <c r="I3008" i="1"/>
  <c r="J3007" i="1"/>
  <c r="I3007" i="1"/>
  <c r="J3006" i="1"/>
  <c r="I3006" i="1"/>
  <c r="J3005" i="1"/>
  <c r="I3005" i="1"/>
  <c r="J3004" i="1"/>
  <c r="I3004" i="1"/>
  <c r="J3003" i="1"/>
  <c r="I3003" i="1"/>
  <c r="J3002" i="1"/>
  <c r="I3002" i="1"/>
  <c r="J3001" i="1"/>
  <c r="I3001" i="1"/>
  <c r="J3000" i="1"/>
  <c r="I3000" i="1"/>
  <c r="J2999" i="1"/>
  <c r="I2999" i="1"/>
  <c r="J2998" i="1"/>
  <c r="I2998" i="1"/>
  <c r="J2997" i="1"/>
  <c r="I2997" i="1"/>
  <c r="J2996" i="1"/>
  <c r="I2996" i="1"/>
  <c r="J2995" i="1"/>
  <c r="I2995" i="1"/>
  <c r="J2994" i="1"/>
  <c r="I2994" i="1"/>
  <c r="J2993" i="1"/>
  <c r="I2993" i="1"/>
  <c r="J2992" i="1"/>
  <c r="I2992" i="1"/>
  <c r="J2991" i="1"/>
  <c r="I2991" i="1"/>
  <c r="J2990" i="1"/>
  <c r="I2990" i="1"/>
  <c r="J2989" i="1"/>
  <c r="I2989" i="1"/>
  <c r="J2988" i="1"/>
  <c r="I2988" i="1"/>
  <c r="J2987" i="1"/>
  <c r="I2987" i="1"/>
  <c r="J2986" i="1"/>
  <c r="I2986" i="1"/>
  <c r="J2985" i="1"/>
  <c r="I2985" i="1"/>
  <c r="J2984" i="1"/>
  <c r="I2984" i="1"/>
  <c r="J2983" i="1"/>
  <c r="I2983" i="1"/>
  <c r="J2982" i="1"/>
  <c r="I2982" i="1"/>
  <c r="J2981" i="1"/>
  <c r="I2981" i="1"/>
  <c r="J2980" i="1"/>
  <c r="I2980" i="1"/>
  <c r="J2979" i="1"/>
  <c r="I2979" i="1"/>
  <c r="J2978" i="1"/>
  <c r="I2978" i="1"/>
  <c r="J2977" i="1"/>
  <c r="I2977" i="1"/>
  <c r="J2976" i="1"/>
  <c r="I2976" i="1"/>
  <c r="J2975" i="1"/>
  <c r="I2975" i="1"/>
  <c r="J2974" i="1"/>
  <c r="I2974" i="1"/>
  <c r="J2973" i="1"/>
  <c r="I2973" i="1"/>
  <c r="J2972" i="1"/>
  <c r="I2972" i="1"/>
  <c r="J2971" i="1"/>
  <c r="I2971" i="1"/>
  <c r="J2970" i="1"/>
  <c r="I2970" i="1"/>
  <c r="J2969" i="1"/>
  <c r="I2969" i="1"/>
  <c r="J2968" i="1"/>
  <c r="I2968" i="1"/>
  <c r="J2967" i="1"/>
  <c r="I2967" i="1"/>
  <c r="J2966" i="1"/>
  <c r="I2966" i="1"/>
  <c r="J2965" i="1"/>
  <c r="I2965" i="1"/>
  <c r="J2964" i="1"/>
  <c r="I2964" i="1"/>
  <c r="J2963" i="1"/>
  <c r="I2963" i="1"/>
  <c r="J2962" i="1"/>
  <c r="I2962" i="1"/>
  <c r="J2961" i="1"/>
  <c r="I2961" i="1"/>
  <c r="J2960" i="1"/>
  <c r="I2960" i="1"/>
  <c r="J2959" i="1"/>
  <c r="I2959" i="1"/>
  <c r="J2958" i="1"/>
  <c r="I2958" i="1"/>
  <c r="J2957" i="1"/>
  <c r="I2957" i="1"/>
  <c r="J2956" i="1"/>
  <c r="I2956" i="1"/>
  <c r="J2955" i="1"/>
  <c r="I2955" i="1"/>
  <c r="J2954" i="1"/>
  <c r="I2954" i="1"/>
  <c r="J2953" i="1"/>
  <c r="I2953" i="1"/>
  <c r="J2952" i="1"/>
  <c r="I2952" i="1"/>
  <c r="J2951" i="1"/>
  <c r="I2951" i="1"/>
  <c r="J2950" i="1"/>
  <c r="I2950" i="1"/>
  <c r="J2949" i="1"/>
  <c r="I2949" i="1"/>
  <c r="J2948" i="1"/>
  <c r="I2948" i="1"/>
  <c r="J2947" i="1"/>
  <c r="I2947" i="1"/>
  <c r="J2946" i="1"/>
  <c r="I2946" i="1"/>
  <c r="J2945" i="1"/>
  <c r="I2945" i="1"/>
  <c r="J2944" i="1"/>
  <c r="I2944" i="1"/>
  <c r="J2943" i="1"/>
  <c r="I2943" i="1"/>
  <c r="J2942" i="1"/>
  <c r="I2942" i="1"/>
  <c r="J2941" i="1"/>
  <c r="I2941" i="1"/>
  <c r="J2940" i="1"/>
  <c r="I2940" i="1"/>
  <c r="J2939" i="1"/>
  <c r="I2939" i="1"/>
  <c r="J2938" i="1"/>
  <c r="I2938" i="1"/>
  <c r="J2937" i="1"/>
  <c r="I2937" i="1"/>
  <c r="J2936" i="1"/>
  <c r="I2936" i="1"/>
  <c r="J2935" i="1"/>
  <c r="I2935" i="1"/>
  <c r="J2934" i="1"/>
  <c r="I2934" i="1"/>
  <c r="J2933" i="1"/>
  <c r="I2933" i="1"/>
  <c r="J2932" i="1"/>
  <c r="I2932" i="1"/>
  <c r="J2931" i="1"/>
  <c r="I2931" i="1"/>
  <c r="J2930" i="1"/>
  <c r="I2930" i="1"/>
  <c r="J2929" i="1"/>
  <c r="I2929" i="1"/>
  <c r="J2928" i="1"/>
  <c r="I2928" i="1"/>
  <c r="J2927" i="1"/>
  <c r="I2927" i="1"/>
  <c r="J2926" i="1"/>
  <c r="I2926" i="1"/>
  <c r="J2925" i="1"/>
  <c r="I2925" i="1"/>
  <c r="J2924" i="1"/>
  <c r="I2924" i="1"/>
  <c r="J2923" i="1"/>
  <c r="I2923" i="1"/>
  <c r="J2922" i="1"/>
  <c r="I2922" i="1"/>
  <c r="J2921" i="1"/>
  <c r="I2921" i="1"/>
  <c r="J2920" i="1"/>
  <c r="I2920" i="1"/>
  <c r="J2919" i="1"/>
  <c r="I2919" i="1"/>
  <c r="J2918" i="1"/>
  <c r="I2918" i="1"/>
  <c r="J2917" i="1"/>
  <c r="I2917" i="1"/>
  <c r="J2916" i="1"/>
  <c r="I2916" i="1"/>
  <c r="J2915" i="1"/>
  <c r="I2915" i="1"/>
  <c r="J2914" i="1"/>
  <c r="I2914" i="1"/>
  <c r="J2913" i="1"/>
  <c r="I2913" i="1"/>
  <c r="J2912" i="1"/>
  <c r="I2912" i="1"/>
  <c r="J2911" i="1"/>
  <c r="I2911" i="1"/>
  <c r="J2910" i="1"/>
  <c r="I2910" i="1"/>
  <c r="J2909" i="1"/>
  <c r="I2909" i="1"/>
  <c r="J2908" i="1"/>
  <c r="I2908" i="1"/>
  <c r="J2907" i="1"/>
  <c r="I2907" i="1"/>
  <c r="J2906" i="1"/>
  <c r="I2906" i="1"/>
  <c r="J2905" i="1"/>
  <c r="I2905" i="1"/>
  <c r="J2904" i="1"/>
  <c r="I2904" i="1"/>
  <c r="J2903" i="1"/>
  <c r="I2903" i="1"/>
  <c r="J2902" i="1"/>
  <c r="I2902" i="1"/>
  <c r="J2901" i="1"/>
  <c r="I2901" i="1"/>
  <c r="J2900" i="1"/>
  <c r="I2900" i="1"/>
  <c r="J2899" i="1"/>
  <c r="I2899" i="1"/>
  <c r="J2898" i="1"/>
  <c r="I2898" i="1"/>
  <c r="J2897" i="1"/>
  <c r="I2897" i="1"/>
  <c r="J2896" i="1"/>
  <c r="I2896" i="1"/>
  <c r="J2895" i="1"/>
  <c r="I2895" i="1"/>
  <c r="J2894" i="1"/>
  <c r="I2894" i="1"/>
  <c r="J2893" i="1"/>
  <c r="I2893" i="1"/>
  <c r="J2892" i="1"/>
  <c r="I2892" i="1"/>
  <c r="J2891" i="1"/>
  <c r="I2891" i="1"/>
  <c r="J2890" i="1"/>
  <c r="I2890" i="1"/>
  <c r="J2889" i="1"/>
  <c r="I2889" i="1"/>
  <c r="J2888" i="1"/>
  <c r="I2888" i="1"/>
  <c r="J2887" i="1"/>
  <c r="I2887" i="1"/>
  <c r="J2886" i="1"/>
  <c r="I2886" i="1"/>
  <c r="J2885" i="1"/>
  <c r="I2885" i="1"/>
  <c r="J2884" i="1"/>
  <c r="I2884" i="1"/>
  <c r="J2883" i="1"/>
  <c r="I2883" i="1"/>
  <c r="J2882" i="1"/>
  <c r="I2882" i="1"/>
  <c r="J2881" i="1"/>
  <c r="I2881" i="1"/>
  <c r="J2880" i="1"/>
  <c r="I2880" i="1"/>
  <c r="J2879" i="1"/>
  <c r="I2879" i="1"/>
  <c r="J2878" i="1"/>
  <c r="I2878" i="1"/>
  <c r="J2877" i="1"/>
  <c r="I2877" i="1"/>
  <c r="J2876" i="1"/>
  <c r="I2876" i="1"/>
  <c r="J2875" i="1"/>
  <c r="I2875" i="1"/>
  <c r="J2874" i="1"/>
  <c r="I2874" i="1"/>
  <c r="J2873" i="1"/>
  <c r="I2873" i="1"/>
  <c r="J2872" i="1"/>
  <c r="I2872" i="1"/>
  <c r="J2871" i="1"/>
  <c r="I2871" i="1"/>
  <c r="J2870" i="1"/>
  <c r="I2870" i="1"/>
  <c r="J2869" i="1"/>
  <c r="I2869" i="1"/>
  <c r="J2868" i="1"/>
  <c r="I2868" i="1"/>
  <c r="J2867" i="1"/>
  <c r="I2867" i="1"/>
  <c r="J2866" i="1"/>
  <c r="I2866" i="1"/>
  <c r="J2865" i="1"/>
  <c r="I2865" i="1"/>
  <c r="J2864" i="1"/>
  <c r="I2864" i="1"/>
  <c r="J2863" i="1"/>
  <c r="I2863" i="1"/>
  <c r="J2862" i="1"/>
  <c r="I2862" i="1"/>
  <c r="J2861" i="1"/>
  <c r="I2861" i="1"/>
  <c r="J2860" i="1"/>
  <c r="I2860" i="1"/>
  <c r="J2859" i="1"/>
  <c r="I2859" i="1"/>
  <c r="J2858" i="1"/>
  <c r="I2858" i="1"/>
  <c r="J2857" i="1"/>
  <c r="I2857" i="1"/>
  <c r="J2856" i="1"/>
  <c r="I2856" i="1"/>
  <c r="J2855" i="1"/>
  <c r="I2855" i="1"/>
  <c r="J2854" i="1"/>
  <c r="I2854" i="1"/>
  <c r="J2853" i="1"/>
  <c r="I2853" i="1"/>
  <c r="J2852" i="1"/>
  <c r="I2852" i="1"/>
  <c r="J2851" i="1"/>
  <c r="I2851" i="1"/>
  <c r="J2850" i="1"/>
  <c r="I2850" i="1"/>
  <c r="J2849" i="1"/>
  <c r="I2849" i="1"/>
  <c r="J2848" i="1"/>
  <c r="I2848" i="1"/>
  <c r="J2847" i="1"/>
  <c r="I2847" i="1"/>
  <c r="J2846" i="1"/>
  <c r="I2846" i="1"/>
  <c r="J2845" i="1"/>
  <c r="I2845" i="1"/>
  <c r="J2844" i="1"/>
  <c r="I2844" i="1"/>
  <c r="J2843" i="1"/>
  <c r="I2843" i="1"/>
  <c r="J2842" i="1"/>
  <c r="I2842" i="1"/>
  <c r="J2841" i="1"/>
  <c r="I2841" i="1"/>
  <c r="J2840" i="1"/>
  <c r="I2840" i="1"/>
  <c r="J2839" i="1"/>
  <c r="I2839" i="1"/>
  <c r="J2838" i="1"/>
  <c r="I2838" i="1"/>
  <c r="J2837" i="1"/>
  <c r="I2837" i="1"/>
  <c r="J2836" i="1"/>
  <c r="I2836" i="1"/>
  <c r="J2835" i="1"/>
  <c r="I2835" i="1"/>
  <c r="J2834" i="1"/>
  <c r="I2834" i="1"/>
  <c r="J2833" i="1"/>
  <c r="I2833" i="1"/>
  <c r="J2832" i="1"/>
  <c r="I2832" i="1"/>
  <c r="J2831" i="1"/>
  <c r="I2831" i="1"/>
  <c r="J2830" i="1"/>
  <c r="I2830" i="1"/>
  <c r="J2829" i="1"/>
  <c r="I2829" i="1"/>
  <c r="J2828" i="1"/>
  <c r="I2828" i="1"/>
  <c r="J2827" i="1"/>
  <c r="I2827" i="1"/>
  <c r="J2826" i="1"/>
  <c r="I2826" i="1"/>
  <c r="J2825" i="1"/>
  <c r="I2825" i="1"/>
  <c r="J2824" i="1"/>
  <c r="I2824" i="1"/>
  <c r="J2823" i="1"/>
  <c r="I2823" i="1"/>
  <c r="J2822" i="1"/>
  <c r="I2822" i="1"/>
  <c r="J2821" i="1"/>
  <c r="I2821" i="1"/>
  <c r="J2820" i="1"/>
  <c r="I2820" i="1"/>
  <c r="J2819" i="1"/>
  <c r="I2819" i="1"/>
  <c r="J2818" i="1"/>
  <c r="I2818" i="1"/>
  <c r="J2817" i="1"/>
  <c r="I2817" i="1"/>
  <c r="J2816" i="1"/>
  <c r="I2816" i="1"/>
  <c r="J2815" i="1"/>
  <c r="I2815" i="1"/>
  <c r="J2814" i="1"/>
  <c r="I2814" i="1"/>
  <c r="J2813" i="1"/>
  <c r="I2813" i="1"/>
  <c r="J2812" i="1"/>
  <c r="I2812" i="1"/>
  <c r="J2811" i="1"/>
  <c r="I2811" i="1"/>
  <c r="J2810" i="1"/>
  <c r="I2810" i="1"/>
  <c r="J2809" i="1"/>
  <c r="I2809" i="1"/>
  <c r="J2808" i="1"/>
  <c r="I2808" i="1"/>
  <c r="J2807" i="1"/>
  <c r="I2807" i="1"/>
  <c r="J2806" i="1"/>
  <c r="I2806" i="1"/>
  <c r="J2805" i="1"/>
  <c r="I2805" i="1"/>
  <c r="J2804" i="1"/>
  <c r="I2804" i="1"/>
  <c r="J2803" i="1"/>
  <c r="I2803" i="1"/>
  <c r="J2802" i="1"/>
  <c r="I2802" i="1"/>
  <c r="J2801" i="1"/>
  <c r="I2801" i="1"/>
  <c r="J2800" i="1"/>
  <c r="I2800" i="1"/>
  <c r="J2799" i="1"/>
  <c r="I2799" i="1"/>
  <c r="J2798" i="1"/>
  <c r="I2798" i="1"/>
  <c r="J2797" i="1"/>
  <c r="I2797" i="1"/>
  <c r="J2796" i="1"/>
  <c r="I2796" i="1"/>
  <c r="J2795" i="1"/>
  <c r="I2795" i="1"/>
  <c r="J2794" i="1"/>
  <c r="I2794" i="1"/>
  <c r="J2793" i="1"/>
  <c r="I2793" i="1"/>
  <c r="J2792" i="1"/>
  <c r="I2792" i="1"/>
  <c r="J2791" i="1"/>
  <c r="I2791" i="1"/>
  <c r="J2790" i="1"/>
  <c r="I2790" i="1"/>
  <c r="J2789" i="1"/>
  <c r="I2789" i="1"/>
  <c r="J2788" i="1"/>
  <c r="I2788" i="1"/>
  <c r="J2787" i="1"/>
  <c r="I2787" i="1"/>
  <c r="J2786" i="1"/>
  <c r="I2786" i="1"/>
  <c r="J2785" i="1"/>
  <c r="I2785" i="1"/>
  <c r="J2784" i="1"/>
  <c r="I2784" i="1"/>
  <c r="J2783" i="1"/>
  <c r="I2783" i="1"/>
  <c r="J2782" i="1"/>
  <c r="I2782" i="1"/>
  <c r="J2781" i="1"/>
  <c r="I2781" i="1"/>
  <c r="J2780" i="1"/>
  <c r="I2780" i="1"/>
  <c r="J2779" i="1"/>
  <c r="I2779" i="1"/>
  <c r="J2778" i="1"/>
  <c r="I2778" i="1"/>
  <c r="J2777" i="1"/>
  <c r="I2777" i="1"/>
  <c r="J2776" i="1"/>
  <c r="I2776" i="1"/>
  <c r="J2775" i="1"/>
  <c r="I2775" i="1"/>
  <c r="J2774" i="1"/>
  <c r="I2774" i="1"/>
  <c r="J2773" i="1"/>
  <c r="I2773" i="1"/>
  <c r="J2772" i="1"/>
  <c r="I2772" i="1"/>
  <c r="J2771" i="1"/>
  <c r="I2771" i="1"/>
  <c r="J2770" i="1"/>
  <c r="I2770" i="1"/>
  <c r="J2769" i="1"/>
  <c r="I2769" i="1"/>
  <c r="J2768" i="1"/>
  <c r="I2768" i="1"/>
  <c r="J2767" i="1"/>
  <c r="I2767" i="1"/>
  <c r="J2766" i="1"/>
  <c r="I2766" i="1"/>
  <c r="J2765" i="1"/>
  <c r="I2765" i="1"/>
  <c r="J2764" i="1"/>
  <c r="I2764" i="1"/>
  <c r="J2763" i="1"/>
  <c r="I2763" i="1"/>
  <c r="J2762" i="1"/>
  <c r="I2762" i="1"/>
  <c r="J2761" i="1"/>
  <c r="I2761" i="1"/>
  <c r="J2760" i="1"/>
  <c r="I2760" i="1"/>
  <c r="J2759" i="1"/>
  <c r="I2759" i="1"/>
  <c r="J2758" i="1"/>
  <c r="I2758" i="1"/>
  <c r="J2757" i="1"/>
  <c r="I2757" i="1"/>
  <c r="J2756" i="1"/>
  <c r="I2756" i="1"/>
  <c r="J2755" i="1"/>
  <c r="I2755" i="1"/>
  <c r="J2754" i="1"/>
  <c r="I2754" i="1"/>
  <c r="J2753" i="1"/>
  <c r="I2753" i="1"/>
  <c r="J2752" i="1"/>
  <c r="I2752" i="1"/>
  <c r="J2751" i="1"/>
  <c r="I2751" i="1"/>
  <c r="J2750" i="1"/>
  <c r="I2750" i="1"/>
  <c r="J2749" i="1"/>
  <c r="I2749" i="1"/>
  <c r="J2748" i="1"/>
  <c r="I2748" i="1"/>
  <c r="J2747" i="1"/>
  <c r="I2747" i="1"/>
  <c r="J2746" i="1"/>
  <c r="I2746" i="1"/>
  <c r="J2745" i="1"/>
  <c r="I2745" i="1"/>
  <c r="J2744" i="1"/>
  <c r="I2744" i="1"/>
  <c r="J2743" i="1"/>
  <c r="I2743" i="1"/>
  <c r="J2742" i="1"/>
  <c r="I2742" i="1"/>
  <c r="J2741" i="1"/>
  <c r="I2741" i="1"/>
  <c r="J2740" i="1"/>
  <c r="I2740" i="1"/>
  <c r="J2739" i="1"/>
  <c r="I2739" i="1"/>
  <c r="J2738" i="1"/>
  <c r="I2738" i="1"/>
  <c r="J2737" i="1"/>
  <c r="I2737" i="1"/>
  <c r="J2736" i="1"/>
  <c r="I2736" i="1"/>
  <c r="J2735" i="1"/>
  <c r="I2735" i="1"/>
  <c r="J2734" i="1"/>
  <c r="I2734" i="1"/>
  <c r="J2733" i="1"/>
  <c r="I2733" i="1"/>
  <c r="J2732" i="1"/>
  <c r="I2732" i="1"/>
  <c r="J2731" i="1"/>
  <c r="I2731" i="1"/>
  <c r="J2730" i="1"/>
  <c r="I2730" i="1"/>
  <c r="J2729" i="1"/>
  <c r="I2729" i="1"/>
  <c r="J2728" i="1"/>
  <c r="I2728" i="1"/>
  <c r="J2727" i="1"/>
  <c r="I2727" i="1"/>
  <c r="J2726" i="1"/>
  <c r="I2726" i="1"/>
  <c r="J2725" i="1"/>
  <c r="I2725" i="1"/>
  <c r="J2724" i="1"/>
  <c r="I2724" i="1"/>
  <c r="J2723" i="1"/>
  <c r="I2723" i="1"/>
  <c r="J2722" i="1"/>
  <c r="I2722" i="1"/>
  <c r="J2721" i="1"/>
  <c r="I2721" i="1"/>
  <c r="J2720" i="1"/>
  <c r="I2720" i="1"/>
  <c r="J2719" i="1"/>
  <c r="I2719" i="1"/>
  <c r="J2718" i="1"/>
  <c r="I2718" i="1"/>
  <c r="J2717" i="1"/>
  <c r="I2717" i="1"/>
  <c r="J2716" i="1"/>
  <c r="I2716" i="1"/>
  <c r="J2715" i="1"/>
  <c r="I2715" i="1"/>
  <c r="J2714" i="1"/>
  <c r="I2714" i="1"/>
  <c r="J2713" i="1"/>
  <c r="I2713" i="1"/>
  <c r="J2712" i="1"/>
  <c r="I2712" i="1"/>
  <c r="J2711" i="1"/>
  <c r="I2711" i="1"/>
  <c r="J2710" i="1"/>
  <c r="I2710" i="1"/>
  <c r="J2709" i="1"/>
  <c r="I2709" i="1"/>
  <c r="J2708" i="1"/>
  <c r="I2708" i="1"/>
  <c r="J2707" i="1"/>
  <c r="I2707" i="1"/>
  <c r="J2706" i="1"/>
  <c r="I2706" i="1"/>
  <c r="J2705" i="1"/>
  <c r="I2705" i="1"/>
  <c r="J2704" i="1"/>
  <c r="I2704" i="1"/>
  <c r="J2703" i="1"/>
  <c r="I2703" i="1"/>
  <c r="J2702" i="1"/>
  <c r="I2702" i="1"/>
  <c r="J2701" i="1"/>
  <c r="I2701" i="1"/>
  <c r="J2700" i="1"/>
  <c r="I2700" i="1"/>
  <c r="J2699" i="1"/>
  <c r="I2699" i="1"/>
  <c r="J2698" i="1"/>
  <c r="I2698" i="1"/>
  <c r="J2697" i="1"/>
  <c r="I2697" i="1"/>
  <c r="J2696" i="1"/>
  <c r="I2696" i="1"/>
  <c r="J2695" i="1"/>
  <c r="I2695" i="1"/>
  <c r="J2694" i="1"/>
  <c r="I2694" i="1"/>
  <c r="J2693" i="1"/>
  <c r="I2693" i="1"/>
  <c r="J2692" i="1"/>
  <c r="I2692" i="1"/>
  <c r="J2691" i="1"/>
  <c r="I2691" i="1"/>
  <c r="J2690" i="1"/>
  <c r="I2690" i="1"/>
  <c r="J2689" i="1"/>
  <c r="I2689" i="1"/>
  <c r="J2688" i="1"/>
  <c r="I2688" i="1"/>
  <c r="J2687" i="1"/>
  <c r="I2687" i="1"/>
  <c r="J2686" i="1"/>
  <c r="I2686" i="1"/>
  <c r="J2685" i="1"/>
  <c r="I2685" i="1"/>
  <c r="J2684" i="1"/>
  <c r="I2684" i="1"/>
  <c r="J2683" i="1"/>
  <c r="I2683" i="1"/>
  <c r="J2682" i="1"/>
  <c r="I2682" i="1"/>
  <c r="J2681" i="1"/>
  <c r="I2681" i="1"/>
  <c r="J2680" i="1"/>
  <c r="I2680" i="1"/>
  <c r="J2679" i="1"/>
  <c r="I2679" i="1"/>
  <c r="J2678" i="1"/>
  <c r="I2678" i="1"/>
  <c r="J2677" i="1"/>
  <c r="I2677" i="1"/>
  <c r="J2676" i="1"/>
  <c r="I2676" i="1"/>
  <c r="J2675" i="1"/>
  <c r="I2675" i="1"/>
  <c r="J2674" i="1"/>
  <c r="I2674" i="1"/>
  <c r="J2673" i="1"/>
  <c r="I2673" i="1"/>
  <c r="J2672" i="1"/>
  <c r="I2672" i="1"/>
  <c r="J2671" i="1"/>
  <c r="I2671" i="1"/>
  <c r="J2670" i="1"/>
  <c r="I2670" i="1"/>
  <c r="J2669" i="1"/>
  <c r="I2669" i="1"/>
  <c r="J2668" i="1"/>
  <c r="I2668" i="1"/>
  <c r="J2667" i="1"/>
  <c r="I2667" i="1"/>
  <c r="J2666" i="1"/>
  <c r="I2666" i="1"/>
  <c r="J2665" i="1"/>
  <c r="I2665" i="1"/>
  <c r="J2664" i="1"/>
  <c r="I2664" i="1"/>
  <c r="J2663" i="1"/>
  <c r="I2663" i="1"/>
  <c r="J2662" i="1"/>
  <c r="I2662" i="1"/>
  <c r="J2661" i="1"/>
  <c r="I2661" i="1"/>
  <c r="J2660" i="1"/>
  <c r="I2660" i="1"/>
  <c r="J2659" i="1"/>
  <c r="I2659" i="1"/>
  <c r="J2658" i="1"/>
  <c r="I2658" i="1"/>
  <c r="J2657" i="1"/>
  <c r="I2657" i="1"/>
  <c r="J2656" i="1"/>
  <c r="I2656" i="1"/>
  <c r="J2655" i="1"/>
  <c r="I2655" i="1"/>
  <c r="J2654" i="1"/>
  <c r="I2654" i="1"/>
  <c r="J2653" i="1"/>
  <c r="I2653" i="1"/>
  <c r="J2652" i="1"/>
  <c r="I2652" i="1"/>
  <c r="J2651" i="1"/>
  <c r="I2651" i="1"/>
  <c r="J2650" i="1"/>
  <c r="I2650" i="1"/>
  <c r="J2649" i="1"/>
  <c r="I2649" i="1"/>
  <c r="J2648" i="1"/>
  <c r="I2648" i="1"/>
  <c r="J2647" i="1"/>
  <c r="I2647" i="1"/>
  <c r="J2646" i="1"/>
  <c r="I2646" i="1"/>
  <c r="J2645" i="1"/>
  <c r="I2645" i="1"/>
  <c r="J2644" i="1"/>
  <c r="I2644" i="1"/>
  <c r="J2643" i="1"/>
  <c r="I2643" i="1"/>
  <c r="J2642" i="1"/>
  <c r="I2642" i="1"/>
  <c r="J2641" i="1"/>
  <c r="I2641" i="1"/>
  <c r="J2640" i="1"/>
  <c r="I2640" i="1"/>
  <c r="J2639" i="1"/>
  <c r="I2639" i="1"/>
  <c r="J2638" i="1"/>
  <c r="I2638" i="1"/>
  <c r="J2637" i="1"/>
  <c r="I2637" i="1"/>
  <c r="J2636" i="1"/>
  <c r="I2636" i="1"/>
  <c r="J2635" i="1"/>
  <c r="I2635" i="1"/>
  <c r="J2634" i="1"/>
  <c r="I2634" i="1"/>
  <c r="J2633" i="1"/>
  <c r="I2633" i="1"/>
  <c r="J2632" i="1"/>
  <c r="I2632" i="1"/>
  <c r="J2631" i="1"/>
  <c r="I2631" i="1"/>
  <c r="J2630" i="1"/>
  <c r="I2630" i="1"/>
  <c r="J2629" i="1"/>
  <c r="I2629" i="1"/>
  <c r="J2628" i="1"/>
  <c r="I2628" i="1"/>
  <c r="J2627" i="1"/>
  <c r="I2627" i="1"/>
  <c r="J2626" i="1"/>
  <c r="I2626" i="1"/>
  <c r="J2625" i="1"/>
  <c r="I2625" i="1"/>
  <c r="J2624" i="1"/>
  <c r="I2624" i="1"/>
  <c r="J2623" i="1"/>
  <c r="I2623" i="1"/>
  <c r="J2622" i="1"/>
  <c r="I2622" i="1"/>
  <c r="J2621" i="1"/>
  <c r="I2621" i="1"/>
  <c r="J2620" i="1"/>
  <c r="I2620" i="1"/>
  <c r="J2619" i="1"/>
  <c r="I2619" i="1"/>
  <c r="J2618" i="1"/>
  <c r="I2618" i="1"/>
  <c r="J2617" i="1"/>
  <c r="I2617" i="1"/>
  <c r="J2616" i="1"/>
  <c r="I2616" i="1"/>
  <c r="J2615" i="1"/>
  <c r="I2615" i="1"/>
  <c r="J2614" i="1"/>
  <c r="I2614" i="1"/>
  <c r="J2613" i="1"/>
  <c r="I2613" i="1"/>
  <c r="J2612" i="1"/>
  <c r="I2612" i="1"/>
  <c r="J2611" i="1"/>
  <c r="I2611" i="1"/>
  <c r="J2610" i="1"/>
  <c r="I2610" i="1"/>
  <c r="J2609" i="1"/>
  <c r="I2609" i="1"/>
  <c r="J2608" i="1"/>
  <c r="I2608" i="1"/>
  <c r="J2607" i="1"/>
  <c r="I2607" i="1"/>
  <c r="J2606" i="1"/>
  <c r="I2606" i="1"/>
  <c r="J2605" i="1"/>
  <c r="I2605" i="1"/>
  <c r="J2604" i="1"/>
  <c r="I2604" i="1"/>
  <c r="J2603" i="1"/>
  <c r="I2603" i="1"/>
  <c r="J2602" i="1"/>
  <c r="I2602" i="1"/>
  <c r="J2601" i="1"/>
  <c r="I2601" i="1"/>
  <c r="J2600" i="1"/>
  <c r="I2600" i="1"/>
  <c r="J2599" i="1"/>
  <c r="I2599" i="1"/>
  <c r="J2598" i="1"/>
  <c r="I2598" i="1"/>
  <c r="J2597" i="1"/>
  <c r="I2597" i="1"/>
  <c r="J2596" i="1"/>
  <c r="I2596" i="1"/>
  <c r="J2595" i="1"/>
  <c r="I2595" i="1"/>
  <c r="J2594" i="1"/>
  <c r="I2594" i="1"/>
  <c r="J2593" i="1"/>
  <c r="I2593" i="1"/>
  <c r="J2592" i="1"/>
  <c r="I2592" i="1"/>
  <c r="J2591" i="1"/>
  <c r="I2591" i="1"/>
  <c r="J2590" i="1"/>
  <c r="I2590" i="1"/>
  <c r="J2589" i="1"/>
  <c r="I2589" i="1"/>
  <c r="J2588" i="1"/>
  <c r="I2588" i="1"/>
  <c r="J2587" i="1"/>
  <c r="I2587" i="1"/>
  <c r="J2586" i="1"/>
  <c r="I2586" i="1"/>
  <c r="J2585" i="1"/>
  <c r="I2585" i="1"/>
  <c r="J2584" i="1"/>
  <c r="I2584" i="1"/>
  <c r="J2583" i="1"/>
  <c r="I2583" i="1"/>
  <c r="J2582" i="1"/>
  <c r="I2582" i="1"/>
  <c r="J2581" i="1"/>
  <c r="I2581" i="1"/>
  <c r="J2580" i="1"/>
  <c r="I2580" i="1"/>
  <c r="J2579" i="1"/>
  <c r="I2579" i="1"/>
  <c r="J2578" i="1"/>
  <c r="I2578" i="1"/>
  <c r="J2577" i="1"/>
  <c r="I2577" i="1"/>
  <c r="J2576" i="1"/>
  <c r="I2576" i="1"/>
  <c r="J2575" i="1"/>
  <c r="I2575" i="1"/>
  <c r="J2574" i="1"/>
  <c r="I2574" i="1"/>
  <c r="J2573" i="1"/>
  <c r="I2573" i="1"/>
  <c r="J2572" i="1"/>
  <c r="I2572" i="1"/>
  <c r="J2571" i="1"/>
  <c r="I2571" i="1"/>
  <c r="J2570" i="1"/>
  <c r="I2570" i="1"/>
  <c r="J2569" i="1"/>
  <c r="I2569" i="1"/>
  <c r="J2568" i="1"/>
  <c r="I2568" i="1"/>
  <c r="J2567" i="1"/>
  <c r="I2567" i="1"/>
  <c r="J2566" i="1"/>
  <c r="I2566" i="1"/>
  <c r="J2565" i="1"/>
  <c r="I2565" i="1"/>
  <c r="J2564" i="1"/>
  <c r="I2564" i="1"/>
  <c r="J2563" i="1"/>
  <c r="I2563" i="1"/>
  <c r="J2562" i="1"/>
  <c r="I2562" i="1"/>
  <c r="J2561" i="1"/>
  <c r="I2561" i="1"/>
  <c r="J2560" i="1"/>
  <c r="I2560" i="1"/>
  <c r="J2559" i="1"/>
  <c r="I2559" i="1"/>
  <c r="J2558" i="1"/>
  <c r="I2558" i="1"/>
  <c r="J2557" i="1"/>
  <c r="I2557" i="1"/>
  <c r="J2556" i="1"/>
  <c r="I2556" i="1"/>
  <c r="J2555" i="1"/>
  <c r="I2555" i="1"/>
  <c r="J2554" i="1"/>
  <c r="I2554" i="1"/>
  <c r="J2553" i="1"/>
  <c r="I2553" i="1"/>
  <c r="J2552" i="1"/>
  <c r="I2552" i="1"/>
  <c r="J2551" i="1"/>
  <c r="I2551" i="1"/>
  <c r="J2550" i="1"/>
  <c r="I2550" i="1"/>
  <c r="J2549" i="1"/>
  <c r="I2549" i="1"/>
  <c r="J2548" i="1"/>
  <c r="I2548" i="1"/>
  <c r="J2547" i="1"/>
  <c r="I2547" i="1"/>
  <c r="J2546" i="1"/>
  <c r="I2546" i="1"/>
  <c r="J2545" i="1"/>
  <c r="I2545" i="1"/>
  <c r="J2544" i="1"/>
  <c r="I2544" i="1"/>
  <c r="J2543" i="1"/>
  <c r="I2543" i="1"/>
  <c r="J2542" i="1"/>
  <c r="I2542" i="1"/>
  <c r="J2541" i="1"/>
  <c r="I2541" i="1"/>
  <c r="J2540" i="1"/>
  <c r="I2540" i="1"/>
  <c r="J2539" i="1"/>
  <c r="I2539" i="1"/>
  <c r="J2538" i="1"/>
  <c r="I2538" i="1"/>
  <c r="J2537" i="1"/>
  <c r="I2537" i="1"/>
  <c r="J2536" i="1"/>
  <c r="I2536" i="1"/>
  <c r="J2535" i="1"/>
  <c r="I2535" i="1"/>
  <c r="J2534" i="1"/>
  <c r="I2534" i="1"/>
  <c r="J2533" i="1"/>
  <c r="I2533" i="1"/>
  <c r="J2532" i="1"/>
  <c r="I2532" i="1"/>
  <c r="J2531" i="1"/>
  <c r="I2531" i="1"/>
  <c r="J2530" i="1"/>
  <c r="I2530" i="1"/>
  <c r="J2529" i="1"/>
  <c r="I2529" i="1"/>
  <c r="J2528" i="1"/>
  <c r="I2528" i="1"/>
  <c r="J2527" i="1"/>
  <c r="I2527" i="1"/>
  <c r="J2526" i="1"/>
  <c r="I2526" i="1"/>
  <c r="J2525" i="1"/>
  <c r="I2525" i="1"/>
  <c r="J2524" i="1"/>
  <c r="I2524" i="1"/>
  <c r="J2523" i="1"/>
  <c r="I2523" i="1"/>
  <c r="J2522" i="1"/>
  <c r="I2522" i="1"/>
  <c r="J2521" i="1"/>
  <c r="I2521" i="1"/>
  <c r="J2520" i="1"/>
  <c r="I2520" i="1"/>
  <c r="J2519" i="1"/>
  <c r="I2519" i="1"/>
  <c r="J2518" i="1"/>
  <c r="I2518" i="1"/>
  <c r="J2517" i="1"/>
  <c r="I2517" i="1"/>
  <c r="J2516" i="1"/>
  <c r="I2516" i="1"/>
  <c r="J2515" i="1"/>
  <c r="I2515" i="1"/>
  <c r="J2514" i="1"/>
  <c r="I2514" i="1"/>
  <c r="J2513" i="1"/>
  <c r="I2513" i="1"/>
  <c r="J2512" i="1"/>
  <c r="I2512" i="1"/>
  <c r="J2511" i="1"/>
  <c r="I2511" i="1"/>
  <c r="J2510" i="1"/>
  <c r="I2510" i="1"/>
  <c r="J2509" i="1"/>
  <c r="I2509" i="1"/>
  <c r="J2508" i="1"/>
  <c r="I2508" i="1"/>
  <c r="J2507" i="1"/>
  <c r="I2507" i="1"/>
  <c r="J2506" i="1"/>
  <c r="I2506" i="1"/>
  <c r="J2505" i="1"/>
  <c r="I2505" i="1"/>
  <c r="J2504" i="1"/>
  <c r="I2504" i="1"/>
  <c r="J2503" i="1"/>
  <c r="I2503" i="1"/>
  <c r="J2502" i="1"/>
  <c r="I2502" i="1"/>
  <c r="J2501" i="1"/>
  <c r="I2501" i="1"/>
  <c r="J2500" i="1"/>
  <c r="I2500" i="1"/>
  <c r="J2499" i="1"/>
  <c r="I2499" i="1"/>
  <c r="J2498" i="1"/>
  <c r="I2498" i="1"/>
  <c r="J2497" i="1"/>
  <c r="I2497" i="1"/>
  <c r="J2496" i="1"/>
  <c r="I2496" i="1"/>
  <c r="J2495" i="1"/>
  <c r="I2495" i="1"/>
  <c r="J2494" i="1"/>
  <c r="I2494" i="1"/>
  <c r="J2493" i="1"/>
  <c r="I2493" i="1"/>
  <c r="J2492" i="1"/>
  <c r="I2492" i="1"/>
  <c r="J2491" i="1"/>
  <c r="I2491" i="1"/>
  <c r="J2490" i="1"/>
  <c r="I2490" i="1"/>
  <c r="J2489" i="1"/>
  <c r="I2489" i="1"/>
  <c r="J2488" i="1"/>
  <c r="I2488" i="1"/>
  <c r="J2487" i="1"/>
  <c r="I2487" i="1"/>
  <c r="J2486" i="1"/>
  <c r="I2486" i="1"/>
  <c r="J2485" i="1"/>
  <c r="I2485" i="1"/>
  <c r="J2484" i="1"/>
  <c r="I2484" i="1"/>
  <c r="J2483" i="1"/>
  <c r="I2483" i="1"/>
  <c r="J2482" i="1"/>
  <c r="I2482" i="1"/>
  <c r="J2481" i="1"/>
  <c r="I2481" i="1"/>
  <c r="J2480" i="1"/>
  <c r="I2480" i="1"/>
  <c r="J2479" i="1"/>
  <c r="I2479" i="1"/>
  <c r="J2478" i="1"/>
  <c r="I2478" i="1"/>
  <c r="J2477" i="1"/>
  <c r="I2477" i="1"/>
  <c r="J2476" i="1"/>
  <c r="I2476" i="1"/>
  <c r="J2475" i="1"/>
  <c r="I2475" i="1"/>
  <c r="J2474" i="1"/>
  <c r="I2474" i="1"/>
  <c r="J2473" i="1"/>
  <c r="I2473" i="1"/>
  <c r="J2472" i="1"/>
  <c r="I2472" i="1"/>
  <c r="J2471" i="1"/>
  <c r="I2471" i="1"/>
  <c r="J2470" i="1"/>
  <c r="I2470" i="1"/>
  <c r="J2469" i="1"/>
  <c r="I2469" i="1"/>
  <c r="J2468" i="1"/>
  <c r="I2468" i="1"/>
  <c r="J2467" i="1"/>
  <c r="I2467" i="1"/>
  <c r="J2466" i="1"/>
  <c r="I2466" i="1"/>
  <c r="J2465" i="1"/>
  <c r="I2465" i="1"/>
  <c r="J2464" i="1"/>
  <c r="I2464" i="1"/>
  <c r="J2463" i="1"/>
  <c r="I2463" i="1"/>
  <c r="J2462" i="1"/>
  <c r="I2462" i="1"/>
  <c r="J2461" i="1"/>
  <c r="I2461" i="1"/>
  <c r="J2460" i="1"/>
  <c r="I2460" i="1"/>
  <c r="J2459" i="1"/>
  <c r="I2459" i="1"/>
  <c r="J2458" i="1"/>
  <c r="I2458" i="1"/>
  <c r="J2457" i="1"/>
  <c r="I2457" i="1"/>
  <c r="J2456" i="1"/>
  <c r="I2456" i="1"/>
  <c r="J2455" i="1"/>
  <c r="I2455" i="1"/>
  <c r="J2454" i="1"/>
  <c r="I2454" i="1"/>
  <c r="J2453" i="1"/>
  <c r="I2453" i="1"/>
  <c r="J2452" i="1"/>
  <c r="I2452" i="1"/>
  <c r="J2451" i="1"/>
  <c r="I2451" i="1"/>
  <c r="J2450" i="1"/>
  <c r="I2450" i="1"/>
  <c r="J2449" i="1"/>
  <c r="I2449" i="1"/>
  <c r="J2448" i="1"/>
  <c r="I2448" i="1"/>
  <c r="J2447" i="1"/>
  <c r="I2447" i="1"/>
  <c r="J2446" i="1"/>
  <c r="I2446" i="1"/>
  <c r="J2445" i="1"/>
  <c r="I2445" i="1"/>
  <c r="J2444" i="1"/>
  <c r="I2444" i="1"/>
  <c r="J2443" i="1"/>
  <c r="I2443" i="1"/>
  <c r="J2442" i="1"/>
  <c r="I2442" i="1"/>
  <c r="J2441" i="1"/>
  <c r="I2441" i="1"/>
  <c r="J2440" i="1"/>
  <c r="I2440" i="1"/>
  <c r="J2439" i="1"/>
  <c r="I2439" i="1"/>
  <c r="J2438" i="1"/>
  <c r="I2438" i="1"/>
  <c r="J2437" i="1"/>
  <c r="I2437" i="1"/>
  <c r="J2436" i="1"/>
  <c r="I2436" i="1"/>
  <c r="J2435" i="1"/>
  <c r="I2435" i="1"/>
  <c r="J2434" i="1"/>
  <c r="I2434" i="1"/>
  <c r="J2433" i="1"/>
  <c r="I2433" i="1"/>
  <c r="J2432" i="1"/>
  <c r="I2432" i="1"/>
  <c r="J2431" i="1"/>
  <c r="I2431" i="1"/>
  <c r="J2430" i="1"/>
  <c r="I2430" i="1"/>
  <c r="J2429" i="1"/>
  <c r="I2429" i="1"/>
  <c r="J2428" i="1"/>
  <c r="I2428" i="1"/>
  <c r="J2427" i="1"/>
  <c r="I2427" i="1"/>
  <c r="J2426" i="1"/>
  <c r="I2426" i="1"/>
  <c r="J2425" i="1"/>
  <c r="I2425" i="1"/>
  <c r="J2424" i="1"/>
  <c r="I2424" i="1"/>
  <c r="J2423" i="1"/>
  <c r="I2423" i="1"/>
  <c r="J2422" i="1"/>
  <c r="I2422" i="1"/>
  <c r="J2421" i="1"/>
  <c r="I2421" i="1"/>
  <c r="J2420" i="1"/>
  <c r="I2420" i="1"/>
  <c r="J2419" i="1"/>
  <c r="I2419" i="1"/>
  <c r="J2418" i="1"/>
  <c r="I2418" i="1"/>
  <c r="J2417" i="1"/>
  <c r="I2417" i="1"/>
  <c r="J2416" i="1"/>
  <c r="I2416" i="1"/>
  <c r="J2415" i="1"/>
  <c r="I2415" i="1"/>
  <c r="J2414" i="1"/>
  <c r="I2414" i="1"/>
  <c r="J2413" i="1"/>
  <c r="I2413" i="1"/>
  <c r="J2412" i="1"/>
  <c r="I2412" i="1"/>
  <c r="J2411" i="1"/>
  <c r="I2411" i="1"/>
  <c r="J2410" i="1"/>
  <c r="I2410" i="1"/>
  <c r="J2409" i="1"/>
  <c r="I2409" i="1"/>
  <c r="J2408" i="1"/>
  <c r="I2408" i="1"/>
  <c r="J2407" i="1"/>
  <c r="I2407" i="1"/>
  <c r="J2406" i="1"/>
  <c r="I2406" i="1"/>
  <c r="J2405" i="1"/>
  <c r="I2405" i="1"/>
  <c r="J2404" i="1"/>
  <c r="I2404" i="1"/>
  <c r="J2403" i="1"/>
  <c r="I2403" i="1"/>
  <c r="J2402" i="1"/>
  <c r="I2402" i="1"/>
  <c r="J2401" i="1"/>
  <c r="I2401" i="1"/>
  <c r="J2400" i="1"/>
  <c r="I2400" i="1"/>
  <c r="J2399" i="1"/>
  <c r="I2399" i="1"/>
  <c r="J2398" i="1"/>
  <c r="I2398" i="1"/>
  <c r="J2397" i="1"/>
  <c r="I2397" i="1"/>
  <c r="J2396" i="1"/>
  <c r="I2396" i="1"/>
  <c r="J2395" i="1"/>
  <c r="I2395" i="1"/>
  <c r="J2394" i="1"/>
  <c r="I2394" i="1"/>
  <c r="J2393" i="1"/>
  <c r="I2393" i="1"/>
  <c r="J2392" i="1"/>
  <c r="I2392" i="1"/>
  <c r="J2391" i="1"/>
  <c r="I2391" i="1"/>
  <c r="J2390" i="1"/>
  <c r="I2390" i="1"/>
  <c r="J2389" i="1"/>
  <c r="I2389" i="1"/>
  <c r="J2388" i="1"/>
  <c r="I2388" i="1"/>
  <c r="J2387" i="1"/>
  <c r="I2387" i="1"/>
  <c r="J2386" i="1"/>
  <c r="I2386" i="1"/>
  <c r="J2385" i="1"/>
  <c r="I2385" i="1"/>
  <c r="J2384" i="1"/>
  <c r="I2384" i="1"/>
  <c r="J2383" i="1"/>
  <c r="I2383" i="1"/>
  <c r="J2382" i="1"/>
  <c r="I2382" i="1"/>
  <c r="J2381" i="1"/>
  <c r="I2381" i="1"/>
  <c r="J2380" i="1"/>
  <c r="I2380" i="1"/>
  <c r="J2379" i="1"/>
  <c r="I2379" i="1"/>
  <c r="J2378" i="1"/>
  <c r="I2378" i="1"/>
  <c r="J2377" i="1"/>
  <c r="I2377" i="1"/>
  <c r="J2376" i="1"/>
  <c r="I2376" i="1"/>
  <c r="J2375" i="1"/>
  <c r="I2375" i="1"/>
  <c r="J2374" i="1"/>
  <c r="I2374" i="1"/>
  <c r="J2373" i="1"/>
  <c r="I2373" i="1"/>
  <c r="J2372" i="1"/>
  <c r="I2372" i="1"/>
  <c r="J2371" i="1"/>
  <c r="I2371" i="1"/>
  <c r="J2370" i="1"/>
  <c r="I2370" i="1"/>
  <c r="J2369" i="1"/>
  <c r="I2369" i="1"/>
  <c r="J2368" i="1"/>
  <c r="I2368" i="1"/>
  <c r="J2367" i="1"/>
  <c r="I2367" i="1"/>
  <c r="J2366" i="1"/>
  <c r="I2366" i="1"/>
  <c r="J2365" i="1"/>
  <c r="I2365" i="1"/>
  <c r="J2364" i="1"/>
  <c r="I2364" i="1"/>
  <c r="J2363" i="1"/>
  <c r="I2363" i="1"/>
  <c r="J2362" i="1"/>
  <c r="I2362" i="1"/>
  <c r="J2361" i="1"/>
  <c r="I2361" i="1"/>
  <c r="J2360" i="1"/>
  <c r="I2360" i="1"/>
  <c r="J2359" i="1"/>
  <c r="I2359" i="1"/>
  <c r="J2358" i="1"/>
  <c r="I2358" i="1"/>
  <c r="J2357" i="1"/>
  <c r="I2357" i="1"/>
  <c r="J2356" i="1"/>
  <c r="I2356" i="1"/>
  <c r="J2355" i="1"/>
  <c r="I2355" i="1"/>
  <c r="J2354" i="1"/>
  <c r="I2354" i="1"/>
  <c r="J2353" i="1"/>
  <c r="I2353" i="1"/>
  <c r="J2352" i="1"/>
  <c r="I2352" i="1"/>
  <c r="J2351" i="1"/>
  <c r="I2351" i="1"/>
  <c r="J2350" i="1"/>
  <c r="I2350" i="1"/>
  <c r="J2349" i="1"/>
  <c r="I2349" i="1"/>
  <c r="J2348" i="1"/>
  <c r="I2348" i="1"/>
  <c r="J2347" i="1"/>
  <c r="I2347" i="1"/>
  <c r="J2346" i="1"/>
  <c r="I2346" i="1"/>
  <c r="J2345" i="1"/>
  <c r="I2345" i="1"/>
  <c r="J2344" i="1"/>
  <c r="I2344" i="1"/>
  <c r="J2343" i="1"/>
  <c r="I2343" i="1"/>
  <c r="J2342" i="1"/>
  <c r="I2342" i="1"/>
  <c r="J2341" i="1"/>
  <c r="I2341" i="1"/>
  <c r="J2340" i="1"/>
  <c r="I2340" i="1"/>
  <c r="J2339" i="1"/>
  <c r="I2339" i="1"/>
  <c r="J2338" i="1"/>
  <c r="I2338" i="1"/>
  <c r="J2337" i="1"/>
  <c r="I2337" i="1"/>
  <c r="J2336" i="1"/>
  <c r="I2336" i="1"/>
  <c r="J2335" i="1"/>
  <c r="I2335" i="1"/>
  <c r="J2334" i="1"/>
  <c r="I2334" i="1"/>
  <c r="J2333" i="1"/>
  <c r="I2333" i="1"/>
  <c r="J2332" i="1"/>
  <c r="I2332" i="1"/>
  <c r="J2331" i="1"/>
  <c r="I2331" i="1"/>
  <c r="J2330" i="1"/>
  <c r="I2330" i="1"/>
  <c r="J2329" i="1"/>
  <c r="I2329" i="1"/>
  <c r="J2328" i="1"/>
  <c r="I2328" i="1"/>
  <c r="J2327" i="1"/>
  <c r="I2327" i="1"/>
  <c r="J2326" i="1"/>
  <c r="I2326" i="1"/>
  <c r="J2325" i="1"/>
  <c r="I2325" i="1"/>
  <c r="J2324" i="1"/>
  <c r="I2324" i="1"/>
  <c r="J2323" i="1"/>
  <c r="I2323" i="1"/>
  <c r="J2322" i="1"/>
  <c r="I2322" i="1"/>
  <c r="J2321" i="1"/>
  <c r="I2321" i="1"/>
  <c r="J2320" i="1"/>
  <c r="I2320" i="1"/>
  <c r="J2319" i="1"/>
  <c r="I2319" i="1"/>
  <c r="J2318" i="1"/>
  <c r="I2318" i="1"/>
  <c r="J2317" i="1"/>
  <c r="I2317" i="1"/>
  <c r="J2316" i="1"/>
  <c r="I2316" i="1"/>
  <c r="J2315" i="1"/>
  <c r="I2315" i="1"/>
  <c r="J2314" i="1"/>
  <c r="I2314" i="1"/>
  <c r="J2313" i="1"/>
  <c r="I2313" i="1"/>
  <c r="J2312" i="1"/>
  <c r="I2312" i="1"/>
  <c r="J2311" i="1"/>
  <c r="I2311" i="1"/>
  <c r="J2310" i="1"/>
  <c r="I2310" i="1"/>
  <c r="J2309" i="1"/>
  <c r="I2309" i="1"/>
  <c r="J2308" i="1"/>
  <c r="I2308" i="1"/>
  <c r="J2307" i="1"/>
  <c r="I2307" i="1"/>
  <c r="J2306" i="1"/>
  <c r="I2306" i="1"/>
  <c r="J2305" i="1"/>
  <c r="I2305" i="1"/>
  <c r="J2304" i="1"/>
  <c r="I2304" i="1"/>
  <c r="J2303" i="1"/>
  <c r="I2303" i="1"/>
  <c r="J2302" i="1"/>
  <c r="I2302" i="1"/>
  <c r="J2301" i="1"/>
  <c r="I2301" i="1"/>
  <c r="J2300" i="1"/>
  <c r="I2300" i="1"/>
  <c r="J2299" i="1"/>
  <c r="I2299" i="1"/>
  <c r="J2298" i="1"/>
  <c r="I2298" i="1"/>
  <c r="J2297" i="1"/>
  <c r="I2297" i="1"/>
  <c r="J2296" i="1"/>
  <c r="I2296" i="1"/>
  <c r="J2295" i="1"/>
  <c r="I2295" i="1"/>
  <c r="J2294" i="1"/>
  <c r="I2294" i="1"/>
  <c r="J2293" i="1"/>
  <c r="I2293" i="1"/>
  <c r="J2292" i="1"/>
  <c r="I2292" i="1"/>
  <c r="J2291" i="1"/>
  <c r="I2291" i="1"/>
  <c r="J2290" i="1"/>
  <c r="I2290" i="1"/>
  <c r="J2289" i="1"/>
  <c r="I2289" i="1"/>
  <c r="J2288" i="1"/>
  <c r="I2288" i="1"/>
  <c r="J2287" i="1"/>
  <c r="I2287" i="1"/>
  <c r="J2286" i="1"/>
  <c r="I2286" i="1"/>
  <c r="J2285" i="1"/>
  <c r="I2285" i="1"/>
  <c r="J2284" i="1"/>
  <c r="I2284" i="1"/>
  <c r="J2283" i="1"/>
  <c r="I2283" i="1"/>
  <c r="J2282" i="1"/>
  <c r="I2282" i="1"/>
  <c r="J2281" i="1"/>
  <c r="I2281" i="1"/>
  <c r="J2280" i="1"/>
  <c r="I2280" i="1"/>
  <c r="J2279" i="1"/>
  <c r="I2279" i="1"/>
  <c r="J2278" i="1"/>
  <c r="I2278" i="1"/>
  <c r="J2277" i="1"/>
  <c r="I2277" i="1"/>
  <c r="J2276" i="1"/>
  <c r="I2276" i="1"/>
  <c r="J2275" i="1"/>
  <c r="I2275" i="1"/>
  <c r="J2274" i="1"/>
  <c r="I2274" i="1"/>
  <c r="J2273" i="1"/>
  <c r="I2273" i="1"/>
  <c r="J2272" i="1"/>
  <c r="I2272" i="1"/>
  <c r="J2271" i="1"/>
  <c r="I2271" i="1"/>
  <c r="J2270" i="1"/>
  <c r="I2270" i="1"/>
  <c r="J2269" i="1"/>
  <c r="I2269" i="1"/>
  <c r="J2268" i="1"/>
  <c r="I2268" i="1"/>
  <c r="J2267" i="1"/>
  <c r="I2267" i="1"/>
  <c r="J2266" i="1"/>
  <c r="I2266" i="1"/>
  <c r="J2265" i="1"/>
  <c r="I2265" i="1"/>
  <c r="J2264" i="1"/>
  <c r="I2264" i="1"/>
  <c r="J2263" i="1"/>
  <c r="I2263" i="1"/>
  <c r="J2262" i="1"/>
  <c r="I2262" i="1"/>
  <c r="J2261" i="1"/>
  <c r="I2261" i="1"/>
  <c r="J2260" i="1"/>
  <c r="I2260" i="1"/>
  <c r="J2259" i="1"/>
  <c r="I2259" i="1"/>
  <c r="J2258" i="1"/>
  <c r="I2258" i="1"/>
  <c r="J2257" i="1"/>
  <c r="I2257" i="1"/>
  <c r="J2256" i="1"/>
  <c r="I2256" i="1"/>
  <c r="J2255" i="1"/>
  <c r="I2255" i="1"/>
  <c r="J2254" i="1"/>
  <c r="I2254" i="1"/>
  <c r="J2253" i="1"/>
  <c r="I2253" i="1"/>
  <c r="J2252" i="1"/>
  <c r="I2252" i="1"/>
  <c r="J2251" i="1"/>
  <c r="I2251" i="1"/>
  <c r="J2250" i="1"/>
  <c r="I2250" i="1"/>
  <c r="J2249" i="1"/>
  <c r="I2249" i="1"/>
  <c r="J2248" i="1"/>
  <c r="I2248" i="1"/>
  <c r="J2247" i="1"/>
  <c r="I2247" i="1"/>
  <c r="J2246" i="1"/>
  <c r="I2246" i="1"/>
  <c r="J2245" i="1"/>
  <c r="I2245" i="1"/>
  <c r="J2244" i="1"/>
  <c r="I2244" i="1"/>
  <c r="J2243" i="1"/>
  <c r="I2243" i="1"/>
  <c r="J2242" i="1"/>
  <c r="I2242" i="1"/>
  <c r="J2241" i="1"/>
  <c r="I2241" i="1"/>
  <c r="J2240" i="1"/>
  <c r="I2240" i="1"/>
  <c r="J2239" i="1"/>
  <c r="I2239" i="1"/>
  <c r="J2238" i="1"/>
  <c r="I2238" i="1"/>
  <c r="J2237" i="1"/>
  <c r="I2237" i="1"/>
  <c r="J2236" i="1"/>
  <c r="I2236" i="1"/>
  <c r="J2235" i="1"/>
  <c r="I2235" i="1"/>
  <c r="J2234" i="1"/>
  <c r="I2234" i="1"/>
  <c r="J2233" i="1"/>
  <c r="I2233" i="1"/>
  <c r="J2232" i="1"/>
  <c r="I2232" i="1"/>
  <c r="J2231" i="1"/>
  <c r="I2231" i="1"/>
  <c r="J2230" i="1"/>
  <c r="I2230" i="1"/>
  <c r="J2229" i="1"/>
  <c r="I2229" i="1"/>
  <c r="J2228" i="1"/>
  <c r="I2228" i="1"/>
  <c r="J2227" i="1"/>
  <c r="I2227" i="1"/>
  <c r="J2226" i="1"/>
  <c r="I2226" i="1"/>
  <c r="J2225" i="1"/>
  <c r="I2225" i="1"/>
  <c r="J2224" i="1"/>
  <c r="I2224" i="1"/>
  <c r="J2223" i="1"/>
  <c r="I2223" i="1"/>
  <c r="J2222" i="1"/>
  <c r="I2222" i="1"/>
  <c r="J2221" i="1"/>
  <c r="I2221" i="1"/>
  <c r="J2220" i="1"/>
  <c r="I2220" i="1"/>
  <c r="J2219" i="1"/>
  <c r="I2219" i="1"/>
  <c r="J2218" i="1"/>
  <c r="I2218" i="1"/>
  <c r="J2217" i="1"/>
  <c r="I2217" i="1"/>
  <c r="J2216" i="1"/>
  <c r="I2216" i="1"/>
  <c r="J2215" i="1"/>
  <c r="I2215" i="1"/>
  <c r="J2214" i="1"/>
  <c r="I2214" i="1"/>
  <c r="J2213" i="1"/>
  <c r="I2213" i="1"/>
  <c r="J2212" i="1"/>
  <c r="I2212" i="1"/>
  <c r="J2211" i="1"/>
  <c r="I2211" i="1"/>
  <c r="J2210" i="1"/>
  <c r="I2210" i="1"/>
  <c r="J2209" i="1"/>
  <c r="I2209" i="1"/>
  <c r="J2208" i="1"/>
  <c r="I2208" i="1"/>
  <c r="J2207" i="1"/>
  <c r="I2207" i="1"/>
  <c r="J2206" i="1"/>
  <c r="I2206" i="1"/>
  <c r="J2205" i="1"/>
  <c r="I2205" i="1"/>
  <c r="J2204" i="1"/>
  <c r="I2204" i="1"/>
  <c r="J2203" i="1"/>
  <c r="I2203" i="1"/>
  <c r="J2202" i="1"/>
  <c r="I2202" i="1"/>
  <c r="J2201" i="1"/>
  <c r="I2201" i="1"/>
  <c r="J2200" i="1"/>
  <c r="I2200" i="1"/>
  <c r="J2199" i="1"/>
  <c r="I2199" i="1"/>
  <c r="J2198" i="1"/>
  <c r="I2198" i="1"/>
  <c r="J2197" i="1"/>
  <c r="I2197" i="1"/>
  <c r="J2196" i="1"/>
  <c r="I2196" i="1"/>
  <c r="J2195" i="1"/>
  <c r="I2195" i="1"/>
  <c r="J2194" i="1"/>
  <c r="I2194" i="1"/>
  <c r="J2193" i="1"/>
  <c r="I2193" i="1"/>
  <c r="J2192" i="1"/>
  <c r="I2192" i="1"/>
  <c r="J2191" i="1"/>
  <c r="I2191" i="1"/>
  <c r="J2190" i="1"/>
  <c r="I2190" i="1"/>
  <c r="J2189" i="1"/>
  <c r="I2189" i="1"/>
  <c r="J2188" i="1"/>
  <c r="I2188" i="1"/>
  <c r="J2187" i="1"/>
  <c r="I2187" i="1"/>
  <c r="J2186" i="1"/>
  <c r="I2186" i="1"/>
  <c r="J2185" i="1"/>
  <c r="I2185" i="1"/>
  <c r="J2184" i="1"/>
  <c r="I2184" i="1"/>
  <c r="J2183" i="1"/>
  <c r="I2183" i="1"/>
  <c r="J2182" i="1"/>
  <c r="I2182" i="1"/>
  <c r="J2181" i="1"/>
  <c r="I2181" i="1"/>
  <c r="J2180" i="1"/>
  <c r="I2180" i="1"/>
  <c r="J2179" i="1"/>
  <c r="I2179" i="1"/>
  <c r="J2178" i="1"/>
  <c r="I2178" i="1"/>
  <c r="J2177" i="1"/>
  <c r="I2177" i="1"/>
  <c r="J2176" i="1"/>
  <c r="I2176" i="1"/>
  <c r="J2175" i="1"/>
  <c r="I2175" i="1"/>
  <c r="J2174" i="1"/>
  <c r="I2174" i="1"/>
  <c r="J2173" i="1"/>
  <c r="I2173" i="1"/>
  <c r="J2172" i="1"/>
  <c r="I2172" i="1"/>
  <c r="J2171" i="1"/>
  <c r="I2171" i="1"/>
  <c r="J2170" i="1"/>
  <c r="I2170" i="1"/>
  <c r="J2169" i="1"/>
  <c r="I2169" i="1"/>
  <c r="J2168" i="1"/>
  <c r="I2168" i="1"/>
  <c r="J2167" i="1"/>
  <c r="I2167" i="1"/>
  <c r="J2166" i="1"/>
  <c r="I2166" i="1"/>
  <c r="J2165" i="1"/>
  <c r="I2165" i="1"/>
  <c r="J2164" i="1"/>
  <c r="I2164" i="1"/>
  <c r="J2163" i="1"/>
  <c r="I2163" i="1"/>
  <c r="J2162" i="1"/>
  <c r="I2162" i="1"/>
  <c r="J2161" i="1"/>
  <c r="I2161" i="1"/>
  <c r="J2160" i="1"/>
  <c r="I2160" i="1"/>
  <c r="J2159" i="1"/>
  <c r="I2159" i="1"/>
  <c r="J2158" i="1"/>
  <c r="I2158" i="1"/>
  <c r="J2157" i="1"/>
  <c r="I2157" i="1"/>
  <c r="J2156" i="1"/>
  <c r="I2156" i="1"/>
  <c r="J2155" i="1"/>
  <c r="I2155" i="1"/>
  <c r="J2154" i="1"/>
  <c r="I2154" i="1"/>
  <c r="J2153" i="1"/>
  <c r="I2153" i="1"/>
  <c r="J2152" i="1"/>
  <c r="I2152" i="1"/>
  <c r="J2151" i="1"/>
  <c r="I2151" i="1"/>
  <c r="J2150" i="1"/>
  <c r="I2150" i="1"/>
  <c r="J2149" i="1"/>
  <c r="I2149" i="1"/>
  <c r="J2148" i="1"/>
  <c r="I2148" i="1"/>
  <c r="J2147" i="1"/>
  <c r="I2147" i="1"/>
  <c r="J2146" i="1"/>
  <c r="I2146" i="1"/>
  <c r="J2145" i="1"/>
  <c r="I2145" i="1"/>
  <c r="J2144" i="1"/>
  <c r="I2144" i="1"/>
  <c r="J2143" i="1"/>
  <c r="I2143" i="1"/>
  <c r="J2142" i="1"/>
  <c r="I2142" i="1"/>
  <c r="J2141" i="1"/>
  <c r="I2141" i="1"/>
  <c r="J2140" i="1"/>
  <c r="I2140" i="1"/>
  <c r="J2139" i="1"/>
  <c r="I2139" i="1"/>
  <c r="J2138" i="1"/>
  <c r="I2138" i="1"/>
  <c r="J2137" i="1"/>
  <c r="I2137" i="1"/>
  <c r="J2136" i="1"/>
  <c r="I2136" i="1"/>
  <c r="J2135" i="1"/>
  <c r="I2135" i="1"/>
  <c r="J2134" i="1"/>
  <c r="I2134" i="1"/>
  <c r="J2133" i="1"/>
  <c r="I2133" i="1"/>
  <c r="J2132" i="1"/>
  <c r="I2132" i="1"/>
  <c r="J2131" i="1"/>
  <c r="I2131" i="1"/>
  <c r="J2130" i="1"/>
  <c r="I2130" i="1"/>
  <c r="J2129" i="1"/>
  <c r="I2129" i="1"/>
  <c r="J2128" i="1"/>
  <c r="I2128" i="1"/>
  <c r="J2127" i="1"/>
  <c r="I2127" i="1"/>
  <c r="J2126" i="1"/>
  <c r="I2126" i="1"/>
  <c r="J2125" i="1"/>
  <c r="I2125" i="1"/>
  <c r="J2124" i="1"/>
  <c r="I2124" i="1"/>
  <c r="J2123" i="1"/>
  <c r="I2123" i="1"/>
  <c r="J2122" i="1"/>
  <c r="I2122" i="1"/>
  <c r="J2121" i="1"/>
  <c r="I2121" i="1"/>
  <c r="J2120" i="1"/>
  <c r="I2120" i="1"/>
  <c r="J2119" i="1"/>
  <c r="I2119" i="1"/>
  <c r="J2118" i="1"/>
  <c r="I2118" i="1"/>
  <c r="J2117" i="1"/>
  <c r="I2117" i="1"/>
  <c r="J2116" i="1"/>
  <c r="I2116" i="1"/>
  <c r="J2115" i="1"/>
  <c r="I2115" i="1"/>
  <c r="J2114" i="1"/>
  <c r="I2114" i="1"/>
  <c r="J2113" i="1"/>
  <c r="I2113" i="1"/>
  <c r="J2112" i="1"/>
  <c r="I2112" i="1"/>
  <c r="J2111" i="1"/>
  <c r="I2111" i="1"/>
  <c r="J2110" i="1"/>
  <c r="I2110" i="1"/>
  <c r="J2109" i="1"/>
  <c r="I2109" i="1"/>
  <c r="J2108" i="1"/>
  <c r="I2108" i="1"/>
  <c r="J2107" i="1"/>
  <c r="I2107" i="1"/>
  <c r="J2106" i="1"/>
  <c r="I2106" i="1"/>
  <c r="J2105" i="1"/>
  <c r="I2105" i="1"/>
  <c r="J2104" i="1"/>
  <c r="I2104" i="1"/>
  <c r="J2103" i="1"/>
  <c r="I2103" i="1"/>
  <c r="J2102" i="1"/>
  <c r="I2102" i="1"/>
  <c r="J2101" i="1"/>
  <c r="I2101" i="1"/>
  <c r="J2100" i="1"/>
  <c r="I2100" i="1"/>
  <c r="J2099" i="1"/>
  <c r="I2099" i="1"/>
  <c r="J2098" i="1"/>
  <c r="I2098" i="1"/>
  <c r="J2097" i="1"/>
  <c r="I2097" i="1"/>
  <c r="J2096" i="1"/>
  <c r="I2096" i="1"/>
  <c r="J2095" i="1"/>
  <c r="I2095" i="1"/>
  <c r="J2094" i="1"/>
  <c r="I2094" i="1"/>
  <c r="J2093" i="1"/>
  <c r="I2093" i="1"/>
  <c r="J2092" i="1"/>
  <c r="I2092" i="1"/>
  <c r="J2091" i="1"/>
  <c r="I2091" i="1"/>
  <c r="J2090" i="1"/>
  <c r="I2090" i="1"/>
  <c r="J2089" i="1"/>
  <c r="I2089" i="1"/>
  <c r="J2088" i="1"/>
  <c r="I2088" i="1"/>
  <c r="J2087" i="1"/>
  <c r="I2087" i="1"/>
  <c r="J2086" i="1"/>
  <c r="I2086" i="1"/>
  <c r="J2085" i="1"/>
  <c r="I2085" i="1"/>
  <c r="J2084" i="1"/>
  <c r="I2084" i="1"/>
  <c r="J2083" i="1"/>
  <c r="I2083" i="1"/>
  <c r="J2082" i="1"/>
  <c r="I2082" i="1"/>
  <c r="J2081" i="1"/>
  <c r="I2081" i="1"/>
  <c r="J2080" i="1"/>
  <c r="I2080" i="1"/>
  <c r="J2079" i="1"/>
  <c r="I2079" i="1"/>
  <c r="J2078" i="1"/>
  <c r="I2078" i="1"/>
  <c r="J2077" i="1"/>
  <c r="I2077" i="1"/>
  <c r="J2076" i="1"/>
  <c r="I2076" i="1"/>
  <c r="J2075" i="1"/>
  <c r="I2075" i="1"/>
  <c r="J2074" i="1"/>
  <c r="I2074" i="1"/>
  <c r="J2073" i="1"/>
  <c r="I2073" i="1"/>
  <c r="J2072" i="1"/>
  <c r="I2072" i="1"/>
  <c r="J2071" i="1"/>
  <c r="I2071" i="1"/>
  <c r="J2070" i="1"/>
  <c r="I2070" i="1"/>
  <c r="J2069" i="1"/>
  <c r="I2069" i="1"/>
  <c r="J2068" i="1"/>
  <c r="I2068" i="1"/>
  <c r="J2067" i="1"/>
  <c r="I2067" i="1"/>
  <c r="J2066" i="1"/>
  <c r="I2066" i="1"/>
  <c r="J2065" i="1"/>
  <c r="I2065" i="1"/>
  <c r="J2064" i="1"/>
  <c r="I2064" i="1"/>
  <c r="J2063" i="1"/>
  <c r="I2063" i="1"/>
  <c r="J2062" i="1"/>
  <c r="I2062" i="1"/>
  <c r="J2061" i="1"/>
  <c r="I2061" i="1"/>
  <c r="J2060" i="1"/>
  <c r="I2060" i="1"/>
  <c r="J2059" i="1"/>
  <c r="I2059" i="1"/>
  <c r="J2058" i="1"/>
  <c r="I2058" i="1"/>
  <c r="J2057" i="1"/>
  <c r="I2057" i="1"/>
  <c r="J2056" i="1"/>
  <c r="I2056" i="1"/>
  <c r="J2055" i="1"/>
  <c r="I2055" i="1"/>
  <c r="J2054" i="1"/>
  <c r="I2054" i="1"/>
  <c r="J2053" i="1"/>
  <c r="I2053" i="1"/>
  <c r="J2052" i="1"/>
  <c r="I2052" i="1"/>
  <c r="J2051" i="1"/>
  <c r="I2051" i="1"/>
  <c r="J2050" i="1"/>
  <c r="I2050" i="1"/>
  <c r="J2049" i="1"/>
  <c r="I2049" i="1"/>
  <c r="J2048" i="1"/>
  <c r="I2048" i="1"/>
  <c r="J2047" i="1"/>
  <c r="I2047" i="1"/>
  <c r="J2046" i="1"/>
  <c r="I2046" i="1"/>
  <c r="J2045" i="1"/>
  <c r="I2045" i="1"/>
  <c r="J2044" i="1"/>
  <c r="I2044" i="1"/>
  <c r="J2043" i="1"/>
  <c r="I2043" i="1"/>
  <c r="J2042" i="1"/>
  <c r="I2042" i="1"/>
  <c r="J2041" i="1"/>
  <c r="I2041" i="1"/>
  <c r="J2040" i="1"/>
  <c r="I2040" i="1"/>
  <c r="J2039" i="1"/>
  <c r="I2039" i="1"/>
  <c r="J2038" i="1"/>
  <c r="I2038" i="1"/>
  <c r="J2037" i="1"/>
  <c r="I2037" i="1"/>
  <c r="J2036" i="1"/>
  <c r="I2036" i="1"/>
  <c r="J2035" i="1"/>
  <c r="I2035" i="1"/>
  <c r="J2034" i="1"/>
  <c r="I2034" i="1"/>
  <c r="J2033" i="1"/>
  <c r="I2033" i="1"/>
  <c r="J2032" i="1"/>
  <c r="I2032" i="1"/>
  <c r="J2031" i="1"/>
  <c r="I2031" i="1"/>
  <c r="J2030" i="1"/>
  <c r="I2030" i="1"/>
  <c r="J2029" i="1"/>
  <c r="I2029" i="1"/>
  <c r="J2028" i="1"/>
  <c r="I2028" i="1"/>
  <c r="J2027" i="1"/>
  <c r="I2027" i="1"/>
  <c r="J2026" i="1"/>
  <c r="I2026" i="1"/>
  <c r="J2025" i="1"/>
  <c r="I2025" i="1"/>
  <c r="J2024" i="1"/>
  <c r="I2024" i="1"/>
  <c r="J2023" i="1"/>
  <c r="I2023" i="1"/>
  <c r="J2022" i="1"/>
  <c r="I2022" i="1"/>
  <c r="J2021" i="1"/>
  <c r="I2021" i="1"/>
  <c r="J2020" i="1"/>
  <c r="I2020" i="1"/>
  <c r="J2019" i="1"/>
  <c r="I2019" i="1"/>
  <c r="J2018" i="1"/>
  <c r="I2018" i="1"/>
  <c r="J2017" i="1"/>
  <c r="I2017" i="1"/>
  <c r="J2016" i="1"/>
  <c r="I2016" i="1"/>
  <c r="J2015" i="1"/>
  <c r="I2015" i="1"/>
  <c r="J2014" i="1"/>
  <c r="I2014" i="1"/>
  <c r="J2013" i="1"/>
  <c r="I2013" i="1"/>
  <c r="J2012" i="1"/>
  <c r="I2012" i="1"/>
  <c r="J2011" i="1"/>
  <c r="I2011" i="1"/>
  <c r="J2010" i="1"/>
  <c r="I2010" i="1"/>
  <c r="J2009" i="1"/>
  <c r="I2009" i="1"/>
  <c r="J2008" i="1"/>
  <c r="I2008" i="1"/>
  <c r="J2007" i="1"/>
  <c r="I2007" i="1"/>
  <c r="J2006" i="1"/>
  <c r="I2006" i="1"/>
  <c r="J2005" i="1"/>
  <c r="I2005" i="1"/>
  <c r="J2004" i="1"/>
  <c r="I2004" i="1"/>
  <c r="J2003" i="1"/>
  <c r="I2003" i="1"/>
  <c r="J2002" i="1"/>
  <c r="I2002" i="1"/>
  <c r="J2001" i="1"/>
  <c r="I2001" i="1"/>
  <c r="J2000" i="1"/>
  <c r="I2000" i="1"/>
  <c r="J1999" i="1"/>
  <c r="I1999" i="1"/>
  <c r="J1998" i="1"/>
  <c r="I1998" i="1"/>
  <c r="J1997" i="1"/>
  <c r="I1997" i="1"/>
  <c r="J1996" i="1"/>
  <c r="I1996" i="1"/>
  <c r="J1995" i="1"/>
  <c r="I1995" i="1"/>
  <c r="J1994" i="1"/>
  <c r="I1994" i="1"/>
  <c r="J1993" i="1"/>
  <c r="I1993" i="1"/>
  <c r="J1992" i="1"/>
  <c r="I1992" i="1"/>
  <c r="J1991" i="1"/>
  <c r="I1991" i="1"/>
  <c r="J1990" i="1"/>
  <c r="I1990" i="1"/>
  <c r="J1989" i="1"/>
  <c r="I1989" i="1"/>
  <c r="J1988" i="1"/>
  <c r="I1988" i="1"/>
  <c r="J1987" i="1"/>
  <c r="I1987" i="1"/>
  <c r="J1986" i="1"/>
  <c r="I1986" i="1"/>
  <c r="J1985" i="1"/>
  <c r="I1985" i="1"/>
  <c r="J1984" i="1"/>
  <c r="I1984" i="1"/>
  <c r="J1983" i="1"/>
  <c r="I1983" i="1"/>
  <c r="J1982" i="1"/>
  <c r="I1982" i="1"/>
  <c r="J1981" i="1"/>
  <c r="I1981" i="1"/>
  <c r="J1980" i="1"/>
  <c r="I1980" i="1"/>
  <c r="J1979" i="1"/>
  <c r="I1979" i="1"/>
  <c r="J1978" i="1"/>
  <c r="I1978" i="1"/>
  <c r="J1977" i="1"/>
  <c r="I1977" i="1"/>
  <c r="J1976" i="1"/>
  <c r="I1976" i="1"/>
  <c r="J1975" i="1"/>
  <c r="I1975" i="1"/>
  <c r="J1974" i="1"/>
  <c r="I1974" i="1"/>
  <c r="J1973" i="1"/>
  <c r="I1973" i="1"/>
  <c r="J1972" i="1"/>
  <c r="I1972" i="1"/>
  <c r="J1971" i="1"/>
  <c r="I1971" i="1"/>
  <c r="J1970" i="1"/>
  <c r="I1970" i="1"/>
  <c r="J1969" i="1"/>
  <c r="I1969" i="1"/>
  <c r="J1968" i="1"/>
  <c r="I1968" i="1"/>
  <c r="J1967" i="1"/>
  <c r="I1967" i="1"/>
  <c r="J1966" i="1"/>
  <c r="I1966" i="1"/>
  <c r="J1965" i="1"/>
  <c r="I1965" i="1"/>
  <c r="J1964" i="1"/>
  <c r="I1964" i="1"/>
  <c r="J1963" i="1"/>
  <c r="I1963" i="1"/>
  <c r="J1962" i="1"/>
  <c r="I1962" i="1"/>
  <c r="J1961" i="1"/>
  <c r="I1961" i="1"/>
  <c r="J1960" i="1"/>
  <c r="I1960" i="1"/>
  <c r="J1959" i="1"/>
  <c r="I1959" i="1"/>
  <c r="J1958" i="1"/>
  <c r="I1958" i="1"/>
  <c r="J1957" i="1"/>
  <c r="I1957" i="1"/>
  <c r="J1956" i="1"/>
  <c r="I1956" i="1"/>
  <c r="J1955" i="1"/>
  <c r="I1955" i="1"/>
  <c r="J1954" i="1"/>
  <c r="I1954" i="1"/>
  <c r="J1953" i="1"/>
  <c r="I1953" i="1"/>
  <c r="J1952" i="1"/>
  <c r="I1952" i="1"/>
  <c r="J1951" i="1"/>
  <c r="I1951" i="1"/>
  <c r="J1950" i="1"/>
  <c r="I1950" i="1"/>
  <c r="J1949" i="1"/>
  <c r="I1949" i="1"/>
  <c r="J1948" i="1"/>
  <c r="I1948" i="1"/>
  <c r="J1947" i="1"/>
  <c r="I1947" i="1"/>
  <c r="J1946" i="1"/>
  <c r="I1946" i="1"/>
  <c r="J1945" i="1"/>
  <c r="I1945" i="1"/>
  <c r="J1944" i="1"/>
  <c r="I1944" i="1"/>
  <c r="J1943" i="1"/>
  <c r="I1943" i="1"/>
  <c r="J1942" i="1"/>
  <c r="I1942" i="1"/>
  <c r="J1941" i="1"/>
  <c r="I1941" i="1"/>
  <c r="J1940" i="1"/>
  <c r="I1940" i="1"/>
  <c r="J1939" i="1"/>
  <c r="I1939" i="1"/>
  <c r="J1938" i="1"/>
  <c r="I1938" i="1"/>
  <c r="J1937" i="1"/>
  <c r="I1937" i="1"/>
  <c r="J1936" i="1"/>
  <c r="I1936" i="1"/>
  <c r="J1935" i="1"/>
  <c r="I1935" i="1"/>
  <c r="J1934" i="1"/>
  <c r="I1934" i="1"/>
  <c r="J1933" i="1"/>
  <c r="I1933" i="1"/>
  <c r="J1932" i="1"/>
  <c r="I1932" i="1"/>
  <c r="J1931" i="1"/>
  <c r="I1931" i="1"/>
  <c r="J1930" i="1"/>
  <c r="I1930" i="1"/>
  <c r="J1929" i="1"/>
  <c r="I1929" i="1"/>
  <c r="J1928" i="1"/>
  <c r="I1928" i="1"/>
  <c r="J1927" i="1"/>
  <c r="I1927" i="1"/>
  <c r="J1926" i="1"/>
  <c r="I1926" i="1"/>
  <c r="J1925" i="1"/>
  <c r="I1925" i="1"/>
  <c r="J1924" i="1"/>
  <c r="I1924" i="1"/>
  <c r="J1923" i="1"/>
  <c r="I1923" i="1"/>
  <c r="J1922" i="1"/>
  <c r="I1922" i="1"/>
  <c r="J1921" i="1"/>
  <c r="I1921" i="1"/>
  <c r="J1920" i="1"/>
  <c r="I1920" i="1"/>
  <c r="J1919" i="1"/>
  <c r="I1919" i="1"/>
  <c r="J1918" i="1"/>
  <c r="I1918" i="1"/>
  <c r="J1917" i="1"/>
  <c r="I1917" i="1"/>
  <c r="J1916" i="1"/>
  <c r="I1916" i="1"/>
  <c r="J1915" i="1"/>
  <c r="I1915" i="1"/>
  <c r="J1914" i="1"/>
  <c r="I1914" i="1"/>
  <c r="J1913" i="1"/>
  <c r="I1913" i="1"/>
  <c r="J1912" i="1"/>
  <c r="I1912" i="1"/>
  <c r="J1911" i="1"/>
  <c r="I1911" i="1"/>
  <c r="J1910" i="1"/>
  <c r="I1910" i="1"/>
  <c r="J1909" i="1"/>
  <c r="I1909" i="1"/>
  <c r="J1908" i="1"/>
  <c r="I1908" i="1"/>
  <c r="J1907" i="1"/>
  <c r="I1907" i="1"/>
  <c r="J1906" i="1"/>
  <c r="I1906" i="1"/>
  <c r="J1905" i="1"/>
  <c r="I1905" i="1"/>
  <c r="J1904" i="1"/>
  <c r="I1904" i="1"/>
  <c r="J1903" i="1"/>
  <c r="I1903" i="1"/>
  <c r="J1902" i="1"/>
  <c r="I1902" i="1"/>
  <c r="J1901" i="1"/>
  <c r="I1901" i="1"/>
  <c r="J1900" i="1"/>
  <c r="I1900" i="1"/>
  <c r="J1899" i="1"/>
  <c r="I1899" i="1"/>
  <c r="J1898" i="1"/>
  <c r="I1898" i="1"/>
  <c r="J1897" i="1"/>
  <c r="I1897" i="1"/>
  <c r="J1896" i="1"/>
  <c r="I1896" i="1"/>
  <c r="J1895" i="1"/>
  <c r="I1895" i="1"/>
  <c r="J1894" i="1"/>
  <c r="I1894" i="1"/>
  <c r="J1893" i="1"/>
  <c r="I1893" i="1"/>
  <c r="J1892" i="1"/>
  <c r="I1892" i="1"/>
  <c r="J1891" i="1"/>
  <c r="I1891" i="1"/>
  <c r="J1890" i="1"/>
  <c r="I1890" i="1"/>
  <c r="J1889" i="1"/>
  <c r="I1889" i="1"/>
  <c r="J1888" i="1"/>
  <c r="I1888" i="1"/>
  <c r="J1887" i="1"/>
  <c r="I1887" i="1"/>
  <c r="J1886" i="1"/>
  <c r="I1886" i="1"/>
  <c r="J1885" i="1"/>
  <c r="I1885" i="1"/>
  <c r="J1884" i="1"/>
  <c r="I1884" i="1"/>
  <c r="J1883" i="1"/>
  <c r="I1883" i="1"/>
  <c r="J1882" i="1"/>
  <c r="I1882" i="1"/>
  <c r="J1881" i="1"/>
  <c r="I1881" i="1"/>
  <c r="J1880" i="1"/>
  <c r="I1880" i="1"/>
  <c r="J1879" i="1"/>
  <c r="I1879" i="1"/>
  <c r="J1878" i="1"/>
  <c r="I1878" i="1"/>
  <c r="J1877" i="1"/>
  <c r="I1877" i="1"/>
  <c r="J1876" i="1"/>
  <c r="I1876" i="1"/>
  <c r="J1875" i="1"/>
  <c r="I1875" i="1"/>
  <c r="J1874" i="1"/>
  <c r="I1874" i="1"/>
  <c r="J1873" i="1"/>
  <c r="I1873" i="1"/>
  <c r="J1872" i="1"/>
  <c r="I1872" i="1"/>
  <c r="J1871" i="1"/>
  <c r="I1871" i="1"/>
  <c r="J1870" i="1"/>
  <c r="I1870" i="1"/>
  <c r="J1869" i="1"/>
  <c r="I1869" i="1"/>
  <c r="J1868" i="1"/>
  <c r="I1868" i="1"/>
  <c r="J1867" i="1"/>
  <c r="I1867" i="1"/>
  <c r="J1866" i="1"/>
  <c r="I1866" i="1"/>
  <c r="J1865" i="1"/>
  <c r="I1865" i="1"/>
  <c r="J1864" i="1"/>
  <c r="I1864" i="1"/>
  <c r="J1863" i="1"/>
  <c r="I1863" i="1"/>
  <c r="J1862" i="1"/>
  <c r="I1862" i="1"/>
  <c r="J1861" i="1"/>
  <c r="I1861" i="1"/>
  <c r="J1860" i="1"/>
  <c r="I1860" i="1"/>
  <c r="J1859" i="1"/>
  <c r="I1859" i="1"/>
  <c r="J1858" i="1"/>
  <c r="I1858" i="1"/>
  <c r="J1857" i="1"/>
  <c r="I1857" i="1"/>
  <c r="J1856" i="1"/>
  <c r="I1856" i="1"/>
  <c r="J1855" i="1"/>
  <c r="I1855" i="1"/>
  <c r="J1854" i="1"/>
  <c r="I1854" i="1"/>
  <c r="J1853" i="1"/>
  <c r="I1853" i="1"/>
  <c r="J1852" i="1"/>
  <c r="I1852" i="1"/>
  <c r="J1851" i="1"/>
  <c r="I1851" i="1"/>
  <c r="J1850" i="1"/>
  <c r="I1850" i="1"/>
  <c r="J1849" i="1"/>
  <c r="I1849" i="1"/>
  <c r="J1848" i="1"/>
  <c r="I1848" i="1"/>
  <c r="J1847" i="1"/>
  <c r="I1847" i="1"/>
  <c r="J1846" i="1"/>
  <c r="I1846" i="1"/>
  <c r="J1845" i="1"/>
  <c r="I1845" i="1"/>
  <c r="J1844" i="1"/>
  <c r="I1844" i="1"/>
  <c r="J1843" i="1"/>
  <c r="I1843" i="1"/>
  <c r="J1842" i="1"/>
  <c r="I1842" i="1"/>
  <c r="J1841" i="1"/>
  <c r="I1841" i="1"/>
  <c r="J1840" i="1"/>
  <c r="I1840" i="1"/>
  <c r="J1839" i="1"/>
  <c r="I1839" i="1"/>
  <c r="J1838" i="1"/>
  <c r="I1838" i="1"/>
  <c r="J1837" i="1"/>
  <c r="I1837" i="1"/>
  <c r="J1836" i="1"/>
  <c r="I1836" i="1"/>
  <c r="J1835" i="1"/>
  <c r="I1835" i="1"/>
  <c r="J1834" i="1"/>
  <c r="I1834" i="1"/>
  <c r="J1833" i="1"/>
  <c r="I1833" i="1"/>
  <c r="J1832" i="1"/>
  <c r="I1832" i="1"/>
  <c r="J1831" i="1"/>
  <c r="I1831" i="1"/>
  <c r="J1830" i="1"/>
  <c r="I1830" i="1"/>
  <c r="J1829" i="1"/>
  <c r="I1829" i="1"/>
  <c r="J1828" i="1"/>
  <c r="I1828" i="1"/>
  <c r="J1827" i="1"/>
  <c r="I1827" i="1"/>
  <c r="J1826" i="1"/>
  <c r="I1826" i="1"/>
  <c r="J1825" i="1"/>
  <c r="I1825" i="1"/>
  <c r="J1824" i="1"/>
  <c r="I1824" i="1"/>
  <c r="J1823" i="1"/>
  <c r="I1823" i="1"/>
  <c r="J1822" i="1"/>
  <c r="I1822" i="1"/>
  <c r="J1821" i="1"/>
  <c r="I1821" i="1"/>
  <c r="J1820" i="1"/>
  <c r="I1820" i="1"/>
  <c r="J1819" i="1"/>
  <c r="I1819" i="1"/>
  <c r="J1818" i="1"/>
  <c r="I1818" i="1"/>
  <c r="J1817" i="1"/>
  <c r="I1817" i="1"/>
  <c r="J1816" i="1"/>
  <c r="I1816" i="1"/>
  <c r="J1815" i="1"/>
  <c r="I1815" i="1"/>
  <c r="J1814" i="1"/>
  <c r="I1814" i="1"/>
  <c r="J1813" i="1"/>
  <c r="I1813" i="1"/>
  <c r="J1812" i="1"/>
  <c r="I1812" i="1"/>
  <c r="J1811" i="1"/>
  <c r="I1811" i="1"/>
  <c r="J1810" i="1"/>
  <c r="I1810" i="1"/>
  <c r="J1809" i="1"/>
  <c r="I1809" i="1"/>
  <c r="J1808" i="1"/>
  <c r="I1808" i="1"/>
  <c r="J1807" i="1"/>
  <c r="I1807" i="1"/>
  <c r="J1806" i="1"/>
  <c r="I1806" i="1"/>
  <c r="J1805" i="1"/>
  <c r="I1805" i="1"/>
  <c r="J1804" i="1"/>
  <c r="I1804" i="1"/>
  <c r="J1803" i="1"/>
  <c r="I1803" i="1"/>
  <c r="J1802" i="1"/>
  <c r="I1802" i="1"/>
  <c r="J1801" i="1"/>
  <c r="I1801" i="1"/>
  <c r="J1800" i="1"/>
  <c r="I1800" i="1"/>
  <c r="J1799" i="1"/>
  <c r="I1799" i="1"/>
  <c r="J1798" i="1"/>
  <c r="I1798" i="1"/>
  <c r="J1797" i="1"/>
  <c r="I1797" i="1"/>
  <c r="J1796" i="1"/>
  <c r="I1796" i="1"/>
  <c r="J1795" i="1"/>
  <c r="I1795" i="1"/>
  <c r="J1794" i="1"/>
  <c r="I1794" i="1"/>
  <c r="J1793" i="1"/>
  <c r="I1793" i="1"/>
  <c r="J1792" i="1"/>
  <c r="I1792" i="1"/>
  <c r="J1791" i="1"/>
  <c r="I1791" i="1"/>
  <c r="J1790" i="1"/>
  <c r="I1790" i="1"/>
  <c r="J1789" i="1"/>
  <c r="I1789" i="1"/>
  <c r="J1788" i="1"/>
  <c r="I1788" i="1"/>
  <c r="J1787" i="1"/>
  <c r="I1787" i="1"/>
  <c r="J1786" i="1"/>
  <c r="I1786" i="1"/>
  <c r="J1785" i="1"/>
  <c r="I1785" i="1"/>
  <c r="J1784" i="1"/>
  <c r="I1784" i="1"/>
  <c r="J1783" i="1"/>
  <c r="I1783" i="1"/>
  <c r="J1782" i="1"/>
  <c r="I1782" i="1"/>
  <c r="J1781" i="1"/>
  <c r="I1781" i="1"/>
  <c r="J1780" i="1"/>
  <c r="I1780" i="1"/>
  <c r="J1779" i="1"/>
  <c r="I1779" i="1"/>
  <c r="J1778" i="1"/>
  <c r="I1778" i="1"/>
  <c r="J1777" i="1"/>
  <c r="I1777" i="1"/>
  <c r="J1776" i="1"/>
  <c r="I1776" i="1"/>
  <c r="J1775" i="1"/>
  <c r="I1775" i="1"/>
  <c r="J1774" i="1"/>
  <c r="I1774" i="1"/>
  <c r="J1773" i="1"/>
  <c r="I1773" i="1"/>
  <c r="J1772" i="1"/>
  <c r="I1772" i="1"/>
  <c r="J1771" i="1"/>
  <c r="I1771" i="1"/>
  <c r="J1770" i="1"/>
  <c r="I1770" i="1"/>
  <c r="J1769" i="1"/>
  <c r="I1769" i="1"/>
  <c r="J1768" i="1"/>
  <c r="I1768" i="1"/>
  <c r="J1767" i="1"/>
  <c r="I1767" i="1"/>
  <c r="J1766" i="1"/>
  <c r="I1766" i="1"/>
  <c r="J1765" i="1"/>
  <c r="I1765" i="1"/>
  <c r="J1764" i="1"/>
  <c r="I1764" i="1"/>
  <c r="J1763" i="1"/>
  <c r="I1763" i="1"/>
  <c r="J1762" i="1"/>
  <c r="I1762" i="1"/>
  <c r="J1761" i="1"/>
  <c r="I1761" i="1"/>
  <c r="J1760" i="1"/>
  <c r="I1760" i="1"/>
  <c r="J1759" i="1"/>
  <c r="I1759" i="1"/>
  <c r="J1758" i="1"/>
  <c r="I1758" i="1"/>
  <c r="J1757" i="1"/>
  <c r="I1757" i="1"/>
  <c r="J1756" i="1"/>
  <c r="I1756" i="1"/>
  <c r="J1755" i="1"/>
  <c r="I1755" i="1"/>
  <c r="J1754" i="1"/>
  <c r="I1754" i="1"/>
  <c r="J1753" i="1"/>
  <c r="I1753" i="1"/>
  <c r="J1752" i="1"/>
  <c r="I1752" i="1"/>
  <c r="J1751" i="1"/>
  <c r="I1751" i="1"/>
  <c r="J1750" i="1"/>
  <c r="I1750" i="1"/>
  <c r="J1749" i="1"/>
  <c r="I1749" i="1"/>
  <c r="J1748" i="1"/>
  <c r="I1748" i="1"/>
  <c r="J1747" i="1"/>
  <c r="I1747" i="1"/>
  <c r="J1746" i="1"/>
  <c r="I1746" i="1"/>
  <c r="J1745" i="1"/>
  <c r="I1745" i="1"/>
  <c r="J1744" i="1"/>
  <c r="I1744" i="1"/>
  <c r="J1743" i="1"/>
  <c r="I1743" i="1"/>
  <c r="J1742" i="1"/>
  <c r="I1742" i="1"/>
  <c r="J1741" i="1"/>
  <c r="I1741" i="1"/>
  <c r="J1740" i="1"/>
  <c r="I1740" i="1"/>
  <c r="J1739" i="1"/>
  <c r="I1739" i="1"/>
  <c r="J1738" i="1"/>
  <c r="I1738" i="1"/>
  <c r="J1737" i="1"/>
  <c r="I1737" i="1"/>
  <c r="J1736" i="1"/>
  <c r="I1736" i="1"/>
  <c r="J1735" i="1"/>
  <c r="I1735" i="1"/>
  <c r="J1734" i="1"/>
  <c r="I1734" i="1"/>
  <c r="J1733" i="1"/>
  <c r="I1733" i="1"/>
  <c r="J1732" i="1"/>
  <c r="I1732" i="1"/>
  <c r="J1731" i="1"/>
  <c r="I1731" i="1"/>
  <c r="J1730" i="1"/>
  <c r="I1730" i="1"/>
  <c r="J1729" i="1"/>
  <c r="I1729" i="1"/>
  <c r="J1728" i="1"/>
  <c r="I1728" i="1"/>
  <c r="J1727" i="1"/>
  <c r="I1727" i="1"/>
  <c r="J1726" i="1"/>
  <c r="I1726" i="1"/>
  <c r="J1725" i="1"/>
  <c r="I1725" i="1"/>
  <c r="J1724" i="1"/>
  <c r="I1724" i="1"/>
  <c r="J1723" i="1"/>
  <c r="I1723" i="1"/>
  <c r="J1722" i="1"/>
  <c r="I1722" i="1"/>
  <c r="J1721" i="1"/>
  <c r="I1721" i="1"/>
  <c r="J1720" i="1"/>
  <c r="I1720" i="1"/>
  <c r="J1719" i="1"/>
  <c r="I1719" i="1"/>
  <c r="J1718" i="1"/>
  <c r="I1718" i="1"/>
  <c r="J1717" i="1"/>
  <c r="I1717" i="1"/>
  <c r="J1716" i="1"/>
  <c r="I1716" i="1"/>
  <c r="J1715" i="1"/>
  <c r="I1715" i="1"/>
  <c r="J1714" i="1"/>
  <c r="I1714" i="1"/>
  <c r="J1713" i="1"/>
  <c r="I1713" i="1"/>
  <c r="J1712" i="1"/>
  <c r="I1712" i="1"/>
  <c r="J1711" i="1"/>
  <c r="I1711" i="1"/>
  <c r="J1710" i="1"/>
  <c r="I1710" i="1"/>
  <c r="J1709" i="1"/>
  <c r="I1709" i="1"/>
  <c r="J1708" i="1"/>
  <c r="I1708" i="1"/>
  <c r="J1707" i="1"/>
  <c r="I1707" i="1"/>
  <c r="J1706" i="1"/>
  <c r="I1706" i="1"/>
  <c r="J1705" i="1"/>
  <c r="I1705" i="1"/>
  <c r="J1704" i="1"/>
  <c r="I1704" i="1"/>
  <c r="J1703" i="1"/>
  <c r="I1703" i="1"/>
  <c r="J1702" i="1"/>
  <c r="I1702" i="1"/>
  <c r="J1701" i="1"/>
  <c r="I1701" i="1"/>
  <c r="J1700" i="1"/>
  <c r="I1700" i="1"/>
  <c r="J1699" i="1"/>
  <c r="I1699" i="1"/>
  <c r="J1698" i="1"/>
  <c r="I1698" i="1"/>
  <c r="J1697" i="1"/>
  <c r="I1697" i="1"/>
  <c r="J1696" i="1"/>
  <c r="I1696" i="1"/>
  <c r="J1695" i="1"/>
  <c r="I1695" i="1"/>
  <c r="J1694" i="1"/>
  <c r="I1694" i="1"/>
  <c r="J1693" i="1"/>
  <c r="I1693" i="1"/>
  <c r="J1692" i="1"/>
  <c r="I1692" i="1"/>
  <c r="J1691" i="1"/>
  <c r="I1691" i="1"/>
  <c r="J1690" i="1"/>
  <c r="I1690" i="1"/>
  <c r="J1689" i="1"/>
  <c r="I1689" i="1"/>
  <c r="J1688" i="1"/>
  <c r="I1688" i="1"/>
  <c r="J1687" i="1"/>
  <c r="I1687" i="1"/>
  <c r="J1686" i="1"/>
  <c r="I1686" i="1"/>
  <c r="J1685" i="1"/>
  <c r="I1685" i="1"/>
  <c r="J1684" i="1"/>
  <c r="I1684" i="1"/>
  <c r="J1683" i="1"/>
  <c r="I1683" i="1"/>
  <c r="J1682" i="1"/>
  <c r="I1682" i="1"/>
  <c r="J1681" i="1"/>
  <c r="I1681" i="1"/>
  <c r="J1680" i="1"/>
  <c r="I1680" i="1"/>
  <c r="J1679" i="1"/>
  <c r="I1679" i="1"/>
  <c r="J1678" i="1"/>
  <c r="I1678" i="1"/>
  <c r="J1677" i="1"/>
  <c r="I1677" i="1"/>
  <c r="J1676" i="1"/>
  <c r="I1676" i="1"/>
  <c r="J1675" i="1"/>
  <c r="I1675" i="1"/>
  <c r="J1674" i="1"/>
  <c r="I1674" i="1"/>
  <c r="J1673" i="1"/>
  <c r="I1673" i="1"/>
  <c r="J1672" i="1"/>
  <c r="I1672" i="1"/>
  <c r="J1671" i="1"/>
  <c r="I1671" i="1"/>
  <c r="J1670" i="1"/>
  <c r="I1670" i="1"/>
  <c r="J1669" i="1"/>
  <c r="I1669" i="1"/>
  <c r="J1668" i="1"/>
  <c r="I1668" i="1"/>
  <c r="J1667" i="1"/>
  <c r="I1667" i="1"/>
  <c r="J1666" i="1"/>
  <c r="I1666" i="1"/>
  <c r="J1665" i="1"/>
  <c r="I1665" i="1"/>
  <c r="J1664" i="1"/>
  <c r="I1664" i="1"/>
  <c r="J1663" i="1"/>
  <c r="I1663" i="1"/>
  <c r="J1662" i="1"/>
  <c r="I1662" i="1"/>
  <c r="J1661" i="1"/>
  <c r="I1661" i="1"/>
  <c r="J1660" i="1"/>
  <c r="I1660" i="1"/>
  <c r="J1659" i="1"/>
  <c r="I1659" i="1"/>
  <c r="J1658" i="1"/>
  <c r="I1658" i="1"/>
  <c r="J1657" i="1"/>
  <c r="I1657" i="1"/>
  <c r="J1656" i="1"/>
  <c r="I1656" i="1"/>
  <c r="J1655" i="1"/>
  <c r="I1655" i="1"/>
  <c r="J1654" i="1"/>
  <c r="I1654" i="1"/>
  <c r="J1653" i="1"/>
  <c r="I1653" i="1"/>
  <c r="J1652" i="1"/>
  <c r="I1652" i="1"/>
  <c r="J1651" i="1"/>
  <c r="I1651" i="1"/>
  <c r="J1650" i="1"/>
  <c r="I1650" i="1"/>
  <c r="J1649" i="1"/>
  <c r="I1649" i="1"/>
  <c r="J1648" i="1"/>
  <c r="I1648" i="1"/>
  <c r="J1647" i="1"/>
  <c r="I1647" i="1"/>
  <c r="J1646" i="1"/>
  <c r="I1646" i="1"/>
  <c r="J1645" i="1"/>
  <c r="I1645" i="1"/>
  <c r="J1644" i="1"/>
  <c r="I1644" i="1"/>
  <c r="J1643" i="1"/>
  <c r="I1643" i="1"/>
  <c r="J1642" i="1"/>
  <c r="I1642" i="1"/>
  <c r="J1641" i="1"/>
  <c r="I1641" i="1"/>
  <c r="J1640" i="1"/>
  <c r="I1640" i="1"/>
  <c r="J1639" i="1"/>
  <c r="I1639" i="1"/>
  <c r="J1638" i="1"/>
  <c r="I1638" i="1"/>
  <c r="J1637" i="1"/>
  <c r="I1637" i="1"/>
  <c r="J1636" i="1"/>
  <c r="I1636" i="1"/>
  <c r="J1635" i="1"/>
  <c r="I1635" i="1"/>
  <c r="J1634" i="1"/>
  <c r="I1634" i="1"/>
  <c r="J1633" i="1"/>
  <c r="I1633" i="1"/>
  <c r="J1632" i="1"/>
  <c r="I1632" i="1"/>
  <c r="J1631" i="1"/>
  <c r="I1631" i="1"/>
  <c r="J1630" i="1"/>
  <c r="I1630" i="1"/>
  <c r="J1629" i="1"/>
  <c r="I1629" i="1"/>
  <c r="J1628" i="1"/>
  <c r="I1628" i="1"/>
  <c r="J1627" i="1"/>
  <c r="I1627" i="1"/>
  <c r="J1626" i="1"/>
  <c r="I1626" i="1"/>
  <c r="J1625" i="1"/>
  <c r="I1625" i="1"/>
  <c r="J1624" i="1"/>
  <c r="I1624" i="1"/>
  <c r="J1623" i="1"/>
  <c r="I1623" i="1"/>
  <c r="J1622" i="1"/>
  <c r="I1622" i="1"/>
  <c r="J1621" i="1"/>
  <c r="I1621" i="1"/>
  <c r="J1620" i="1"/>
  <c r="I1620" i="1"/>
  <c r="J1619" i="1"/>
  <c r="I1619" i="1"/>
  <c r="J1618" i="1"/>
  <c r="I1618" i="1"/>
  <c r="J1617" i="1"/>
  <c r="I1617" i="1"/>
  <c r="J1616" i="1"/>
  <c r="I1616" i="1"/>
  <c r="J1615" i="1"/>
  <c r="I1615" i="1"/>
  <c r="J1614" i="1"/>
  <c r="I1614" i="1"/>
  <c r="J1613" i="1"/>
  <c r="I1613" i="1"/>
  <c r="J1612" i="1"/>
  <c r="I1612" i="1"/>
  <c r="J1611" i="1"/>
  <c r="I1611" i="1"/>
  <c r="J1610" i="1"/>
  <c r="I1610" i="1"/>
  <c r="J1609" i="1"/>
  <c r="I1609" i="1"/>
  <c r="J1608" i="1"/>
  <c r="I1608" i="1"/>
  <c r="J1607" i="1"/>
  <c r="I1607" i="1"/>
  <c r="J1606" i="1"/>
  <c r="I1606" i="1"/>
  <c r="J1605" i="1"/>
  <c r="I1605" i="1"/>
  <c r="J1604" i="1"/>
  <c r="I1604" i="1"/>
  <c r="J1603" i="1"/>
  <c r="I1603" i="1"/>
  <c r="J1602" i="1"/>
  <c r="I1602" i="1"/>
  <c r="J1601" i="1"/>
  <c r="I1601" i="1"/>
  <c r="J1600" i="1"/>
  <c r="I1600" i="1"/>
  <c r="J1599" i="1"/>
  <c r="I1599" i="1"/>
  <c r="J1598" i="1"/>
  <c r="I1598" i="1"/>
  <c r="J1597" i="1"/>
  <c r="I1597" i="1"/>
  <c r="J1596" i="1"/>
  <c r="I1596" i="1"/>
  <c r="J1595" i="1"/>
  <c r="I1595" i="1"/>
  <c r="J1594" i="1"/>
  <c r="I1594" i="1"/>
  <c r="J1593" i="1"/>
  <c r="I1593" i="1"/>
  <c r="J1592" i="1"/>
  <c r="I1592" i="1"/>
  <c r="J1591" i="1"/>
  <c r="I1591" i="1"/>
  <c r="J1590" i="1"/>
  <c r="I1590" i="1"/>
  <c r="J1589" i="1"/>
  <c r="I1589" i="1"/>
  <c r="J1588" i="1"/>
  <c r="I1588" i="1"/>
  <c r="J1587" i="1"/>
  <c r="I1587" i="1"/>
  <c r="J1586" i="1"/>
  <c r="I1586" i="1"/>
  <c r="J1585" i="1"/>
  <c r="I1585" i="1"/>
  <c r="J1584" i="1"/>
  <c r="I1584" i="1"/>
  <c r="J1583" i="1"/>
  <c r="I1583" i="1"/>
  <c r="J1582" i="1"/>
  <c r="I1582" i="1"/>
  <c r="J1581" i="1"/>
  <c r="I1581" i="1"/>
  <c r="J1580" i="1"/>
  <c r="I1580" i="1"/>
  <c r="J1579" i="1"/>
  <c r="I1579" i="1"/>
  <c r="J1578" i="1"/>
  <c r="I1578" i="1"/>
  <c r="J1577" i="1"/>
  <c r="I1577" i="1"/>
  <c r="J1576" i="1"/>
  <c r="I1576" i="1"/>
  <c r="J1575" i="1"/>
  <c r="I1575" i="1"/>
  <c r="J1574" i="1"/>
  <c r="I1574" i="1"/>
  <c r="J1573" i="1"/>
  <c r="I1573" i="1"/>
  <c r="J1572" i="1"/>
  <c r="I1572" i="1"/>
  <c r="J1571" i="1"/>
  <c r="I1571" i="1"/>
  <c r="J1570" i="1"/>
  <c r="I1570" i="1"/>
  <c r="J1569" i="1"/>
  <c r="I1569" i="1"/>
  <c r="J1568" i="1"/>
  <c r="I1568" i="1"/>
  <c r="J1567" i="1"/>
  <c r="I1567" i="1"/>
  <c r="J1566" i="1"/>
  <c r="I1566" i="1"/>
  <c r="J1565" i="1"/>
  <c r="I1565" i="1"/>
  <c r="J1564" i="1"/>
  <c r="I1564" i="1"/>
  <c r="J1563" i="1"/>
  <c r="I1563" i="1"/>
  <c r="J1562" i="1"/>
  <c r="I1562" i="1"/>
  <c r="J1561" i="1"/>
  <c r="I1561" i="1"/>
  <c r="J1560" i="1"/>
  <c r="I1560" i="1"/>
  <c r="J1559" i="1"/>
  <c r="I1559" i="1"/>
  <c r="J1558" i="1"/>
  <c r="I1558" i="1"/>
  <c r="J1557" i="1"/>
  <c r="I1557" i="1"/>
  <c r="J1556" i="1"/>
  <c r="I1556" i="1"/>
  <c r="J1555" i="1"/>
  <c r="I1555" i="1"/>
  <c r="J1554" i="1"/>
  <c r="I1554" i="1"/>
  <c r="J1553" i="1"/>
  <c r="I1553" i="1"/>
  <c r="J1552" i="1"/>
  <c r="I1552" i="1"/>
  <c r="J1551" i="1"/>
  <c r="I1551" i="1"/>
  <c r="J1550" i="1"/>
  <c r="I1550" i="1"/>
  <c r="J1549" i="1"/>
  <c r="I1549" i="1"/>
  <c r="J1548" i="1"/>
  <c r="I1548" i="1"/>
  <c r="J1547" i="1"/>
  <c r="I1547" i="1"/>
  <c r="J1546" i="1"/>
  <c r="I1546" i="1"/>
  <c r="J1545" i="1"/>
  <c r="I1545" i="1"/>
  <c r="J1544" i="1"/>
  <c r="I1544" i="1"/>
  <c r="J1543" i="1"/>
  <c r="I1543" i="1"/>
  <c r="J1542" i="1"/>
  <c r="I1542" i="1"/>
  <c r="J1541" i="1"/>
  <c r="I1541" i="1"/>
  <c r="J1540" i="1"/>
  <c r="I1540" i="1"/>
  <c r="J1539" i="1"/>
  <c r="I1539" i="1"/>
  <c r="J1538" i="1"/>
  <c r="I1538" i="1"/>
  <c r="J1537" i="1"/>
  <c r="I1537" i="1"/>
  <c r="J1536" i="1"/>
  <c r="I1536" i="1"/>
  <c r="J1535" i="1"/>
  <c r="I1535" i="1"/>
  <c r="J1534" i="1"/>
  <c r="I1534" i="1"/>
  <c r="J1533" i="1"/>
  <c r="I1533" i="1"/>
  <c r="J1532" i="1"/>
  <c r="I1532" i="1"/>
  <c r="J1531" i="1"/>
  <c r="I1531" i="1"/>
  <c r="J1530" i="1"/>
  <c r="I1530" i="1"/>
  <c r="J1529" i="1"/>
  <c r="I1529" i="1"/>
  <c r="J1528" i="1"/>
  <c r="I1528" i="1"/>
  <c r="J1527" i="1"/>
  <c r="I1527" i="1"/>
  <c r="J1526" i="1"/>
  <c r="I1526" i="1"/>
  <c r="J1525" i="1"/>
  <c r="I1525" i="1"/>
  <c r="J1524" i="1"/>
  <c r="I1524" i="1"/>
  <c r="J1523" i="1"/>
  <c r="I1523" i="1"/>
  <c r="J1522" i="1"/>
  <c r="I1522" i="1"/>
  <c r="J1521" i="1"/>
  <c r="I1521" i="1"/>
  <c r="J1520" i="1"/>
  <c r="I1520" i="1"/>
  <c r="J1519" i="1"/>
  <c r="I1519" i="1"/>
  <c r="J1518" i="1"/>
  <c r="I1518" i="1"/>
  <c r="J1517" i="1"/>
  <c r="I1517" i="1"/>
  <c r="J1516" i="1"/>
  <c r="I1516" i="1"/>
  <c r="J1515" i="1"/>
  <c r="I1515" i="1"/>
  <c r="J1514" i="1"/>
  <c r="I1514" i="1"/>
  <c r="J1513" i="1"/>
  <c r="I1513" i="1"/>
  <c r="J1512" i="1"/>
  <c r="I1512" i="1"/>
  <c r="J1511" i="1"/>
  <c r="I1511" i="1"/>
  <c r="J1510" i="1"/>
  <c r="I1510" i="1"/>
  <c r="J1509" i="1"/>
  <c r="I1509" i="1"/>
  <c r="J1508" i="1"/>
  <c r="I1508" i="1"/>
  <c r="J1507" i="1"/>
  <c r="I1507" i="1"/>
  <c r="J1506" i="1"/>
  <c r="I1506" i="1"/>
  <c r="J1505" i="1"/>
  <c r="I1505" i="1"/>
  <c r="J1504" i="1"/>
  <c r="I1504" i="1"/>
  <c r="J1503" i="1"/>
  <c r="I1503" i="1"/>
  <c r="J1502" i="1"/>
  <c r="I1502" i="1"/>
  <c r="J1501" i="1"/>
  <c r="I1501" i="1"/>
  <c r="J1500" i="1"/>
  <c r="I1500" i="1"/>
  <c r="J1499" i="1"/>
  <c r="I1499" i="1"/>
  <c r="J1498" i="1"/>
  <c r="I1498" i="1"/>
  <c r="J1497" i="1"/>
  <c r="I1497" i="1"/>
  <c r="J1496" i="1"/>
  <c r="I1496" i="1"/>
  <c r="J1495" i="1"/>
  <c r="I1495" i="1"/>
  <c r="J1494" i="1"/>
  <c r="I1494" i="1"/>
  <c r="J1493" i="1"/>
  <c r="I1493" i="1"/>
  <c r="J1492" i="1"/>
  <c r="I1492" i="1"/>
  <c r="J1491" i="1"/>
  <c r="I1491" i="1"/>
  <c r="J1490" i="1"/>
  <c r="I1490" i="1"/>
  <c r="J1489" i="1"/>
  <c r="I1489" i="1"/>
  <c r="J1488" i="1"/>
  <c r="I1488" i="1"/>
  <c r="J1487" i="1"/>
  <c r="I1487" i="1"/>
  <c r="J1486" i="1"/>
  <c r="I1486" i="1"/>
  <c r="J1485" i="1"/>
  <c r="I1485" i="1"/>
  <c r="J1484" i="1"/>
  <c r="I1484" i="1"/>
  <c r="J1483" i="1"/>
  <c r="I1483" i="1"/>
  <c r="J1482" i="1"/>
  <c r="I1482" i="1"/>
  <c r="J1481" i="1"/>
  <c r="I1481" i="1"/>
  <c r="J1480" i="1"/>
  <c r="I1480" i="1"/>
  <c r="J1479" i="1"/>
  <c r="I1479" i="1"/>
  <c r="J1478" i="1"/>
  <c r="I1478" i="1"/>
  <c r="J1477" i="1"/>
  <c r="I1477" i="1"/>
  <c r="J1476" i="1"/>
  <c r="I1476" i="1"/>
  <c r="J1475" i="1"/>
  <c r="I1475" i="1"/>
  <c r="J1474" i="1"/>
  <c r="I1474" i="1"/>
  <c r="J1473" i="1"/>
  <c r="I1473" i="1"/>
  <c r="J1472" i="1"/>
  <c r="I1472" i="1"/>
  <c r="J1471" i="1"/>
  <c r="I1471" i="1"/>
  <c r="J1470" i="1"/>
  <c r="I1470" i="1"/>
  <c r="J1469" i="1"/>
  <c r="I1469" i="1"/>
  <c r="J1468" i="1"/>
  <c r="I1468" i="1"/>
  <c r="J1467" i="1"/>
  <c r="I1467" i="1"/>
  <c r="J1466" i="1"/>
  <c r="I1466" i="1"/>
  <c r="J1465" i="1"/>
  <c r="I1465" i="1"/>
  <c r="J1464" i="1"/>
  <c r="I1464" i="1"/>
  <c r="J1463" i="1"/>
  <c r="I1463" i="1"/>
  <c r="J1462" i="1"/>
  <c r="I1462" i="1"/>
  <c r="J1461" i="1"/>
  <c r="I1461" i="1"/>
  <c r="J1460" i="1"/>
  <c r="I1460" i="1"/>
  <c r="J1459" i="1"/>
  <c r="I1459" i="1"/>
  <c r="J1458" i="1"/>
  <c r="I1458" i="1"/>
  <c r="J1457" i="1"/>
  <c r="I1457" i="1"/>
  <c r="J1456" i="1"/>
  <c r="I1456" i="1"/>
  <c r="J1455" i="1"/>
  <c r="I1455" i="1"/>
  <c r="J1454" i="1"/>
  <c r="I1454" i="1"/>
  <c r="J1453" i="1"/>
  <c r="I1453" i="1"/>
  <c r="J1452" i="1"/>
  <c r="I1452" i="1"/>
  <c r="J1451" i="1"/>
  <c r="I1451" i="1"/>
  <c r="J1450" i="1"/>
  <c r="I1450" i="1"/>
  <c r="J1449" i="1"/>
  <c r="I1449" i="1"/>
  <c r="J1448" i="1"/>
  <c r="I1448" i="1"/>
  <c r="J1447" i="1"/>
  <c r="I1447" i="1"/>
  <c r="J1446" i="1"/>
  <c r="I1446" i="1"/>
  <c r="J1445" i="1"/>
  <c r="I1445" i="1"/>
  <c r="J1444" i="1"/>
  <c r="I1444" i="1"/>
  <c r="J1443" i="1"/>
  <c r="I1443" i="1"/>
  <c r="J1442" i="1"/>
  <c r="I1442" i="1"/>
  <c r="J1441" i="1"/>
  <c r="I1441" i="1"/>
  <c r="J1440" i="1"/>
  <c r="I1440" i="1"/>
  <c r="J1439" i="1"/>
  <c r="I1439" i="1"/>
  <c r="J1438" i="1"/>
  <c r="I1438" i="1"/>
  <c r="J1437" i="1"/>
  <c r="I1437" i="1"/>
  <c r="J1436" i="1"/>
  <c r="I1436" i="1"/>
  <c r="J1435" i="1"/>
  <c r="I1435" i="1"/>
  <c r="J1434" i="1"/>
  <c r="I1434" i="1"/>
  <c r="J1433" i="1"/>
  <c r="I1433" i="1"/>
  <c r="J1432" i="1"/>
  <c r="I1432" i="1"/>
  <c r="J1431" i="1"/>
  <c r="I1431" i="1"/>
  <c r="J1430" i="1"/>
  <c r="I1430" i="1"/>
  <c r="J1429" i="1"/>
  <c r="I1429" i="1"/>
  <c r="J1428" i="1"/>
  <c r="I1428" i="1"/>
  <c r="J1427" i="1"/>
  <c r="I1427" i="1"/>
  <c r="J1426" i="1"/>
  <c r="I1426" i="1"/>
  <c r="J1425" i="1"/>
  <c r="I1425" i="1"/>
  <c r="J1424" i="1"/>
  <c r="I1424" i="1"/>
  <c r="J1423" i="1"/>
  <c r="I1423" i="1"/>
  <c r="J1422" i="1"/>
  <c r="I1422" i="1"/>
  <c r="J1421" i="1"/>
  <c r="I1421" i="1"/>
  <c r="J1420" i="1"/>
  <c r="I1420" i="1"/>
  <c r="J1419" i="1"/>
  <c r="I1419" i="1"/>
  <c r="J1418" i="1"/>
  <c r="I1418" i="1"/>
  <c r="J1417" i="1"/>
  <c r="I1417" i="1"/>
  <c r="J1416" i="1"/>
  <c r="I1416" i="1"/>
  <c r="J1415" i="1"/>
  <c r="I1415" i="1"/>
  <c r="J1414" i="1"/>
  <c r="I1414" i="1"/>
  <c r="J1413" i="1"/>
  <c r="I1413" i="1"/>
  <c r="J1412" i="1"/>
  <c r="I1412" i="1"/>
  <c r="J1411" i="1"/>
  <c r="I1411" i="1"/>
  <c r="J1410" i="1"/>
  <c r="I1410" i="1"/>
  <c r="J1409" i="1"/>
  <c r="I1409" i="1"/>
  <c r="J1408" i="1"/>
  <c r="I1408" i="1"/>
  <c r="J1407" i="1"/>
  <c r="I1407" i="1"/>
  <c r="J1406" i="1"/>
  <c r="I1406" i="1"/>
  <c r="J1405" i="1"/>
  <c r="I1405" i="1"/>
  <c r="J1404" i="1"/>
  <c r="I1404" i="1"/>
  <c r="J1403" i="1"/>
  <c r="I1403" i="1"/>
  <c r="J1402" i="1"/>
  <c r="I1402" i="1"/>
  <c r="J1401" i="1"/>
  <c r="I1401" i="1"/>
  <c r="J1400" i="1"/>
  <c r="I1400" i="1"/>
  <c r="J1399" i="1"/>
  <c r="I1399" i="1"/>
  <c r="J1398" i="1"/>
  <c r="I1398" i="1"/>
  <c r="J1397" i="1"/>
  <c r="I1397" i="1"/>
  <c r="J1396" i="1"/>
  <c r="I1396" i="1"/>
  <c r="J1395" i="1"/>
  <c r="I1395" i="1"/>
  <c r="J1394" i="1"/>
  <c r="I1394" i="1"/>
  <c r="J1393" i="1"/>
  <c r="I1393" i="1"/>
  <c r="J1392" i="1"/>
  <c r="I1392" i="1"/>
  <c r="J1391" i="1"/>
  <c r="I1391" i="1"/>
  <c r="J1390" i="1"/>
  <c r="I1390" i="1"/>
  <c r="J1389" i="1"/>
  <c r="I1389" i="1"/>
  <c r="J1388" i="1"/>
  <c r="I1388" i="1"/>
  <c r="J1387" i="1"/>
  <c r="I1387" i="1"/>
  <c r="J1386" i="1"/>
  <c r="I1386" i="1"/>
  <c r="J1385" i="1"/>
  <c r="I1385" i="1"/>
  <c r="J1384" i="1"/>
  <c r="I1384" i="1"/>
  <c r="J1383" i="1"/>
  <c r="I1383" i="1"/>
  <c r="J1382" i="1"/>
  <c r="I1382" i="1"/>
  <c r="J1381" i="1"/>
  <c r="I1381" i="1"/>
  <c r="J1380" i="1"/>
  <c r="I1380" i="1"/>
  <c r="J1379" i="1"/>
  <c r="I1379" i="1"/>
  <c r="J1378" i="1"/>
  <c r="I1378" i="1"/>
  <c r="J1377" i="1"/>
  <c r="I1377" i="1"/>
  <c r="J1376" i="1"/>
  <c r="I1376" i="1"/>
  <c r="J1375" i="1"/>
  <c r="I1375" i="1"/>
  <c r="J1374" i="1"/>
  <c r="I1374" i="1"/>
  <c r="J1373" i="1"/>
  <c r="I1373" i="1"/>
  <c r="J1372" i="1"/>
  <c r="I1372" i="1"/>
  <c r="J1371" i="1"/>
  <c r="I1371" i="1"/>
  <c r="J1370" i="1"/>
  <c r="I1370" i="1"/>
  <c r="J1369" i="1"/>
  <c r="I1369" i="1"/>
  <c r="J1368" i="1"/>
  <c r="I1368" i="1"/>
  <c r="J1367" i="1"/>
  <c r="I1367" i="1"/>
  <c r="J1366" i="1"/>
  <c r="I1366" i="1"/>
  <c r="J1365" i="1"/>
  <c r="I1365" i="1"/>
  <c r="J1364" i="1"/>
  <c r="I1364" i="1"/>
  <c r="J1363" i="1"/>
  <c r="I1363" i="1"/>
  <c r="J1362" i="1"/>
  <c r="I1362" i="1"/>
  <c r="J1361" i="1"/>
  <c r="I1361" i="1"/>
  <c r="J1360" i="1"/>
  <c r="I1360" i="1"/>
  <c r="J1359" i="1"/>
  <c r="I1359" i="1"/>
  <c r="J1358" i="1"/>
  <c r="I1358" i="1"/>
  <c r="J1357" i="1"/>
  <c r="I1357" i="1"/>
  <c r="J1356" i="1"/>
  <c r="I1356" i="1"/>
  <c r="J1355" i="1"/>
  <c r="I1355" i="1"/>
  <c r="J1354" i="1"/>
  <c r="I1354" i="1"/>
  <c r="J1353" i="1"/>
  <c r="I1353" i="1"/>
  <c r="J1352" i="1"/>
  <c r="I1352" i="1"/>
  <c r="J1351" i="1"/>
  <c r="I1351" i="1"/>
  <c r="J1350" i="1"/>
  <c r="I1350" i="1"/>
  <c r="J1349" i="1"/>
  <c r="I1349" i="1"/>
  <c r="J1348" i="1"/>
  <c r="I1348" i="1"/>
  <c r="J1347" i="1"/>
  <c r="I1347" i="1"/>
  <c r="J1346" i="1"/>
  <c r="I1346" i="1"/>
  <c r="J1345" i="1"/>
  <c r="I1345" i="1"/>
  <c r="J1344" i="1"/>
  <c r="I1344" i="1"/>
  <c r="J1343" i="1"/>
  <c r="I1343" i="1"/>
  <c r="J1342" i="1"/>
  <c r="I1342" i="1"/>
  <c r="J1341" i="1"/>
  <c r="I1341" i="1"/>
  <c r="J1340" i="1"/>
  <c r="I1340" i="1"/>
  <c r="J1339" i="1"/>
  <c r="I1339" i="1"/>
  <c r="J1338" i="1"/>
  <c r="I1338" i="1"/>
  <c r="J1337" i="1"/>
  <c r="I1337" i="1"/>
  <c r="J1336" i="1"/>
  <c r="I1336" i="1"/>
  <c r="J1335" i="1"/>
  <c r="I1335" i="1"/>
  <c r="J1334" i="1"/>
  <c r="I1334" i="1"/>
  <c r="J1333" i="1"/>
  <c r="I1333" i="1"/>
  <c r="J1332" i="1"/>
  <c r="I1332" i="1"/>
  <c r="J1331" i="1"/>
  <c r="I1331" i="1"/>
  <c r="J1330" i="1"/>
  <c r="I1330" i="1"/>
  <c r="J1329" i="1"/>
  <c r="I1329" i="1"/>
  <c r="J1328" i="1"/>
  <c r="I1328" i="1"/>
  <c r="J1327" i="1"/>
  <c r="I1327" i="1"/>
  <c r="J1326" i="1"/>
  <c r="I1326" i="1"/>
  <c r="J1325" i="1"/>
  <c r="I1325" i="1"/>
  <c r="J1324" i="1"/>
  <c r="I1324" i="1"/>
  <c r="J1323" i="1"/>
  <c r="I1323" i="1"/>
  <c r="J1322" i="1"/>
  <c r="I1322" i="1"/>
  <c r="J1321" i="1"/>
  <c r="I1321" i="1"/>
  <c r="J1320" i="1"/>
  <c r="I1320" i="1"/>
  <c r="J1319" i="1"/>
  <c r="I1319" i="1"/>
  <c r="J1318" i="1"/>
  <c r="I1318" i="1"/>
  <c r="J1317" i="1"/>
  <c r="I1317" i="1"/>
  <c r="J1316" i="1"/>
  <c r="I1316" i="1"/>
  <c r="J1315" i="1"/>
  <c r="I1315" i="1"/>
  <c r="J1314" i="1"/>
  <c r="I1314" i="1"/>
  <c r="J1313" i="1"/>
  <c r="I1313" i="1"/>
  <c r="J1312" i="1"/>
  <c r="I1312" i="1"/>
  <c r="J1311" i="1"/>
  <c r="I1311" i="1"/>
  <c r="J1310" i="1"/>
  <c r="I1310" i="1"/>
  <c r="J1309" i="1"/>
  <c r="I1309" i="1"/>
  <c r="J1308" i="1"/>
  <c r="I1308" i="1"/>
  <c r="J1307" i="1"/>
  <c r="I1307" i="1"/>
  <c r="J1306" i="1"/>
  <c r="I1306" i="1"/>
  <c r="J1305" i="1"/>
  <c r="I1305" i="1"/>
  <c r="J1304" i="1"/>
  <c r="I1304" i="1"/>
  <c r="J1303" i="1"/>
  <c r="I1303" i="1"/>
  <c r="J1302" i="1"/>
  <c r="I1302" i="1"/>
  <c r="J1301" i="1"/>
  <c r="I1301" i="1"/>
  <c r="J1300" i="1"/>
  <c r="I1300" i="1"/>
  <c r="J1299" i="1"/>
  <c r="I1299" i="1"/>
  <c r="J1298" i="1"/>
  <c r="I1298" i="1"/>
  <c r="J1297" i="1"/>
  <c r="I1297" i="1"/>
  <c r="J1296" i="1"/>
  <c r="I1296" i="1"/>
  <c r="J1295" i="1"/>
  <c r="I1295" i="1"/>
  <c r="J1294" i="1"/>
  <c r="I1294" i="1"/>
  <c r="J1293" i="1"/>
  <c r="I1293" i="1"/>
  <c r="J1292" i="1"/>
  <c r="I1292" i="1"/>
  <c r="J1291" i="1"/>
  <c r="I1291" i="1"/>
  <c r="J1290" i="1"/>
  <c r="I1290" i="1"/>
  <c r="J1289" i="1"/>
  <c r="I1289" i="1"/>
  <c r="J1288" i="1"/>
  <c r="I1288" i="1"/>
  <c r="J1287" i="1"/>
  <c r="I1287" i="1"/>
  <c r="J1286" i="1"/>
  <c r="I1286" i="1"/>
  <c r="J1285" i="1"/>
  <c r="I1285" i="1"/>
  <c r="J1284" i="1"/>
  <c r="I1284" i="1"/>
  <c r="J1283" i="1"/>
  <c r="I1283" i="1"/>
  <c r="J1282" i="1"/>
  <c r="I1282" i="1"/>
  <c r="J1281" i="1"/>
  <c r="I1281" i="1"/>
  <c r="J1280" i="1"/>
  <c r="I1280" i="1"/>
  <c r="J1279" i="1"/>
  <c r="I1279" i="1"/>
  <c r="J1278" i="1"/>
  <c r="I1278" i="1"/>
  <c r="J1277" i="1"/>
  <c r="I1277" i="1"/>
  <c r="J1276" i="1"/>
  <c r="I1276" i="1"/>
  <c r="J1275" i="1"/>
  <c r="I1275" i="1"/>
  <c r="J1274" i="1"/>
  <c r="I1274" i="1"/>
  <c r="J1273" i="1"/>
  <c r="I1273" i="1"/>
  <c r="J1272" i="1"/>
  <c r="I1272" i="1"/>
  <c r="J1271" i="1"/>
  <c r="I1271" i="1"/>
  <c r="J1270" i="1"/>
  <c r="I1270" i="1"/>
  <c r="J1269" i="1"/>
  <c r="I1269" i="1"/>
  <c r="J1268" i="1"/>
  <c r="I1268" i="1"/>
  <c r="J1267" i="1"/>
  <c r="I1267" i="1"/>
  <c r="J1266" i="1"/>
  <c r="I1266" i="1"/>
  <c r="J1265" i="1"/>
  <c r="I1265" i="1"/>
  <c r="J1264" i="1"/>
  <c r="I1264" i="1"/>
  <c r="J1263" i="1"/>
  <c r="I1263" i="1"/>
  <c r="J1262" i="1"/>
  <c r="I1262" i="1"/>
  <c r="J1261" i="1"/>
  <c r="I1261" i="1"/>
  <c r="J1260" i="1"/>
  <c r="I1260" i="1"/>
  <c r="J1259" i="1"/>
  <c r="I1259" i="1"/>
  <c r="J1258" i="1"/>
  <c r="I1258" i="1"/>
  <c r="J1257" i="1"/>
  <c r="I1257" i="1"/>
  <c r="J1256" i="1"/>
  <c r="I1256" i="1"/>
  <c r="J1255" i="1"/>
  <c r="I1255" i="1"/>
  <c r="J1254" i="1"/>
  <c r="I1254" i="1"/>
  <c r="J1253" i="1"/>
  <c r="I1253" i="1"/>
  <c r="J1252" i="1"/>
  <c r="I1252" i="1"/>
  <c r="J1251" i="1"/>
  <c r="I1251" i="1"/>
  <c r="J1250" i="1"/>
  <c r="I1250" i="1"/>
  <c r="J1249" i="1"/>
  <c r="I1249" i="1"/>
  <c r="J1248" i="1"/>
  <c r="I1248" i="1"/>
  <c r="J1247" i="1"/>
  <c r="I1247" i="1"/>
  <c r="J1246" i="1"/>
  <c r="I1246" i="1"/>
  <c r="J1245" i="1"/>
  <c r="I1245" i="1"/>
  <c r="J1244" i="1"/>
  <c r="I1244" i="1"/>
  <c r="J1243" i="1"/>
  <c r="I1243" i="1"/>
  <c r="J1242" i="1"/>
  <c r="I1242" i="1"/>
  <c r="J1241" i="1"/>
  <c r="I1241" i="1"/>
  <c r="J1240" i="1"/>
  <c r="I1240" i="1"/>
  <c r="J1239" i="1"/>
  <c r="I1239" i="1"/>
  <c r="J1238" i="1"/>
  <c r="I1238" i="1"/>
  <c r="J1237" i="1"/>
  <c r="I1237" i="1"/>
  <c r="J1236" i="1"/>
  <c r="I1236" i="1"/>
  <c r="J1235" i="1"/>
  <c r="I1235" i="1"/>
  <c r="J1234" i="1"/>
  <c r="I1234" i="1"/>
  <c r="J1233" i="1"/>
  <c r="I1233" i="1"/>
  <c r="J1232" i="1"/>
  <c r="I1232" i="1"/>
  <c r="J1231" i="1"/>
  <c r="I1231" i="1"/>
  <c r="J1230" i="1"/>
  <c r="I1230" i="1"/>
  <c r="J1229" i="1"/>
  <c r="I1229" i="1"/>
  <c r="J1228" i="1"/>
  <c r="I1228" i="1"/>
  <c r="J1227" i="1"/>
  <c r="I1227" i="1"/>
  <c r="J1226" i="1"/>
  <c r="I1226" i="1"/>
  <c r="J1225" i="1"/>
  <c r="I1225" i="1"/>
  <c r="J1224" i="1"/>
  <c r="I1224" i="1"/>
  <c r="J1223" i="1"/>
  <c r="I1223" i="1"/>
  <c r="J1222" i="1"/>
  <c r="I1222" i="1"/>
  <c r="J1221" i="1"/>
  <c r="I1221" i="1"/>
  <c r="J1220" i="1"/>
  <c r="I1220" i="1"/>
  <c r="J1219" i="1"/>
  <c r="I1219" i="1"/>
  <c r="J1218" i="1"/>
  <c r="I1218" i="1"/>
  <c r="J1217" i="1"/>
  <c r="I1217" i="1"/>
  <c r="J1216" i="1"/>
  <c r="I1216" i="1"/>
  <c r="J1215" i="1"/>
  <c r="I1215" i="1"/>
  <c r="J1214" i="1"/>
  <c r="I1214" i="1"/>
  <c r="J1213" i="1"/>
  <c r="I1213" i="1"/>
  <c r="J1212" i="1"/>
  <c r="I1212" i="1"/>
  <c r="J1211" i="1"/>
  <c r="I1211" i="1"/>
  <c r="J1210" i="1"/>
  <c r="I1210" i="1"/>
  <c r="J1209" i="1"/>
  <c r="I1209" i="1"/>
  <c r="J1208" i="1"/>
  <c r="I1208" i="1"/>
  <c r="J1207" i="1"/>
  <c r="I1207" i="1"/>
  <c r="J1206" i="1"/>
  <c r="I1206" i="1"/>
  <c r="J1205" i="1"/>
  <c r="I1205" i="1"/>
  <c r="J1204" i="1"/>
  <c r="I1204" i="1"/>
  <c r="J1203" i="1"/>
  <c r="I1203" i="1"/>
  <c r="J1202" i="1"/>
  <c r="I1202" i="1"/>
  <c r="J1201" i="1"/>
  <c r="I1201" i="1"/>
  <c r="J1200" i="1"/>
  <c r="I1200" i="1"/>
  <c r="J1199" i="1"/>
  <c r="I1199" i="1"/>
  <c r="J1198" i="1"/>
  <c r="I1198" i="1"/>
  <c r="J1197" i="1"/>
  <c r="I1197" i="1"/>
  <c r="J1196" i="1"/>
  <c r="I1196" i="1"/>
  <c r="J1195" i="1"/>
  <c r="I1195" i="1"/>
  <c r="J1194" i="1"/>
  <c r="I1194" i="1"/>
  <c r="J1193" i="1"/>
  <c r="I1193" i="1"/>
  <c r="J1192" i="1"/>
  <c r="I1192" i="1"/>
  <c r="J1191" i="1"/>
  <c r="I1191" i="1"/>
  <c r="J1190" i="1"/>
  <c r="I1190" i="1"/>
  <c r="J1189" i="1"/>
  <c r="I1189" i="1"/>
  <c r="J1188" i="1"/>
  <c r="I1188" i="1"/>
  <c r="J1187" i="1"/>
  <c r="I1187" i="1"/>
  <c r="J1186" i="1"/>
  <c r="I1186" i="1"/>
  <c r="J1185" i="1"/>
  <c r="I1185" i="1"/>
  <c r="J1184" i="1"/>
  <c r="I1184" i="1"/>
  <c r="J1183" i="1"/>
  <c r="I1183" i="1"/>
  <c r="J1182" i="1"/>
  <c r="I1182" i="1"/>
  <c r="J1181" i="1"/>
  <c r="I1181" i="1"/>
  <c r="J1180" i="1"/>
  <c r="I1180" i="1"/>
  <c r="J1179" i="1"/>
  <c r="I1179" i="1"/>
  <c r="J1178" i="1"/>
  <c r="I1178" i="1"/>
  <c r="J1177" i="1"/>
  <c r="I1177" i="1"/>
  <c r="J1176" i="1"/>
  <c r="I1176" i="1"/>
  <c r="J1175" i="1"/>
  <c r="I1175" i="1"/>
  <c r="J1174" i="1"/>
  <c r="I1174" i="1"/>
  <c r="J1173" i="1"/>
  <c r="I1173" i="1"/>
  <c r="J1172" i="1"/>
  <c r="I1172" i="1"/>
  <c r="J1171" i="1"/>
  <c r="I1171" i="1"/>
  <c r="J1170" i="1"/>
  <c r="I1170" i="1"/>
  <c r="J1169" i="1"/>
  <c r="I1169" i="1"/>
  <c r="J1168" i="1"/>
  <c r="I1168" i="1"/>
  <c r="J1167" i="1"/>
  <c r="I1167" i="1"/>
  <c r="J1166" i="1"/>
  <c r="I1166" i="1"/>
  <c r="J1165" i="1"/>
  <c r="I1165" i="1"/>
  <c r="J1164" i="1"/>
  <c r="I1164" i="1"/>
  <c r="J1163" i="1"/>
  <c r="I1163" i="1"/>
  <c r="J1162" i="1"/>
  <c r="I1162" i="1"/>
  <c r="J1161" i="1"/>
  <c r="I1161" i="1"/>
  <c r="J1160" i="1"/>
  <c r="I1160" i="1"/>
  <c r="J1159" i="1"/>
  <c r="I1159" i="1"/>
  <c r="J1158" i="1"/>
  <c r="I1158" i="1"/>
  <c r="J1157" i="1"/>
  <c r="I1157" i="1"/>
  <c r="J1156" i="1"/>
  <c r="I1156" i="1"/>
  <c r="J1155" i="1"/>
  <c r="I1155" i="1"/>
  <c r="J1154" i="1"/>
  <c r="I1154" i="1"/>
  <c r="J1153" i="1"/>
  <c r="I1153" i="1"/>
  <c r="J1152" i="1"/>
  <c r="I1152" i="1"/>
  <c r="J1151" i="1"/>
  <c r="I1151" i="1"/>
  <c r="J1150" i="1"/>
  <c r="I1150" i="1"/>
  <c r="J1149" i="1"/>
  <c r="I1149" i="1"/>
  <c r="J1148" i="1"/>
  <c r="I1148" i="1"/>
  <c r="J1147" i="1"/>
  <c r="I1147" i="1"/>
  <c r="J1146" i="1"/>
  <c r="I1146" i="1"/>
  <c r="J1145" i="1"/>
  <c r="I1145" i="1"/>
  <c r="J1144" i="1"/>
  <c r="I1144" i="1"/>
  <c r="J1143" i="1"/>
  <c r="I1143" i="1"/>
  <c r="J1142" i="1"/>
  <c r="I1142" i="1"/>
  <c r="J1141" i="1"/>
  <c r="I1141" i="1"/>
  <c r="J1140" i="1"/>
  <c r="I1140" i="1"/>
  <c r="J1139" i="1"/>
  <c r="I1139" i="1"/>
  <c r="J1138" i="1"/>
  <c r="I1138" i="1"/>
  <c r="J1137" i="1"/>
  <c r="I1137" i="1"/>
  <c r="J1136" i="1"/>
  <c r="I1136" i="1"/>
  <c r="J1135" i="1"/>
  <c r="I1135" i="1"/>
  <c r="J1134" i="1"/>
  <c r="I1134" i="1"/>
  <c r="J1133" i="1"/>
  <c r="I1133" i="1"/>
  <c r="J1132" i="1"/>
  <c r="I1132" i="1"/>
  <c r="J1131" i="1"/>
  <c r="I1131" i="1"/>
  <c r="J1130" i="1"/>
  <c r="I1130" i="1"/>
  <c r="J1129" i="1"/>
  <c r="I1129" i="1"/>
  <c r="J1128" i="1"/>
  <c r="I1128" i="1"/>
  <c r="J1127" i="1"/>
  <c r="I1127" i="1"/>
  <c r="J1126" i="1"/>
  <c r="I1126" i="1"/>
  <c r="J1125" i="1"/>
  <c r="I1125" i="1"/>
  <c r="J1124" i="1"/>
  <c r="I1124" i="1"/>
  <c r="J1123" i="1"/>
  <c r="I1123" i="1"/>
  <c r="J1122" i="1"/>
  <c r="I1122" i="1"/>
  <c r="J1121" i="1"/>
  <c r="I1121" i="1"/>
  <c r="J1120" i="1"/>
  <c r="I1120" i="1"/>
  <c r="J1119" i="1"/>
  <c r="I1119" i="1"/>
  <c r="J1118" i="1"/>
  <c r="I1118" i="1"/>
  <c r="J1117" i="1"/>
  <c r="I1117" i="1"/>
  <c r="J1116" i="1"/>
  <c r="I1116" i="1"/>
  <c r="J1115" i="1"/>
  <c r="I1115" i="1"/>
  <c r="J1114" i="1"/>
  <c r="I1114" i="1"/>
  <c r="J1113" i="1"/>
  <c r="I1113" i="1"/>
  <c r="J1112" i="1"/>
  <c r="I1112" i="1"/>
  <c r="J1111" i="1"/>
  <c r="I1111" i="1"/>
  <c r="J1110" i="1"/>
  <c r="I1110" i="1"/>
  <c r="J1109" i="1"/>
  <c r="I1109" i="1"/>
  <c r="J1108" i="1"/>
  <c r="I1108" i="1"/>
  <c r="J1107" i="1"/>
  <c r="I1107" i="1"/>
  <c r="J1106" i="1"/>
  <c r="I1106" i="1"/>
  <c r="J1105" i="1"/>
  <c r="I1105" i="1"/>
  <c r="J1104" i="1"/>
  <c r="I1104" i="1"/>
  <c r="J1103" i="1"/>
  <c r="I1103" i="1"/>
  <c r="J1102" i="1"/>
  <c r="I1102" i="1"/>
  <c r="J1101" i="1"/>
  <c r="I1101" i="1"/>
  <c r="J1100" i="1"/>
  <c r="I1100" i="1"/>
  <c r="J1099" i="1"/>
  <c r="I1099" i="1"/>
  <c r="J1098" i="1"/>
  <c r="I1098" i="1"/>
  <c r="J1097" i="1"/>
  <c r="I1097" i="1"/>
  <c r="J1096" i="1"/>
  <c r="I1096" i="1"/>
  <c r="J1095" i="1"/>
  <c r="I1095" i="1"/>
  <c r="J1094" i="1"/>
  <c r="I1094" i="1"/>
  <c r="J1093" i="1"/>
  <c r="I1093" i="1"/>
  <c r="J1092" i="1"/>
  <c r="I1092" i="1"/>
  <c r="J1091" i="1"/>
  <c r="I1091" i="1"/>
  <c r="J1090" i="1"/>
  <c r="I1090" i="1"/>
  <c r="J1089" i="1"/>
  <c r="I1089" i="1"/>
  <c r="J1088" i="1"/>
  <c r="I1088" i="1"/>
  <c r="J1087" i="1"/>
  <c r="I1087" i="1"/>
  <c r="J1086" i="1"/>
  <c r="I1086" i="1"/>
  <c r="J1085" i="1"/>
  <c r="I1085" i="1"/>
  <c r="J1084" i="1"/>
  <c r="I1084" i="1"/>
  <c r="J1083" i="1"/>
  <c r="I1083" i="1"/>
  <c r="J1082" i="1"/>
  <c r="I1082" i="1"/>
  <c r="J1081" i="1"/>
  <c r="I1081" i="1"/>
  <c r="J1080" i="1"/>
  <c r="I1080" i="1"/>
  <c r="J1079" i="1"/>
  <c r="I1079" i="1"/>
  <c r="J1078" i="1"/>
  <c r="I1078" i="1"/>
  <c r="J1077" i="1"/>
  <c r="I1077" i="1"/>
  <c r="J1076" i="1"/>
  <c r="I1076" i="1"/>
  <c r="J1075" i="1"/>
  <c r="I1075" i="1"/>
  <c r="J1074" i="1"/>
  <c r="I1074" i="1"/>
  <c r="J1073" i="1"/>
  <c r="I1073" i="1"/>
  <c r="J1072" i="1"/>
  <c r="I1072" i="1"/>
  <c r="J1071" i="1"/>
  <c r="I1071" i="1"/>
  <c r="J1070" i="1"/>
  <c r="I1070" i="1"/>
  <c r="J1069" i="1"/>
  <c r="I1069" i="1"/>
  <c r="J1068" i="1"/>
  <c r="I1068" i="1"/>
  <c r="J1067" i="1"/>
  <c r="I1067" i="1"/>
  <c r="J1066" i="1"/>
  <c r="I1066" i="1"/>
  <c r="J1065" i="1"/>
  <c r="I1065" i="1"/>
  <c r="J1064" i="1"/>
  <c r="I1064" i="1"/>
  <c r="J1063" i="1"/>
  <c r="I1063" i="1"/>
  <c r="J1062" i="1"/>
  <c r="I1062" i="1"/>
  <c r="J1061" i="1"/>
  <c r="I1061" i="1"/>
  <c r="J1060" i="1"/>
  <c r="I1060" i="1"/>
  <c r="J1059" i="1"/>
  <c r="I1059" i="1"/>
  <c r="J1058" i="1"/>
  <c r="I1058" i="1"/>
  <c r="J1057" i="1"/>
  <c r="I1057" i="1"/>
  <c r="J1056" i="1"/>
  <c r="I1056" i="1"/>
  <c r="J1055" i="1"/>
  <c r="I1055" i="1"/>
  <c r="J1054" i="1"/>
  <c r="I1054" i="1"/>
  <c r="J1053" i="1"/>
  <c r="I1053" i="1"/>
  <c r="J1052" i="1"/>
  <c r="I1052" i="1"/>
  <c r="J1051" i="1"/>
  <c r="I1051" i="1"/>
  <c r="J1050" i="1"/>
  <c r="I1050" i="1"/>
  <c r="J1049" i="1"/>
  <c r="I1049" i="1"/>
  <c r="J1048" i="1"/>
  <c r="I1048" i="1"/>
  <c r="J1047" i="1"/>
  <c r="I1047" i="1"/>
  <c r="J1046" i="1"/>
  <c r="I1046" i="1"/>
  <c r="J1045" i="1"/>
  <c r="I1045" i="1"/>
  <c r="J1044" i="1"/>
  <c r="I1044" i="1"/>
  <c r="J1043" i="1"/>
  <c r="I1043" i="1"/>
  <c r="J1042" i="1"/>
  <c r="I1042" i="1"/>
  <c r="J1041" i="1"/>
  <c r="I1041" i="1"/>
  <c r="J1040" i="1"/>
  <c r="I1040" i="1"/>
  <c r="J1039" i="1"/>
  <c r="I1039" i="1"/>
  <c r="J1038" i="1"/>
  <c r="I1038" i="1"/>
  <c r="J1037" i="1"/>
  <c r="I1037" i="1"/>
  <c r="J1036" i="1"/>
  <c r="I1036" i="1"/>
  <c r="J1035" i="1"/>
  <c r="I1035" i="1"/>
  <c r="J1034" i="1"/>
  <c r="I1034" i="1"/>
  <c r="J1033" i="1"/>
  <c r="I1033" i="1"/>
  <c r="J1032" i="1"/>
  <c r="I1032" i="1"/>
  <c r="J1031" i="1"/>
  <c r="I1031" i="1"/>
  <c r="J1030" i="1"/>
  <c r="I1030" i="1"/>
  <c r="J1029" i="1"/>
  <c r="I1029" i="1"/>
  <c r="J1028" i="1"/>
  <c r="I1028" i="1"/>
  <c r="J1027" i="1"/>
  <c r="I1027" i="1"/>
  <c r="J1026" i="1"/>
  <c r="I1026" i="1"/>
  <c r="J1025" i="1"/>
  <c r="I1025" i="1"/>
  <c r="J1024" i="1"/>
  <c r="I1024" i="1"/>
  <c r="J1023" i="1"/>
  <c r="I1023" i="1"/>
  <c r="J1022" i="1"/>
  <c r="I1022" i="1"/>
  <c r="J1021" i="1"/>
  <c r="I1021" i="1"/>
  <c r="J1020" i="1"/>
  <c r="I1020" i="1"/>
  <c r="J1019" i="1"/>
  <c r="I1019" i="1"/>
  <c r="J1018" i="1"/>
  <c r="I1018" i="1"/>
  <c r="J1017" i="1"/>
  <c r="I1017" i="1"/>
  <c r="J1016" i="1"/>
  <c r="I1016" i="1"/>
  <c r="J1015" i="1"/>
  <c r="I1015" i="1"/>
  <c r="J1014" i="1"/>
  <c r="I1014" i="1"/>
  <c r="J1013" i="1"/>
  <c r="I1013" i="1"/>
  <c r="J1012" i="1"/>
  <c r="I1012" i="1"/>
  <c r="J1011" i="1"/>
  <c r="I1011" i="1"/>
  <c r="J1010" i="1"/>
  <c r="I1010" i="1"/>
  <c r="J1009" i="1"/>
  <c r="I1009" i="1"/>
  <c r="J1008" i="1"/>
  <c r="I1008" i="1"/>
  <c r="J1007" i="1"/>
  <c r="I1007" i="1"/>
  <c r="J1006" i="1"/>
  <c r="I1006" i="1"/>
  <c r="J1005" i="1"/>
  <c r="I1005" i="1"/>
  <c r="J1004" i="1"/>
  <c r="I1004" i="1"/>
  <c r="J1003" i="1"/>
  <c r="I1003" i="1"/>
  <c r="J1002" i="1"/>
  <c r="I1002" i="1"/>
  <c r="J1001" i="1"/>
  <c r="I1001" i="1"/>
  <c r="J1000" i="1"/>
  <c r="I1000" i="1"/>
  <c r="J999" i="1"/>
  <c r="I999" i="1"/>
  <c r="J998" i="1"/>
  <c r="I998" i="1"/>
  <c r="J997" i="1"/>
  <c r="I997" i="1"/>
  <c r="J996" i="1"/>
  <c r="I996" i="1"/>
  <c r="J995" i="1"/>
  <c r="I995" i="1"/>
  <c r="J994" i="1"/>
  <c r="I994" i="1"/>
  <c r="J993" i="1"/>
  <c r="I993" i="1"/>
  <c r="J992" i="1"/>
  <c r="I992" i="1"/>
  <c r="J991" i="1"/>
  <c r="I991" i="1"/>
  <c r="J990" i="1"/>
  <c r="I990" i="1"/>
  <c r="J989" i="1"/>
  <c r="I989" i="1"/>
  <c r="J988" i="1"/>
  <c r="I988" i="1"/>
  <c r="J987" i="1"/>
  <c r="I987" i="1"/>
  <c r="J986" i="1"/>
  <c r="I986" i="1"/>
  <c r="J985" i="1"/>
  <c r="I985" i="1"/>
  <c r="J984" i="1"/>
  <c r="I984" i="1"/>
  <c r="J983" i="1"/>
  <c r="I983" i="1"/>
  <c r="J982" i="1"/>
  <c r="I982" i="1"/>
  <c r="J981" i="1"/>
  <c r="I981" i="1"/>
  <c r="J980" i="1"/>
  <c r="I980" i="1"/>
  <c r="J979" i="1"/>
  <c r="I979" i="1"/>
  <c r="J978" i="1"/>
  <c r="I978" i="1"/>
  <c r="J977" i="1"/>
  <c r="I977" i="1"/>
  <c r="J976" i="1"/>
  <c r="I976" i="1"/>
  <c r="J975" i="1"/>
  <c r="I975" i="1"/>
  <c r="J974" i="1"/>
  <c r="I974" i="1"/>
  <c r="J973" i="1"/>
  <c r="I973" i="1"/>
  <c r="J972" i="1"/>
  <c r="I972" i="1"/>
  <c r="J971" i="1"/>
  <c r="I971" i="1"/>
  <c r="J970" i="1"/>
  <c r="I970" i="1"/>
  <c r="J969" i="1"/>
  <c r="I969" i="1"/>
  <c r="J968" i="1"/>
  <c r="I968" i="1"/>
  <c r="J967" i="1"/>
  <c r="I967" i="1"/>
  <c r="J966" i="1"/>
  <c r="I966" i="1"/>
  <c r="J965" i="1"/>
  <c r="I965" i="1"/>
  <c r="J964" i="1"/>
  <c r="I964" i="1"/>
  <c r="J963" i="1"/>
  <c r="I963" i="1"/>
  <c r="J962" i="1"/>
  <c r="I962" i="1"/>
  <c r="J961" i="1"/>
  <c r="I961" i="1"/>
  <c r="J960" i="1"/>
  <c r="I960" i="1"/>
  <c r="J959" i="1"/>
  <c r="I959" i="1"/>
  <c r="J958" i="1"/>
  <c r="I958" i="1"/>
  <c r="J957" i="1"/>
  <c r="I957" i="1"/>
  <c r="J956" i="1"/>
  <c r="I956" i="1"/>
  <c r="J955" i="1"/>
  <c r="I955" i="1"/>
  <c r="J954" i="1"/>
  <c r="I954" i="1"/>
  <c r="J953" i="1"/>
  <c r="I953" i="1"/>
  <c r="J952" i="1"/>
  <c r="I952" i="1"/>
  <c r="J951" i="1"/>
  <c r="I951" i="1"/>
  <c r="J950" i="1"/>
  <c r="I950" i="1"/>
  <c r="J949" i="1"/>
  <c r="I949" i="1"/>
  <c r="J948" i="1"/>
  <c r="I948" i="1"/>
  <c r="J947" i="1"/>
  <c r="I947" i="1"/>
  <c r="J946" i="1"/>
  <c r="I946" i="1"/>
  <c r="J945" i="1"/>
  <c r="I945" i="1"/>
  <c r="J944" i="1"/>
  <c r="I944" i="1"/>
  <c r="J943" i="1"/>
  <c r="I943" i="1"/>
  <c r="J942" i="1"/>
  <c r="I942" i="1"/>
  <c r="J941" i="1"/>
  <c r="I941" i="1"/>
  <c r="J940" i="1"/>
  <c r="I940" i="1"/>
  <c r="J939" i="1"/>
  <c r="I939" i="1"/>
  <c r="J938" i="1"/>
  <c r="I938" i="1"/>
  <c r="J937" i="1"/>
  <c r="I937" i="1"/>
  <c r="J936" i="1"/>
  <c r="I936" i="1"/>
  <c r="J935" i="1"/>
  <c r="I935" i="1"/>
  <c r="J934" i="1"/>
  <c r="I934" i="1"/>
  <c r="J933" i="1"/>
  <c r="I933" i="1"/>
  <c r="J932" i="1"/>
  <c r="I932" i="1"/>
  <c r="J931" i="1"/>
  <c r="I931" i="1"/>
  <c r="J930" i="1"/>
  <c r="I930" i="1"/>
  <c r="J929" i="1"/>
  <c r="I929" i="1"/>
  <c r="J928" i="1"/>
  <c r="I928" i="1"/>
  <c r="J927" i="1"/>
  <c r="I927" i="1"/>
  <c r="J926" i="1"/>
  <c r="I926" i="1"/>
  <c r="J925" i="1"/>
  <c r="I925" i="1"/>
  <c r="J924" i="1"/>
  <c r="I924" i="1"/>
  <c r="J923" i="1"/>
  <c r="I923" i="1"/>
  <c r="J922" i="1"/>
  <c r="I922" i="1"/>
  <c r="J921" i="1"/>
  <c r="I921" i="1"/>
  <c r="J920" i="1"/>
  <c r="I920" i="1"/>
  <c r="J919" i="1"/>
  <c r="I919" i="1"/>
  <c r="J918" i="1"/>
  <c r="I918" i="1"/>
  <c r="J917" i="1"/>
  <c r="I917" i="1"/>
  <c r="J916" i="1"/>
  <c r="I916" i="1"/>
  <c r="J915" i="1"/>
  <c r="I915" i="1"/>
  <c r="J914" i="1"/>
  <c r="I914" i="1"/>
  <c r="J913" i="1"/>
  <c r="I913" i="1"/>
  <c r="J912" i="1"/>
  <c r="I912" i="1"/>
  <c r="J911" i="1"/>
  <c r="I911" i="1"/>
  <c r="J910" i="1"/>
  <c r="I910" i="1"/>
  <c r="J909" i="1"/>
  <c r="I909" i="1"/>
  <c r="J908" i="1"/>
  <c r="I908" i="1"/>
  <c r="J907" i="1"/>
  <c r="I907" i="1"/>
  <c r="J906" i="1"/>
  <c r="I906" i="1"/>
  <c r="J905" i="1"/>
  <c r="I905" i="1"/>
  <c r="J904" i="1"/>
  <c r="I904" i="1"/>
  <c r="J903" i="1"/>
  <c r="I903" i="1"/>
  <c r="J902" i="1"/>
  <c r="I902" i="1"/>
  <c r="J901" i="1"/>
  <c r="I901" i="1"/>
  <c r="J900" i="1"/>
  <c r="I900" i="1"/>
  <c r="J899" i="1"/>
  <c r="I899" i="1"/>
  <c r="J898" i="1"/>
  <c r="I898" i="1"/>
  <c r="J897" i="1"/>
  <c r="I897" i="1"/>
  <c r="J896" i="1"/>
  <c r="I896" i="1"/>
  <c r="J895" i="1"/>
  <c r="I895" i="1"/>
  <c r="J894" i="1"/>
  <c r="I894" i="1"/>
  <c r="J893" i="1"/>
  <c r="I893" i="1"/>
  <c r="J892" i="1"/>
  <c r="I892" i="1"/>
  <c r="J891" i="1"/>
  <c r="I891" i="1"/>
  <c r="J890" i="1"/>
  <c r="I890" i="1"/>
  <c r="J889" i="1"/>
  <c r="I889" i="1"/>
  <c r="J888" i="1"/>
  <c r="I888" i="1"/>
  <c r="J887" i="1"/>
  <c r="I887" i="1"/>
  <c r="J886" i="1"/>
  <c r="I886" i="1"/>
  <c r="J885" i="1"/>
  <c r="I885" i="1"/>
  <c r="J884" i="1"/>
  <c r="I884" i="1"/>
  <c r="J883" i="1"/>
  <c r="I883" i="1"/>
  <c r="J882" i="1"/>
  <c r="I882" i="1"/>
  <c r="J881" i="1"/>
  <c r="I881" i="1"/>
  <c r="J880" i="1"/>
  <c r="I880" i="1"/>
  <c r="J879" i="1"/>
  <c r="I879" i="1"/>
  <c r="J878" i="1"/>
  <c r="I878" i="1"/>
  <c r="J877" i="1"/>
  <c r="I877" i="1"/>
  <c r="J876" i="1"/>
  <c r="I876" i="1"/>
  <c r="J875" i="1"/>
  <c r="I875" i="1"/>
  <c r="J874" i="1"/>
  <c r="I874" i="1"/>
  <c r="J873" i="1"/>
  <c r="I873" i="1"/>
  <c r="J872" i="1"/>
  <c r="I872" i="1"/>
  <c r="J871" i="1"/>
  <c r="I871" i="1"/>
  <c r="J870" i="1"/>
  <c r="I870" i="1"/>
  <c r="J869" i="1"/>
  <c r="I869" i="1"/>
  <c r="J868" i="1"/>
  <c r="I868" i="1"/>
  <c r="J867" i="1"/>
  <c r="I867" i="1"/>
  <c r="J866" i="1"/>
  <c r="I866" i="1"/>
  <c r="J865" i="1"/>
  <c r="I865" i="1"/>
  <c r="J864" i="1"/>
  <c r="I864" i="1"/>
  <c r="J863" i="1"/>
  <c r="I863" i="1"/>
  <c r="J862" i="1"/>
  <c r="I862" i="1"/>
  <c r="J861" i="1"/>
  <c r="I861" i="1"/>
  <c r="J860" i="1"/>
  <c r="I860" i="1"/>
  <c r="J859" i="1"/>
  <c r="I859" i="1"/>
  <c r="J858" i="1"/>
  <c r="I858" i="1"/>
  <c r="J857" i="1"/>
  <c r="I857" i="1"/>
  <c r="J856" i="1"/>
  <c r="I856" i="1"/>
  <c r="J855" i="1"/>
  <c r="I855" i="1"/>
  <c r="J854" i="1"/>
  <c r="I854" i="1"/>
  <c r="J853" i="1"/>
  <c r="I853" i="1"/>
  <c r="J852" i="1"/>
  <c r="I852" i="1"/>
  <c r="J851" i="1"/>
  <c r="I851" i="1"/>
  <c r="J850" i="1"/>
  <c r="I850" i="1"/>
  <c r="J849" i="1"/>
  <c r="I849" i="1"/>
  <c r="J848" i="1"/>
  <c r="I848" i="1"/>
  <c r="J847" i="1"/>
  <c r="I847" i="1"/>
  <c r="J846" i="1"/>
  <c r="I846" i="1"/>
  <c r="J845" i="1"/>
  <c r="I845" i="1"/>
  <c r="J844" i="1"/>
  <c r="I844" i="1"/>
  <c r="J843" i="1"/>
  <c r="I843" i="1"/>
  <c r="J842" i="1"/>
  <c r="I842" i="1"/>
  <c r="J841" i="1"/>
  <c r="I841" i="1"/>
  <c r="J840" i="1"/>
  <c r="I840" i="1"/>
  <c r="J839" i="1"/>
  <c r="I839" i="1"/>
  <c r="J838" i="1"/>
  <c r="I838" i="1"/>
  <c r="J837" i="1"/>
  <c r="I837" i="1"/>
  <c r="J836" i="1"/>
  <c r="I836" i="1"/>
  <c r="J835" i="1"/>
  <c r="I835" i="1"/>
  <c r="J834" i="1"/>
  <c r="I834" i="1"/>
  <c r="J833" i="1"/>
  <c r="I833" i="1"/>
  <c r="J832" i="1"/>
  <c r="I832" i="1"/>
  <c r="J831" i="1"/>
  <c r="I831" i="1"/>
  <c r="J830" i="1"/>
  <c r="I830" i="1"/>
  <c r="J829" i="1"/>
  <c r="I829" i="1"/>
  <c r="J828" i="1"/>
  <c r="I828" i="1"/>
  <c r="J827" i="1"/>
  <c r="I827" i="1"/>
  <c r="J826" i="1"/>
  <c r="I826" i="1"/>
  <c r="J825" i="1"/>
  <c r="I825" i="1"/>
  <c r="J824" i="1"/>
  <c r="I824" i="1"/>
  <c r="J823" i="1"/>
  <c r="I823" i="1"/>
  <c r="J822" i="1"/>
  <c r="I822" i="1"/>
  <c r="J821" i="1"/>
  <c r="I821" i="1"/>
  <c r="J820" i="1"/>
  <c r="I820" i="1"/>
  <c r="J819" i="1"/>
  <c r="I819" i="1"/>
  <c r="J818" i="1"/>
  <c r="I818" i="1"/>
  <c r="J817" i="1"/>
  <c r="I817" i="1"/>
  <c r="J816" i="1"/>
  <c r="I816" i="1"/>
  <c r="J815" i="1"/>
  <c r="I815" i="1"/>
  <c r="J814" i="1"/>
  <c r="I814" i="1"/>
  <c r="J813" i="1"/>
  <c r="I813" i="1"/>
  <c r="J812" i="1"/>
  <c r="I812" i="1"/>
  <c r="J811" i="1"/>
  <c r="I811" i="1"/>
  <c r="J810" i="1"/>
  <c r="I810" i="1"/>
  <c r="J809" i="1"/>
  <c r="I809" i="1"/>
  <c r="J808" i="1"/>
  <c r="I808" i="1"/>
  <c r="J807" i="1"/>
  <c r="I807" i="1"/>
  <c r="J806" i="1"/>
  <c r="I806" i="1"/>
  <c r="J805" i="1"/>
  <c r="I805" i="1"/>
  <c r="J804" i="1"/>
  <c r="I804" i="1"/>
  <c r="J803" i="1"/>
  <c r="I803" i="1"/>
  <c r="J802" i="1"/>
  <c r="I802" i="1"/>
  <c r="J801" i="1"/>
  <c r="I801" i="1"/>
  <c r="J800" i="1"/>
  <c r="I800" i="1"/>
  <c r="J799" i="1"/>
  <c r="I799" i="1"/>
  <c r="J798" i="1"/>
  <c r="I798" i="1"/>
  <c r="J797" i="1"/>
  <c r="I797" i="1"/>
  <c r="J796" i="1"/>
  <c r="I796" i="1"/>
  <c r="J795" i="1"/>
  <c r="I795" i="1"/>
  <c r="J794" i="1"/>
  <c r="I794" i="1"/>
  <c r="J793" i="1"/>
  <c r="I793" i="1"/>
  <c r="J792" i="1"/>
  <c r="I792" i="1"/>
  <c r="J791" i="1"/>
  <c r="I791" i="1"/>
  <c r="J790" i="1"/>
  <c r="I790" i="1"/>
  <c r="J789" i="1"/>
  <c r="I789" i="1"/>
  <c r="J788" i="1"/>
  <c r="I788" i="1"/>
  <c r="J787" i="1"/>
  <c r="I787" i="1"/>
  <c r="J786" i="1"/>
  <c r="I786" i="1"/>
  <c r="J785" i="1"/>
  <c r="I785" i="1"/>
  <c r="J784" i="1"/>
  <c r="I784" i="1"/>
  <c r="J783" i="1"/>
  <c r="I783" i="1"/>
  <c r="J782" i="1"/>
  <c r="I782" i="1"/>
  <c r="J781" i="1"/>
  <c r="I781" i="1"/>
  <c r="J780" i="1"/>
  <c r="I780" i="1"/>
  <c r="J779" i="1"/>
  <c r="I779" i="1"/>
  <c r="J778" i="1"/>
  <c r="I778" i="1"/>
  <c r="J777" i="1"/>
  <c r="I777" i="1"/>
  <c r="J776" i="1"/>
  <c r="I776" i="1"/>
  <c r="J775" i="1"/>
  <c r="I775" i="1"/>
  <c r="J774" i="1"/>
  <c r="I774" i="1"/>
  <c r="J773" i="1"/>
  <c r="I773" i="1"/>
  <c r="J772" i="1"/>
  <c r="I772" i="1"/>
  <c r="J771" i="1"/>
  <c r="I771" i="1"/>
  <c r="J770" i="1"/>
  <c r="I770" i="1"/>
  <c r="J769" i="1"/>
  <c r="I769" i="1"/>
  <c r="J768" i="1"/>
  <c r="I768" i="1"/>
  <c r="J767" i="1"/>
  <c r="I767" i="1"/>
  <c r="J766" i="1"/>
  <c r="I766" i="1"/>
  <c r="J765" i="1"/>
  <c r="I765" i="1"/>
  <c r="J764" i="1"/>
  <c r="I764" i="1"/>
  <c r="J763" i="1"/>
  <c r="I763" i="1"/>
  <c r="J762" i="1"/>
  <c r="I762" i="1"/>
  <c r="J761" i="1"/>
  <c r="I761" i="1"/>
  <c r="J760" i="1"/>
  <c r="I760" i="1"/>
  <c r="J759" i="1"/>
  <c r="I759" i="1"/>
  <c r="J758" i="1"/>
  <c r="I758" i="1"/>
  <c r="J757" i="1"/>
  <c r="I757" i="1"/>
  <c r="J756" i="1"/>
  <c r="I756" i="1"/>
  <c r="J755" i="1"/>
  <c r="I755" i="1"/>
  <c r="J754" i="1"/>
  <c r="I754" i="1"/>
  <c r="J753" i="1"/>
  <c r="I753" i="1"/>
  <c r="J752" i="1"/>
  <c r="I752" i="1"/>
  <c r="J751" i="1"/>
  <c r="I751" i="1"/>
  <c r="J750" i="1"/>
  <c r="I750" i="1"/>
  <c r="J749" i="1"/>
  <c r="I749" i="1"/>
  <c r="J748" i="1"/>
  <c r="I748" i="1"/>
  <c r="J747" i="1"/>
  <c r="I747" i="1"/>
  <c r="J746" i="1"/>
  <c r="I746" i="1"/>
  <c r="J745" i="1"/>
  <c r="I745" i="1"/>
  <c r="J744" i="1"/>
  <c r="I744" i="1"/>
  <c r="J743" i="1"/>
  <c r="I743" i="1"/>
  <c r="J742" i="1"/>
  <c r="I742" i="1"/>
  <c r="J741" i="1"/>
  <c r="I741" i="1"/>
  <c r="J740" i="1"/>
  <c r="I740" i="1"/>
  <c r="J739" i="1"/>
  <c r="I739" i="1"/>
  <c r="J738" i="1"/>
  <c r="I738" i="1"/>
  <c r="J737" i="1"/>
  <c r="I737" i="1"/>
  <c r="J736" i="1"/>
  <c r="I736" i="1"/>
  <c r="J735" i="1"/>
  <c r="I735" i="1"/>
  <c r="J734" i="1"/>
  <c r="I734" i="1"/>
  <c r="J733" i="1"/>
  <c r="I733" i="1"/>
  <c r="J732" i="1"/>
  <c r="I732" i="1"/>
  <c r="J731" i="1"/>
  <c r="I731" i="1"/>
  <c r="J730" i="1"/>
  <c r="I730" i="1"/>
  <c r="J729" i="1"/>
  <c r="I729" i="1"/>
  <c r="J728" i="1"/>
  <c r="I728" i="1"/>
  <c r="J727" i="1"/>
  <c r="I727" i="1"/>
  <c r="J726" i="1"/>
  <c r="I726" i="1"/>
  <c r="J725" i="1"/>
  <c r="I725" i="1"/>
  <c r="J724" i="1"/>
  <c r="I724" i="1"/>
  <c r="J723" i="1"/>
  <c r="I723" i="1"/>
  <c r="J722" i="1"/>
  <c r="I722" i="1"/>
  <c r="J721" i="1"/>
  <c r="I721" i="1"/>
  <c r="J720" i="1"/>
  <c r="I720" i="1"/>
  <c r="J719" i="1"/>
  <c r="I719" i="1"/>
  <c r="J718" i="1"/>
  <c r="I718" i="1"/>
  <c r="J717" i="1"/>
  <c r="I717" i="1"/>
  <c r="J716" i="1"/>
  <c r="I716" i="1"/>
  <c r="J715" i="1"/>
  <c r="I715" i="1"/>
  <c r="J714" i="1"/>
  <c r="I714" i="1"/>
  <c r="J713" i="1"/>
  <c r="I713" i="1"/>
  <c r="J712" i="1"/>
  <c r="I712" i="1"/>
  <c r="J711" i="1"/>
  <c r="I711" i="1"/>
  <c r="J710" i="1"/>
  <c r="I710" i="1"/>
  <c r="J709" i="1"/>
  <c r="I709" i="1"/>
  <c r="J708" i="1"/>
  <c r="I708" i="1"/>
  <c r="J707" i="1"/>
  <c r="I707" i="1"/>
  <c r="J706" i="1"/>
  <c r="I706" i="1"/>
  <c r="J705" i="1"/>
  <c r="I705" i="1"/>
  <c r="J704" i="1"/>
  <c r="I704" i="1"/>
  <c r="J703" i="1"/>
  <c r="I703" i="1"/>
  <c r="J702" i="1"/>
  <c r="I702" i="1"/>
  <c r="J701" i="1"/>
  <c r="I701" i="1"/>
  <c r="J700" i="1"/>
  <c r="I700" i="1"/>
  <c r="J699" i="1"/>
  <c r="I699" i="1"/>
  <c r="J698" i="1"/>
  <c r="I698" i="1"/>
  <c r="J697" i="1"/>
  <c r="I697" i="1"/>
  <c r="J696" i="1"/>
  <c r="I696" i="1"/>
  <c r="J695" i="1"/>
  <c r="I695" i="1"/>
  <c r="J694" i="1"/>
  <c r="I694" i="1"/>
  <c r="J693" i="1"/>
  <c r="I693" i="1"/>
  <c r="J692" i="1"/>
  <c r="I692" i="1"/>
  <c r="J691" i="1"/>
  <c r="I691" i="1"/>
  <c r="J690" i="1"/>
  <c r="I690" i="1"/>
  <c r="J689" i="1"/>
  <c r="I689" i="1"/>
  <c r="J688" i="1"/>
  <c r="I688" i="1"/>
  <c r="J687" i="1"/>
  <c r="I687" i="1"/>
  <c r="J686" i="1"/>
  <c r="I686" i="1"/>
  <c r="J685" i="1"/>
  <c r="I685" i="1"/>
  <c r="J684" i="1"/>
  <c r="I684" i="1"/>
  <c r="J683" i="1"/>
  <c r="I683" i="1"/>
  <c r="J682" i="1"/>
  <c r="I682" i="1"/>
  <c r="J681" i="1"/>
  <c r="I681" i="1"/>
  <c r="J680" i="1"/>
  <c r="I680" i="1"/>
  <c r="J679" i="1"/>
  <c r="I679" i="1"/>
  <c r="J678" i="1"/>
  <c r="I678" i="1"/>
  <c r="J677" i="1"/>
  <c r="I677" i="1"/>
  <c r="J676" i="1"/>
  <c r="I676" i="1"/>
  <c r="J675" i="1"/>
  <c r="I675" i="1"/>
  <c r="J674" i="1"/>
  <c r="I674" i="1"/>
  <c r="J673" i="1"/>
  <c r="I673" i="1"/>
  <c r="J672" i="1"/>
  <c r="I672" i="1"/>
  <c r="J671" i="1"/>
  <c r="I671" i="1"/>
  <c r="J670" i="1"/>
  <c r="I670" i="1"/>
  <c r="J669" i="1"/>
  <c r="I669" i="1"/>
  <c r="J668" i="1"/>
  <c r="I668" i="1"/>
  <c r="J667" i="1"/>
  <c r="I667" i="1"/>
  <c r="J666" i="1"/>
  <c r="I666" i="1"/>
  <c r="J665" i="1"/>
  <c r="I665" i="1"/>
  <c r="J664" i="1"/>
  <c r="I664" i="1"/>
  <c r="J663" i="1"/>
  <c r="I663" i="1"/>
  <c r="J662" i="1"/>
  <c r="I662" i="1"/>
  <c r="J661" i="1"/>
  <c r="I661" i="1"/>
  <c r="J660" i="1"/>
  <c r="I660" i="1"/>
  <c r="J659" i="1"/>
  <c r="I659" i="1"/>
  <c r="J658" i="1"/>
  <c r="I658" i="1"/>
  <c r="J657" i="1"/>
  <c r="I657" i="1"/>
  <c r="J656" i="1"/>
  <c r="I656" i="1"/>
  <c r="J655" i="1"/>
  <c r="I655" i="1"/>
  <c r="J654" i="1"/>
  <c r="I654" i="1"/>
  <c r="J653" i="1"/>
  <c r="I653" i="1"/>
  <c r="J652" i="1"/>
  <c r="I652" i="1"/>
  <c r="J651" i="1"/>
  <c r="I651" i="1"/>
  <c r="J650" i="1"/>
  <c r="I650" i="1"/>
  <c r="J649" i="1"/>
  <c r="I649" i="1"/>
  <c r="J648" i="1"/>
  <c r="I648" i="1"/>
  <c r="J647" i="1"/>
  <c r="I647" i="1"/>
  <c r="J646" i="1"/>
  <c r="I646" i="1"/>
  <c r="J645" i="1"/>
  <c r="I645" i="1"/>
  <c r="J644" i="1"/>
  <c r="I644" i="1"/>
  <c r="J643" i="1"/>
  <c r="I643" i="1"/>
  <c r="J642" i="1"/>
  <c r="I642" i="1"/>
  <c r="J641" i="1"/>
  <c r="I641" i="1"/>
  <c r="J640" i="1"/>
  <c r="I640" i="1"/>
  <c r="J639" i="1"/>
  <c r="I639" i="1"/>
  <c r="J638" i="1"/>
  <c r="I638" i="1"/>
  <c r="J637" i="1"/>
  <c r="I637" i="1"/>
  <c r="J636" i="1"/>
  <c r="I636" i="1"/>
  <c r="J635" i="1"/>
  <c r="I635" i="1"/>
  <c r="J634" i="1"/>
  <c r="I634" i="1"/>
  <c r="J633" i="1"/>
  <c r="I633" i="1"/>
  <c r="J632" i="1"/>
  <c r="I632" i="1"/>
  <c r="J631" i="1"/>
  <c r="I631" i="1"/>
  <c r="J630" i="1"/>
  <c r="I630" i="1"/>
  <c r="J629" i="1"/>
  <c r="I629" i="1"/>
  <c r="J628" i="1"/>
  <c r="I628" i="1"/>
  <c r="J627" i="1"/>
  <c r="I627" i="1"/>
  <c r="J626" i="1"/>
  <c r="I626" i="1"/>
  <c r="J625" i="1"/>
  <c r="I625" i="1"/>
  <c r="J624" i="1"/>
  <c r="I624" i="1"/>
  <c r="J623" i="1"/>
  <c r="I623" i="1"/>
  <c r="J622" i="1"/>
  <c r="I622" i="1"/>
  <c r="J621" i="1"/>
  <c r="I621" i="1"/>
  <c r="J620" i="1"/>
  <c r="I620" i="1"/>
  <c r="J619" i="1"/>
  <c r="I619" i="1"/>
  <c r="J618" i="1"/>
  <c r="I618" i="1"/>
  <c r="J617" i="1"/>
  <c r="I617" i="1"/>
  <c r="J616" i="1"/>
  <c r="I616" i="1"/>
  <c r="J615" i="1"/>
  <c r="I615" i="1"/>
  <c r="J614" i="1"/>
  <c r="I614" i="1"/>
  <c r="J613" i="1"/>
  <c r="I613" i="1"/>
  <c r="J612" i="1"/>
  <c r="I612" i="1"/>
  <c r="J611" i="1"/>
  <c r="I611" i="1"/>
  <c r="J610" i="1"/>
  <c r="I610" i="1"/>
  <c r="J609" i="1"/>
  <c r="I609" i="1"/>
  <c r="J608" i="1"/>
  <c r="I608" i="1"/>
  <c r="J607" i="1"/>
  <c r="I607" i="1"/>
  <c r="J606" i="1"/>
  <c r="I606" i="1"/>
  <c r="J605" i="1"/>
  <c r="I605" i="1"/>
  <c r="J604" i="1"/>
  <c r="I604" i="1"/>
  <c r="J603" i="1"/>
  <c r="I603" i="1"/>
  <c r="J602" i="1"/>
  <c r="I602" i="1"/>
  <c r="J601" i="1"/>
  <c r="I601" i="1"/>
  <c r="J600" i="1"/>
  <c r="I600" i="1"/>
  <c r="J599" i="1"/>
  <c r="I599" i="1"/>
  <c r="J598" i="1"/>
  <c r="I598" i="1"/>
  <c r="J597" i="1"/>
  <c r="I597" i="1"/>
  <c r="J596" i="1"/>
  <c r="I596" i="1"/>
  <c r="J595" i="1"/>
  <c r="I595" i="1"/>
  <c r="J594" i="1"/>
  <c r="I594" i="1"/>
  <c r="J593" i="1"/>
  <c r="I593" i="1"/>
  <c r="J592" i="1"/>
  <c r="I592" i="1"/>
  <c r="J591" i="1"/>
  <c r="I591" i="1"/>
  <c r="J590" i="1"/>
  <c r="I590" i="1"/>
  <c r="J589" i="1"/>
  <c r="I589" i="1"/>
  <c r="J588" i="1"/>
  <c r="I588" i="1"/>
  <c r="J587" i="1"/>
  <c r="I587" i="1"/>
  <c r="J586" i="1"/>
  <c r="I586" i="1"/>
  <c r="J585" i="1"/>
  <c r="I585" i="1"/>
  <c r="J584" i="1"/>
  <c r="I584" i="1"/>
  <c r="J583" i="1"/>
  <c r="I583" i="1"/>
  <c r="J582" i="1"/>
  <c r="I582" i="1"/>
  <c r="J581" i="1"/>
  <c r="I581" i="1"/>
  <c r="J580" i="1"/>
  <c r="I580" i="1"/>
  <c r="J579" i="1"/>
  <c r="I579" i="1"/>
  <c r="J578" i="1"/>
  <c r="I578" i="1"/>
  <c r="J577" i="1"/>
  <c r="I577" i="1"/>
  <c r="J576" i="1"/>
  <c r="I576" i="1"/>
  <c r="J575" i="1"/>
  <c r="I575" i="1"/>
  <c r="J574" i="1"/>
  <c r="I574" i="1"/>
  <c r="J573" i="1"/>
  <c r="I573" i="1"/>
  <c r="J572" i="1"/>
  <c r="I572" i="1"/>
  <c r="J571" i="1"/>
  <c r="I571" i="1"/>
  <c r="J570" i="1"/>
  <c r="I570" i="1"/>
  <c r="J569" i="1"/>
  <c r="I569" i="1"/>
  <c r="J568" i="1"/>
  <c r="I568" i="1"/>
  <c r="J567" i="1"/>
  <c r="I567" i="1"/>
  <c r="J566" i="1"/>
  <c r="I566" i="1"/>
  <c r="J565" i="1"/>
  <c r="I565" i="1"/>
  <c r="J564" i="1"/>
  <c r="I564" i="1"/>
  <c r="J563" i="1"/>
  <c r="I563" i="1"/>
  <c r="J562" i="1"/>
  <c r="I562" i="1"/>
  <c r="J561" i="1"/>
  <c r="I561" i="1"/>
  <c r="J560" i="1"/>
  <c r="I560" i="1"/>
  <c r="J559" i="1"/>
  <c r="I559" i="1"/>
  <c r="J558" i="1"/>
  <c r="I558" i="1"/>
  <c r="J557" i="1"/>
  <c r="I557" i="1"/>
  <c r="J556" i="1"/>
  <c r="I556" i="1"/>
  <c r="J555" i="1"/>
  <c r="I555" i="1"/>
  <c r="J554" i="1"/>
  <c r="I554" i="1"/>
  <c r="J553" i="1"/>
  <c r="I553" i="1"/>
  <c r="J552" i="1"/>
  <c r="I552" i="1"/>
  <c r="J551" i="1"/>
  <c r="I551" i="1"/>
  <c r="J550" i="1"/>
  <c r="I550" i="1"/>
  <c r="J549" i="1"/>
  <c r="I549" i="1"/>
  <c r="J548" i="1"/>
  <c r="I548" i="1"/>
  <c r="J547" i="1"/>
  <c r="I547" i="1"/>
  <c r="J546" i="1"/>
  <c r="I546" i="1"/>
  <c r="J545" i="1"/>
  <c r="I545" i="1"/>
  <c r="J544" i="1"/>
  <c r="I544" i="1"/>
  <c r="J543" i="1"/>
  <c r="I543" i="1"/>
  <c r="J542" i="1"/>
  <c r="I542" i="1"/>
  <c r="J541" i="1"/>
  <c r="I541" i="1"/>
  <c r="J540" i="1"/>
  <c r="I540" i="1"/>
  <c r="J539" i="1"/>
  <c r="I539" i="1"/>
  <c r="J538" i="1"/>
  <c r="I538" i="1"/>
  <c r="J537" i="1"/>
  <c r="I537" i="1"/>
  <c r="J536" i="1"/>
  <c r="I536" i="1"/>
  <c r="J535" i="1"/>
  <c r="I535" i="1"/>
  <c r="J534" i="1"/>
  <c r="I534" i="1"/>
  <c r="J533" i="1"/>
  <c r="I533" i="1"/>
  <c r="J532" i="1"/>
  <c r="I532" i="1"/>
  <c r="J531" i="1"/>
  <c r="I531" i="1"/>
  <c r="J530" i="1"/>
  <c r="I530" i="1"/>
  <c r="J529" i="1"/>
  <c r="I529" i="1"/>
  <c r="J528" i="1"/>
  <c r="I528" i="1"/>
  <c r="J527" i="1"/>
  <c r="I527" i="1"/>
  <c r="J526" i="1"/>
  <c r="I526" i="1"/>
  <c r="J525" i="1"/>
  <c r="I525" i="1"/>
  <c r="J524" i="1"/>
  <c r="I524" i="1"/>
  <c r="J523" i="1"/>
  <c r="I523" i="1"/>
  <c r="J522" i="1"/>
  <c r="I522" i="1"/>
  <c r="J521" i="1"/>
  <c r="I521" i="1"/>
  <c r="J520" i="1"/>
  <c r="I520" i="1"/>
  <c r="J519" i="1"/>
  <c r="I519" i="1"/>
  <c r="J518" i="1"/>
  <c r="I518" i="1"/>
  <c r="J517" i="1"/>
  <c r="I517" i="1"/>
  <c r="J516" i="1"/>
  <c r="I516" i="1"/>
  <c r="J515" i="1"/>
  <c r="I515" i="1"/>
  <c r="J514" i="1"/>
  <c r="I514" i="1"/>
  <c r="J513" i="1"/>
  <c r="I513" i="1"/>
  <c r="J512" i="1"/>
  <c r="I512" i="1"/>
  <c r="J511" i="1"/>
  <c r="I511" i="1"/>
  <c r="J510" i="1"/>
  <c r="I510" i="1"/>
  <c r="J509" i="1"/>
  <c r="I509" i="1"/>
  <c r="J508" i="1"/>
  <c r="I508" i="1"/>
  <c r="J507" i="1"/>
  <c r="I507" i="1"/>
  <c r="J506" i="1"/>
  <c r="I506" i="1"/>
  <c r="J505" i="1"/>
  <c r="I505" i="1"/>
  <c r="J504" i="1"/>
  <c r="I504" i="1"/>
  <c r="J503" i="1"/>
  <c r="I503" i="1"/>
  <c r="J502" i="1"/>
  <c r="I502" i="1"/>
  <c r="J501" i="1"/>
  <c r="I501" i="1"/>
  <c r="J500" i="1"/>
  <c r="I500" i="1"/>
  <c r="J499" i="1"/>
  <c r="I499" i="1"/>
  <c r="J498" i="1"/>
  <c r="I498" i="1"/>
  <c r="J497" i="1"/>
  <c r="I497" i="1"/>
  <c r="J496" i="1"/>
  <c r="I496" i="1"/>
  <c r="J495" i="1"/>
  <c r="I495" i="1"/>
  <c r="J494" i="1"/>
  <c r="I494" i="1"/>
  <c r="J493" i="1"/>
  <c r="I493" i="1"/>
  <c r="J492" i="1"/>
  <c r="I492" i="1"/>
  <c r="J491" i="1"/>
  <c r="I491" i="1"/>
  <c r="J490" i="1"/>
  <c r="I490" i="1"/>
  <c r="J489" i="1"/>
  <c r="I489" i="1"/>
  <c r="J488" i="1"/>
  <c r="I488" i="1"/>
  <c r="J487" i="1"/>
  <c r="I487" i="1"/>
  <c r="J486" i="1"/>
  <c r="I486" i="1"/>
  <c r="J485" i="1"/>
  <c r="I485" i="1"/>
  <c r="J484" i="1"/>
  <c r="I484" i="1"/>
  <c r="J483" i="1"/>
  <c r="I483" i="1"/>
  <c r="J482" i="1"/>
  <c r="I482" i="1"/>
  <c r="J481" i="1"/>
  <c r="I481" i="1"/>
  <c r="J480" i="1"/>
  <c r="I480" i="1"/>
  <c r="J479" i="1"/>
  <c r="I479" i="1"/>
  <c r="J478" i="1"/>
  <c r="I478" i="1"/>
  <c r="J477" i="1"/>
  <c r="I477" i="1"/>
  <c r="J476" i="1"/>
  <c r="I476" i="1"/>
  <c r="J475" i="1"/>
  <c r="I475" i="1"/>
  <c r="J474" i="1"/>
  <c r="I474" i="1"/>
  <c r="J473" i="1"/>
  <c r="I473" i="1"/>
  <c r="J472" i="1"/>
  <c r="I472" i="1"/>
  <c r="J471" i="1"/>
  <c r="I471" i="1"/>
  <c r="J470" i="1"/>
  <c r="I470" i="1"/>
  <c r="J469" i="1"/>
  <c r="I469" i="1"/>
  <c r="J468" i="1"/>
  <c r="I468" i="1"/>
  <c r="J467" i="1"/>
  <c r="I467" i="1"/>
  <c r="J466" i="1"/>
  <c r="I466" i="1"/>
  <c r="J465" i="1"/>
  <c r="I465" i="1"/>
  <c r="J464" i="1"/>
  <c r="I464" i="1"/>
  <c r="J463" i="1"/>
  <c r="I463" i="1"/>
  <c r="J462" i="1"/>
  <c r="I462" i="1"/>
  <c r="J461" i="1"/>
  <c r="I461" i="1"/>
  <c r="J460" i="1"/>
  <c r="I460" i="1"/>
  <c r="J459" i="1"/>
  <c r="I459" i="1"/>
  <c r="J458" i="1"/>
  <c r="I458" i="1"/>
  <c r="J457" i="1"/>
  <c r="I457" i="1"/>
  <c r="J456" i="1"/>
  <c r="I456" i="1"/>
  <c r="J455" i="1"/>
  <c r="I455" i="1"/>
  <c r="J454" i="1"/>
  <c r="I454" i="1"/>
  <c r="J453" i="1"/>
  <c r="I453" i="1"/>
  <c r="J452" i="1"/>
  <c r="I452" i="1"/>
  <c r="J451" i="1"/>
  <c r="I451" i="1"/>
  <c r="J450" i="1"/>
  <c r="I450" i="1"/>
  <c r="J449" i="1"/>
  <c r="I449" i="1"/>
  <c r="J448" i="1"/>
  <c r="I448" i="1"/>
  <c r="J447" i="1"/>
  <c r="I447" i="1"/>
  <c r="J446" i="1"/>
  <c r="I446" i="1"/>
  <c r="J445" i="1"/>
  <c r="I445" i="1"/>
  <c r="J444" i="1"/>
  <c r="I444" i="1"/>
  <c r="J443" i="1"/>
  <c r="I443" i="1"/>
  <c r="J442" i="1"/>
  <c r="I442" i="1"/>
  <c r="J441" i="1"/>
  <c r="I441" i="1"/>
  <c r="J440" i="1"/>
  <c r="I440" i="1"/>
  <c r="J439" i="1"/>
  <c r="I439" i="1"/>
  <c r="J438" i="1"/>
  <c r="I438" i="1"/>
  <c r="J437" i="1"/>
  <c r="I437" i="1"/>
  <c r="J436" i="1"/>
  <c r="I436" i="1"/>
  <c r="J435" i="1"/>
  <c r="I435" i="1"/>
  <c r="J434" i="1"/>
  <c r="I434" i="1"/>
  <c r="J433" i="1"/>
  <c r="I433" i="1"/>
  <c r="J432" i="1"/>
  <c r="I432" i="1"/>
  <c r="J431" i="1"/>
  <c r="I431" i="1"/>
  <c r="J430" i="1"/>
  <c r="I430" i="1"/>
  <c r="J429" i="1"/>
  <c r="I429" i="1"/>
  <c r="J428" i="1"/>
  <c r="I428" i="1"/>
  <c r="J427" i="1"/>
  <c r="I427" i="1"/>
  <c r="J426" i="1"/>
  <c r="I426" i="1"/>
  <c r="J425" i="1"/>
  <c r="I425" i="1"/>
  <c r="J424" i="1"/>
  <c r="I424" i="1"/>
  <c r="J423" i="1"/>
  <c r="I423" i="1"/>
  <c r="J422" i="1"/>
  <c r="I422" i="1"/>
  <c r="J421" i="1"/>
  <c r="I421" i="1"/>
  <c r="J420" i="1"/>
  <c r="I420" i="1"/>
  <c r="J419" i="1"/>
  <c r="I419" i="1"/>
  <c r="J418" i="1"/>
  <c r="I418" i="1"/>
  <c r="J417" i="1"/>
  <c r="I417" i="1"/>
  <c r="J416" i="1"/>
  <c r="I416" i="1"/>
  <c r="J415" i="1"/>
  <c r="I415" i="1"/>
  <c r="J414" i="1"/>
  <c r="I414" i="1"/>
  <c r="J413" i="1"/>
  <c r="I413" i="1"/>
  <c r="J412" i="1"/>
  <c r="I412" i="1"/>
  <c r="J411" i="1"/>
  <c r="I411" i="1"/>
  <c r="J410" i="1"/>
  <c r="I410" i="1"/>
  <c r="J409" i="1"/>
  <c r="I409" i="1"/>
  <c r="J408" i="1"/>
  <c r="I408" i="1"/>
  <c r="J407" i="1"/>
  <c r="I407" i="1"/>
  <c r="J406" i="1"/>
  <c r="I406" i="1"/>
  <c r="J405" i="1"/>
  <c r="I405" i="1"/>
  <c r="J404" i="1"/>
  <c r="I404" i="1"/>
  <c r="J403" i="1"/>
  <c r="I403" i="1"/>
  <c r="J402" i="1"/>
  <c r="I402" i="1"/>
  <c r="J401" i="1"/>
  <c r="I401" i="1"/>
  <c r="J400" i="1"/>
  <c r="I400" i="1"/>
  <c r="J399" i="1"/>
  <c r="I399" i="1"/>
  <c r="J398" i="1"/>
  <c r="I398" i="1"/>
  <c r="J397" i="1"/>
  <c r="I397" i="1"/>
  <c r="J396" i="1"/>
  <c r="I396" i="1"/>
  <c r="J395" i="1"/>
  <c r="I395" i="1"/>
  <c r="J394" i="1"/>
  <c r="I394" i="1"/>
  <c r="J393" i="1"/>
  <c r="I393" i="1"/>
  <c r="J392" i="1"/>
  <c r="I392" i="1"/>
  <c r="J391" i="1"/>
  <c r="I391" i="1"/>
  <c r="J390" i="1"/>
  <c r="I390" i="1"/>
  <c r="J389" i="1"/>
  <c r="I389" i="1"/>
  <c r="J388" i="1"/>
  <c r="I388" i="1"/>
  <c r="J387" i="1"/>
  <c r="I387" i="1"/>
  <c r="J386" i="1"/>
  <c r="I386" i="1"/>
  <c r="J385" i="1"/>
  <c r="I385" i="1"/>
  <c r="J384" i="1"/>
  <c r="I384" i="1"/>
  <c r="J383" i="1"/>
  <c r="I383" i="1"/>
  <c r="J382" i="1"/>
  <c r="I382" i="1"/>
  <c r="J381" i="1"/>
  <c r="I381" i="1"/>
  <c r="J380" i="1"/>
  <c r="I380" i="1"/>
  <c r="J379" i="1"/>
  <c r="I379" i="1"/>
  <c r="J378" i="1"/>
  <c r="I378" i="1"/>
  <c r="J377" i="1"/>
  <c r="I377" i="1"/>
  <c r="J376" i="1"/>
  <c r="I376" i="1"/>
  <c r="J375" i="1"/>
  <c r="I375" i="1"/>
  <c r="J374" i="1"/>
  <c r="I374" i="1"/>
  <c r="J373" i="1"/>
  <c r="I373" i="1"/>
  <c r="J372" i="1"/>
  <c r="I372" i="1"/>
  <c r="J371" i="1"/>
  <c r="I371" i="1"/>
  <c r="J370" i="1"/>
  <c r="I370" i="1"/>
  <c r="J369" i="1"/>
  <c r="I369" i="1"/>
  <c r="J368" i="1"/>
  <c r="I368" i="1"/>
  <c r="J367" i="1"/>
  <c r="I367" i="1"/>
  <c r="J366" i="1"/>
  <c r="I366" i="1"/>
  <c r="J365" i="1"/>
  <c r="I365" i="1"/>
  <c r="J364" i="1"/>
  <c r="I364" i="1"/>
  <c r="J363" i="1"/>
  <c r="I363" i="1"/>
  <c r="J362" i="1"/>
  <c r="I362" i="1"/>
  <c r="J361" i="1"/>
  <c r="I361" i="1"/>
  <c r="J360" i="1"/>
  <c r="I360" i="1"/>
  <c r="J359" i="1"/>
  <c r="I359" i="1"/>
  <c r="J358" i="1"/>
  <c r="I358" i="1"/>
  <c r="J357" i="1"/>
  <c r="I357" i="1"/>
  <c r="J356" i="1"/>
  <c r="I356" i="1"/>
  <c r="J355" i="1"/>
  <c r="I355" i="1"/>
  <c r="J354" i="1"/>
  <c r="I354" i="1"/>
  <c r="J353" i="1"/>
  <c r="I353" i="1"/>
  <c r="J352" i="1"/>
  <c r="I352" i="1"/>
  <c r="J351" i="1"/>
  <c r="I351" i="1"/>
  <c r="J350" i="1"/>
  <c r="I350" i="1"/>
  <c r="J349" i="1"/>
  <c r="I349" i="1"/>
  <c r="J348" i="1"/>
  <c r="I348" i="1"/>
  <c r="J347" i="1"/>
  <c r="I347" i="1"/>
  <c r="J346" i="1"/>
  <c r="I346" i="1"/>
  <c r="J345" i="1"/>
  <c r="I345" i="1"/>
  <c r="J344" i="1"/>
  <c r="I344" i="1"/>
  <c r="J343" i="1"/>
  <c r="I343" i="1"/>
  <c r="J342" i="1"/>
  <c r="I342" i="1"/>
  <c r="J341" i="1"/>
  <c r="I341" i="1"/>
  <c r="J340" i="1"/>
  <c r="I340" i="1"/>
  <c r="J339" i="1"/>
  <c r="I339" i="1"/>
  <c r="J338" i="1"/>
  <c r="I338" i="1"/>
  <c r="J337" i="1"/>
  <c r="I337" i="1"/>
  <c r="J336" i="1"/>
  <c r="I336" i="1"/>
  <c r="J335" i="1"/>
  <c r="I335" i="1"/>
  <c r="J334" i="1"/>
  <c r="I334" i="1"/>
  <c r="J333" i="1"/>
  <c r="I333" i="1"/>
  <c r="J332" i="1"/>
  <c r="I332" i="1"/>
  <c r="J331" i="1"/>
  <c r="I331" i="1"/>
  <c r="J330" i="1"/>
  <c r="I330" i="1"/>
  <c r="J329" i="1"/>
  <c r="I329" i="1"/>
  <c r="J328" i="1"/>
  <c r="I328" i="1"/>
  <c r="J327" i="1"/>
  <c r="I327" i="1"/>
  <c r="J326" i="1"/>
  <c r="I326" i="1"/>
  <c r="J325" i="1"/>
  <c r="I325" i="1"/>
  <c r="J324" i="1"/>
  <c r="I324" i="1"/>
  <c r="J323" i="1"/>
  <c r="I323" i="1"/>
  <c r="J322" i="1"/>
  <c r="I322" i="1"/>
  <c r="J321" i="1"/>
  <c r="I321" i="1"/>
  <c r="J320" i="1"/>
  <c r="I320" i="1"/>
  <c r="J319" i="1"/>
  <c r="I319" i="1"/>
  <c r="J318" i="1"/>
  <c r="I318" i="1"/>
  <c r="J317" i="1"/>
  <c r="I317" i="1"/>
  <c r="J316" i="1"/>
  <c r="I316" i="1"/>
  <c r="J315" i="1"/>
  <c r="I315" i="1"/>
  <c r="J314" i="1"/>
  <c r="I314" i="1"/>
  <c r="J313" i="1"/>
  <c r="I313" i="1"/>
  <c r="J312" i="1"/>
  <c r="I312" i="1"/>
  <c r="J311" i="1"/>
  <c r="I311" i="1"/>
  <c r="J310" i="1"/>
  <c r="I310" i="1"/>
  <c r="J309" i="1"/>
  <c r="I309" i="1"/>
  <c r="J308" i="1"/>
  <c r="I308" i="1"/>
  <c r="J307" i="1"/>
  <c r="I307" i="1"/>
  <c r="J306" i="1"/>
  <c r="I306" i="1"/>
  <c r="J305" i="1"/>
  <c r="I305" i="1"/>
  <c r="J304" i="1"/>
  <c r="I304" i="1"/>
  <c r="J303" i="1"/>
  <c r="I303" i="1"/>
  <c r="J302" i="1"/>
  <c r="I302" i="1"/>
  <c r="J301" i="1"/>
  <c r="I301" i="1"/>
  <c r="J300" i="1"/>
  <c r="I300" i="1"/>
  <c r="J299" i="1"/>
  <c r="I299" i="1"/>
  <c r="J298" i="1"/>
  <c r="I298" i="1"/>
  <c r="J297" i="1"/>
  <c r="I297" i="1"/>
  <c r="J296" i="1"/>
  <c r="I296" i="1"/>
  <c r="J295" i="1"/>
  <c r="I295" i="1"/>
  <c r="J294" i="1"/>
  <c r="I294" i="1"/>
  <c r="J293" i="1"/>
  <c r="I293" i="1"/>
  <c r="J292" i="1"/>
  <c r="I292" i="1"/>
  <c r="J291" i="1"/>
  <c r="I291" i="1"/>
  <c r="J290" i="1"/>
  <c r="I290" i="1"/>
  <c r="J289" i="1"/>
  <c r="I289" i="1"/>
  <c r="J288" i="1"/>
  <c r="I288" i="1"/>
  <c r="J287" i="1"/>
  <c r="I287" i="1"/>
  <c r="J286" i="1"/>
  <c r="I286" i="1"/>
  <c r="J285" i="1"/>
  <c r="I285" i="1"/>
  <c r="J284" i="1"/>
  <c r="I284" i="1"/>
  <c r="J283" i="1"/>
  <c r="I283" i="1"/>
  <c r="J282" i="1"/>
  <c r="I282" i="1"/>
  <c r="J281" i="1"/>
  <c r="I281" i="1"/>
  <c r="J280" i="1"/>
  <c r="I280" i="1"/>
  <c r="J279" i="1"/>
  <c r="I279" i="1"/>
  <c r="J278" i="1"/>
  <c r="I278" i="1"/>
  <c r="J277" i="1"/>
  <c r="I277" i="1"/>
  <c r="J276" i="1"/>
  <c r="I276" i="1"/>
  <c r="J275" i="1"/>
  <c r="I275" i="1"/>
  <c r="J274" i="1"/>
  <c r="I274" i="1"/>
  <c r="J273" i="1"/>
  <c r="I273" i="1"/>
  <c r="J272" i="1"/>
  <c r="I272" i="1"/>
  <c r="J271" i="1"/>
  <c r="I271" i="1"/>
  <c r="J270" i="1"/>
  <c r="I270" i="1"/>
  <c r="J269" i="1"/>
  <c r="I269" i="1"/>
  <c r="J268" i="1"/>
  <c r="I268" i="1"/>
  <c r="J267" i="1"/>
  <c r="I267" i="1"/>
  <c r="J266" i="1"/>
  <c r="I266" i="1"/>
  <c r="J265" i="1"/>
  <c r="I265" i="1"/>
  <c r="J264" i="1"/>
  <c r="I264" i="1"/>
  <c r="J263" i="1"/>
  <c r="I263" i="1"/>
  <c r="J262" i="1"/>
  <c r="I262" i="1"/>
  <c r="J261" i="1"/>
  <c r="I261" i="1"/>
  <c r="J260" i="1"/>
  <c r="I260" i="1"/>
  <c r="J259" i="1"/>
  <c r="I259" i="1"/>
  <c r="J258" i="1"/>
  <c r="I258" i="1"/>
  <c r="J257" i="1"/>
  <c r="I257" i="1"/>
  <c r="J256" i="1"/>
  <c r="I256" i="1"/>
  <c r="J255" i="1"/>
  <c r="I255" i="1"/>
  <c r="J254" i="1"/>
  <c r="I254" i="1"/>
  <c r="J253" i="1"/>
  <c r="I253" i="1"/>
  <c r="J252" i="1"/>
  <c r="I252" i="1"/>
  <c r="J251" i="1"/>
  <c r="I251" i="1"/>
  <c r="J250" i="1"/>
  <c r="I250" i="1"/>
  <c r="J249" i="1"/>
  <c r="I249" i="1"/>
  <c r="J248" i="1"/>
  <c r="I248" i="1"/>
  <c r="J247" i="1"/>
  <c r="I247" i="1"/>
  <c r="J246" i="1"/>
  <c r="I246" i="1"/>
  <c r="J245" i="1"/>
  <c r="I245" i="1"/>
  <c r="J244" i="1"/>
  <c r="I244" i="1"/>
  <c r="J243" i="1"/>
  <c r="I243" i="1"/>
  <c r="J242" i="1"/>
  <c r="I242" i="1"/>
  <c r="J241" i="1"/>
  <c r="I241" i="1"/>
  <c r="J240" i="1"/>
  <c r="I240" i="1"/>
  <c r="J239" i="1"/>
  <c r="I239" i="1"/>
  <c r="J238" i="1"/>
  <c r="I238" i="1"/>
  <c r="J237" i="1"/>
  <c r="I237" i="1"/>
  <c r="J236" i="1"/>
  <c r="I236" i="1"/>
  <c r="J235" i="1"/>
  <c r="I235" i="1"/>
  <c r="J234" i="1"/>
  <c r="I234" i="1"/>
  <c r="J233" i="1"/>
  <c r="I233" i="1"/>
  <c r="J232" i="1"/>
  <c r="I232" i="1"/>
  <c r="J231" i="1"/>
  <c r="I231" i="1"/>
  <c r="J230" i="1"/>
  <c r="I230" i="1"/>
  <c r="J229" i="1"/>
  <c r="I229" i="1"/>
  <c r="J228" i="1"/>
  <c r="I228" i="1"/>
  <c r="J227" i="1"/>
  <c r="I227" i="1"/>
  <c r="J226" i="1"/>
  <c r="I226" i="1"/>
  <c r="J225" i="1"/>
  <c r="I225" i="1"/>
  <c r="J224" i="1"/>
  <c r="I224" i="1"/>
  <c r="J223" i="1"/>
  <c r="I223" i="1"/>
  <c r="J222" i="1"/>
  <c r="I222" i="1"/>
  <c r="J221" i="1"/>
  <c r="I221" i="1"/>
  <c r="J220" i="1"/>
  <c r="I220" i="1"/>
  <c r="J219" i="1"/>
  <c r="I219" i="1"/>
  <c r="J218" i="1"/>
  <c r="I218" i="1"/>
  <c r="J217" i="1"/>
  <c r="I217" i="1"/>
  <c r="J216" i="1"/>
  <c r="I216" i="1"/>
  <c r="J215" i="1"/>
  <c r="I215" i="1"/>
  <c r="J214" i="1"/>
  <c r="I214" i="1"/>
  <c r="J213" i="1"/>
  <c r="I213" i="1"/>
  <c r="J212" i="1"/>
  <c r="I212" i="1"/>
  <c r="J211" i="1"/>
  <c r="I211" i="1"/>
  <c r="J210" i="1"/>
  <c r="I210" i="1"/>
  <c r="J209" i="1"/>
  <c r="I209" i="1"/>
  <c r="J208" i="1"/>
  <c r="I208" i="1"/>
  <c r="J207" i="1"/>
  <c r="I207" i="1"/>
  <c r="J206" i="1"/>
  <c r="I206" i="1"/>
  <c r="J205" i="1"/>
  <c r="I205" i="1"/>
  <c r="J204" i="1"/>
  <c r="I204" i="1"/>
  <c r="J203" i="1"/>
  <c r="I203" i="1"/>
  <c r="J202" i="1"/>
  <c r="I202" i="1"/>
  <c r="J201" i="1"/>
  <c r="I201" i="1"/>
  <c r="J200" i="1"/>
  <c r="I200" i="1"/>
  <c r="J199" i="1"/>
  <c r="I199" i="1"/>
  <c r="J198" i="1"/>
  <c r="I198" i="1"/>
  <c r="J197" i="1"/>
  <c r="I197" i="1"/>
  <c r="J196" i="1"/>
  <c r="I196" i="1"/>
  <c r="J195" i="1"/>
  <c r="I195" i="1"/>
  <c r="J194" i="1"/>
  <c r="I194" i="1"/>
  <c r="J193" i="1"/>
  <c r="I193" i="1"/>
  <c r="J192" i="1"/>
  <c r="I192" i="1"/>
  <c r="J191" i="1"/>
  <c r="I191" i="1"/>
  <c r="J190" i="1"/>
  <c r="I190" i="1"/>
  <c r="J189" i="1"/>
  <c r="I189" i="1"/>
  <c r="J188" i="1"/>
  <c r="I188" i="1"/>
  <c r="J187" i="1"/>
  <c r="I187" i="1"/>
  <c r="J186" i="1"/>
  <c r="I186" i="1"/>
  <c r="J185" i="1"/>
  <c r="I185" i="1"/>
  <c r="J184" i="1"/>
  <c r="I184" i="1"/>
  <c r="J183" i="1"/>
  <c r="I183" i="1"/>
  <c r="J182" i="1"/>
  <c r="I182" i="1"/>
  <c r="J181" i="1"/>
  <c r="I181" i="1"/>
  <c r="J180" i="1"/>
  <c r="I180" i="1"/>
  <c r="J179" i="1"/>
  <c r="I179" i="1"/>
  <c r="J178" i="1"/>
  <c r="I178" i="1"/>
  <c r="J177" i="1"/>
  <c r="I177" i="1"/>
  <c r="J176" i="1"/>
  <c r="I176" i="1"/>
  <c r="J175" i="1"/>
  <c r="I175" i="1"/>
  <c r="J174" i="1"/>
  <c r="I174" i="1"/>
  <c r="J173" i="1"/>
  <c r="I173" i="1"/>
  <c r="J172" i="1"/>
  <c r="I172" i="1"/>
  <c r="J171" i="1"/>
  <c r="I171" i="1"/>
  <c r="J170" i="1"/>
  <c r="I170" i="1"/>
  <c r="J169" i="1"/>
  <c r="I169" i="1"/>
  <c r="J168" i="1"/>
  <c r="I168" i="1"/>
  <c r="J167" i="1"/>
  <c r="I167" i="1"/>
  <c r="J166" i="1"/>
  <c r="I166" i="1"/>
  <c r="J165" i="1"/>
  <c r="I165" i="1"/>
  <c r="J164" i="1"/>
  <c r="I164" i="1"/>
  <c r="J163" i="1"/>
  <c r="I163" i="1"/>
  <c r="J162" i="1"/>
  <c r="I162" i="1"/>
  <c r="J161" i="1"/>
  <c r="I161" i="1"/>
  <c r="J160" i="1"/>
  <c r="I160" i="1"/>
  <c r="J159" i="1"/>
  <c r="I159" i="1"/>
  <c r="J158" i="1"/>
  <c r="I158" i="1"/>
  <c r="J157" i="1"/>
  <c r="I157" i="1"/>
  <c r="J156" i="1"/>
  <c r="I156" i="1"/>
  <c r="J155" i="1"/>
  <c r="I155" i="1"/>
  <c r="J154" i="1"/>
  <c r="I154" i="1"/>
  <c r="J153" i="1"/>
  <c r="I153" i="1"/>
  <c r="J152" i="1"/>
  <c r="I152" i="1"/>
  <c r="J151" i="1"/>
  <c r="I151" i="1"/>
  <c r="J150" i="1"/>
  <c r="I150" i="1"/>
  <c r="J149" i="1"/>
  <c r="I149" i="1"/>
  <c r="J148" i="1"/>
  <c r="I148" i="1"/>
  <c r="J147" i="1"/>
  <c r="I147" i="1"/>
  <c r="J146" i="1"/>
  <c r="I146" i="1"/>
  <c r="J145" i="1"/>
  <c r="I145" i="1"/>
  <c r="J144" i="1"/>
  <c r="I144" i="1"/>
  <c r="J143" i="1"/>
  <c r="I143" i="1"/>
  <c r="J142" i="1"/>
  <c r="I142" i="1"/>
  <c r="J141" i="1"/>
  <c r="I141" i="1"/>
  <c r="J140" i="1"/>
  <c r="I140" i="1"/>
  <c r="J139" i="1"/>
  <c r="I139" i="1"/>
  <c r="J138" i="1"/>
  <c r="I138" i="1"/>
  <c r="J137" i="1"/>
  <c r="I137" i="1"/>
  <c r="J136" i="1"/>
  <c r="I136" i="1"/>
  <c r="J135" i="1"/>
  <c r="I135" i="1"/>
  <c r="J134" i="1"/>
  <c r="I134" i="1"/>
  <c r="J133" i="1"/>
  <c r="I133" i="1"/>
  <c r="J132" i="1"/>
  <c r="I132" i="1"/>
  <c r="J131" i="1"/>
  <c r="I131" i="1"/>
  <c r="J130" i="1"/>
  <c r="I130" i="1"/>
  <c r="J129" i="1"/>
  <c r="I129" i="1"/>
  <c r="J128" i="1"/>
  <c r="I128" i="1"/>
  <c r="J127" i="1"/>
  <c r="I127" i="1"/>
  <c r="J126" i="1"/>
  <c r="I126" i="1"/>
  <c r="J125" i="1"/>
  <c r="I125" i="1"/>
  <c r="J124" i="1"/>
  <c r="I124" i="1"/>
  <c r="J123" i="1"/>
  <c r="I123" i="1"/>
  <c r="J122" i="1"/>
  <c r="I122" i="1"/>
  <c r="J121" i="1"/>
  <c r="I121" i="1"/>
  <c r="J120" i="1"/>
  <c r="I120" i="1"/>
  <c r="J119" i="1"/>
  <c r="I119" i="1"/>
  <c r="J118" i="1"/>
  <c r="I118" i="1"/>
  <c r="J117" i="1"/>
  <c r="I117" i="1"/>
  <c r="J116" i="1"/>
  <c r="I116" i="1"/>
  <c r="J115" i="1"/>
  <c r="I115" i="1"/>
  <c r="J114" i="1"/>
  <c r="I114" i="1"/>
  <c r="J113" i="1"/>
  <c r="I113" i="1"/>
  <c r="J112" i="1"/>
  <c r="I112" i="1"/>
  <c r="J111" i="1"/>
  <c r="I111" i="1"/>
  <c r="J110" i="1"/>
  <c r="I110" i="1"/>
  <c r="J109" i="1"/>
  <c r="I109" i="1"/>
  <c r="J108" i="1"/>
  <c r="I108" i="1"/>
  <c r="J107" i="1"/>
  <c r="I107" i="1"/>
  <c r="J106" i="1"/>
  <c r="I106" i="1"/>
  <c r="J105" i="1"/>
  <c r="I105" i="1"/>
  <c r="J104" i="1"/>
  <c r="I104" i="1"/>
  <c r="J103" i="1"/>
  <c r="I103" i="1"/>
  <c r="J102" i="1"/>
  <c r="I102" i="1"/>
  <c r="J101" i="1"/>
  <c r="I101" i="1"/>
  <c r="J100" i="1"/>
  <c r="I100" i="1"/>
  <c r="J99" i="1"/>
  <c r="I99" i="1"/>
  <c r="J98" i="1"/>
  <c r="I98" i="1"/>
  <c r="J97" i="1"/>
  <c r="I97" i="1"/>
  <c r="J96" i="1"/>
  <c r="I96" i="1"/>
  <c r="J95" i="1"/>
  <c r="I95" i="1"/>
  <c r="J94" i="1"/>
  <c r="I94" i="1"/>
  <c r="J93" i="1"/>
  <c r="I93" i="1"/>
  <c r="J92" i="1"/>
  <c r="I92" i="1"/>
  <c r="J91" i="1"/>
  <c r="I91" i="1"/>
  <c r="J90" i="1"/>
  <c r="I90" i="1"/>
  <c r="J89" i="1"/>
  <c r="I89" i="1"/>
  <c r="J88" i="1"/>
  <c r="I88" i="1"/>
  <c r="J87" i="1"/>
  <c r="I87" i="1"/>
  <c r="J86" i="1"/>
  <c r="I86" i="1"/>
  <c r="J85" i="1"/>
  <c r="I85" i="1"/>
  <c r="J84" i="1"/>
  <c r="I84" i="1"/>
  <c r="J83" i="1"/>
  <c r="I83" i="1"/>
  <c r="J82" i="1"/>
  <c r="I82" i="1"/>
  <c r="J81" i="1"/>
  <c r="I81" i="1"/>
  <c r="J80" i="1"/>
  <c r="I80" i="1"/>
  <c r="J79" i="1"/>
  <c r="I79" i="1"/>
  <c r="J78" i="1"/>
  <c r="I78" i="1"/>
  <c r="J77" i="1"/>
  <c r="I77" i="1"/>
  <c r="J76" i="1"/>
  <c r="I76" i="1"/>
  <c r="J75" i="1"/>
  <c r="I75" i="1"/>
  <c r="J74" i="1"/>
  <c r="I74" i="1"/>
  <c r="J73" i="1"/>
  <c r="I73" i="1"/>
  <c r="J72" i="1"/>
  <c r="I72" i="1"/>
  <c r="J71" i="1"/>
  <c r="I71" i="1"/>
  <c r="J70" i="1"/>
  <c r="I70" i="1"/>
  <c r="J69" i="1"/>
  <c r="I69" i="1"/>
  <c r="J68" i="1"/>
  <c r="I68" i="1"/>
  <c r="J67" i="1"/>
  <c r="I67" i="1"/>
  <c r="J66" i="1"/>
  <c r="I66" i="1"/>
  <c r="J65" i="1"/>
  <c r="I65" i="1"/>
  <c r="J64" i="1"/>
  <c r="I64" i="1"/>
  <c r="J63" i="1"/>
  <c r="I63" i="1"/>
  <c r="J62" i="1"/>
  <c r="I62" i="1"/>
  <c r="J61" i="1"/>
  <c r="I61" i="1"/>
  <c r="J60" i="1"/>
  <c r="I60" i="1"/>
  <c r="J59" i="1"/>
  <c r="I59" i="1"/>
  <c r="J58" i="1"/>
  <c r="I58" i="1"/>
  <c r="J57" i="1"/>
  <c r="I57" i="1"/>
  <c r="J56" i="1"/>
  <c r="I56" i="1"/>
  <c r="J55" i="1"/>
  <c r="I55" i="1"/>
  <c r="J54" i="1"/>
  <c r="I54" i="1"/>
  <c r="J53" i="1"/>
  <c r="I53" i="1"/>
  <c r="J52" i="1"/>
  <c r="I52" i="1"/>
  <c r="J51" i="1"/>
  <c r="I51" i="1"/>
  <c r="J50" i="1"/>
  <c r="I50" i="1"/>
  <c r="J49" i="1"/>
  <c r="I49" i="1"/>
  <c r="J48" i="1"/>
  <c r="I48" i="1"/>
  <c r="J47" i="1"/>
  <c r="I47" i="1"/>
  <c r="J46" i="1"/>
  <c r="I46" i="1"/>
  <c r="J45" i="1"/>
  <c r="I45" i="1"/>
  <c r="J44" i="1"/>
  <c r="I44" i="1"/>
  <c r="J43" i="1"/>
  <c r="I43" i="1"/>
  <c r="J42" i="1"/>
  <c r="I42" i="1"/>
  <c r="J41" i="1"/>
  <c r="I41" i="1"/>
  <c r="J40" i="1"/>
  <c r="I40" i="1"/>
  <c r="J39" i="1"/>
  <c r="I39" i="1"/>
  <c r="J38" i="1"/>
  <c r="I38" i="1"/>
  <c r="J37" i="1"/>
  <c r="I37" i="1"/>
  <c r="J36" i="1"/>
  <c r="I36" i="1"/>
  <c r="J35" i="1"/>
  <c r="I35" i="1"/>
  <c r="J34" i="1"/>
  <c r="I34" i="1"/>
  <c r="J33" i="1"/>
  <c r="I33" i="1"/>
  <c r="J32" i="1"/>
  <c r="I32" i="1"/>
  <c r="J31" i="1"/>
  <c r="I31" i="1"/>
  <c r="J30" i="1"/>
  <c r="I30" i="1"/>
  <c r="J29" i="1"/>
  <c r="I29" i="1"/>
  <c r="J28" i="1"/>
  <c r="I28" i="1"/>
  <c r="J27" i="1"/>
  <c r="I27" i="1"/>
  <c r="J26" i="1"/>
  <c r="I26" i="1"/>
  <c r="J25" i="1"/>
  <c r="I25" i="1"/>
  <c r="J24" i="1"/>
  <c r="I24" i="1"/>
  <c r="J23" i="1"/>
  <c r="I23" i="1"/>
  <c r="J22" i="1"/>
  <c r="I22" i="1"/>
  <c r="J21" i="1"/>
  <c r="I21" i="1"/>
  <c r="J20" i="1"/>
  <c r="I20" i="1"/>
  <c r="J19" i="1"/>
  <c r="I19" i="1"/>
  <c r="J18" i="1"/>
  <c r="I18" i="1"/>
  <c r="J17" i="1"/>
  <c r="I17" i="1"/>
  <c r="J16" i="1"/>
  <c r="I16" i="1"/>
  <c r="J15" i="1"/>
  <c r="I15" i="1"/>
  <c r="J14" i="1"/>
  <c r="I14" i="1"/>
  <c r="J13" i="1"/>
  <c r="I13" i="1"/>
  <c r="J12" i="1"/>
  <c r="I12" i="1"/>
  <c r="J11" i="1"/>
  <c r="I11" i="1"/>
  <c r="J10" i="1"/>
  <c r="I10" i="1"/>
  <c r="J9" i="1"/>
  <c r="I9" i="1"/>
  <c r="J8" i="1"/>
  <c r="I8" i="1"/>
  <c r="J7" i="1"/>
  <c r="I7" i="1"/>
  <c r="J6" i="1"/>
  <c r="I6" i="1"/>
  <c r="J5" i="1"/>
  <c r="I5" i="1"/>
  <c r="J4" i="1"/>
  <c r="I4" i="1"/>
  <c r="J3" i="1"/>
  <c r="I3" i="1"/>
  <c r="J2" i="1"/>
  <c r="I2" i="1"/>
</calcChain>
</file>

<file path=xl/sharedStrings.xml><?xml version="1.0" encoding="utf-8"?>
<sst xmlns="http://schemas.openxmlformats.org/spreadsheetml/2006/main" count="30326" uniqueCount="12948">
  <si>
    <t>序号</t>
  </si>
  <si>
    <t>一级分类</t>
  </si>
  <si>
    <t>二级分类</t>
  </si>
  <si>
    <t>商品和服务分类简称</t>
  </si>
  <si>
    <t>税收分类编码</t>
  </si>
  <si>
    <t>货物和劳务名称</t>
  </si>
  <si>
    <t>说明</t>
  </si>
  <si>
    <t>碳排放范围分类</t>
  </si>
  <si>
    <t>所属行业</t>
  </si>
  <si>
    <t>对应行业排放因子</t>
  </si>
  <si>
    <t>废弃物处置分类</t>
  </si>
  <si>
    <t>1</t>
  </si>
  <si>
    <t>农、林、牧、渔业类产品</t>
  </si>
  <si>
    <t>农业产品</t>
  </si>
  <si>
    <t>谷物</t>
  </si>
  <si>
    <t>1010101010000000000</t>
  </si>
  <si>
    <t>稻谷</t>
  </si>
  <si>
    <t>包括早籼稻、晚籼稻、中籼稻、粳稻、糯稻、其他稻谷。</t>
  </si>
  <si>
    <t>范围3</t>
  </si>
  <si>
    <t>农业固体废弃物（Agricultural Solid Waste）</t>
  </si>
  <si>
    <t>2</t>
  </si>
  <si>
    <t>1010101020000000000</t>
  </si>
  <si>
    <t>小麦</t>
  </si>
  <si>
    <t>包括硬质小麦、软质小麦、其他小麦。</t>
  </si>
  <si>
    <t>3</t>
  </si>
  <si>
    <t>1010101030000000000</t>
  </si>
  <si>
    <t>玉米</t>
  </si>
  <si>
    <t>包括白玉米、黄玉米、糯玉米、甜玉米、其他玉米。</t>
  </si>
  <si>
    <t>4</t>
  </si>
  <si>
    <t>1010101040000000000</t>
  </si>
  <si>
    <t>谷子</t>
  </si>
  <si>
    <t>包括硬谷子、糯谷子、其他谷子。</t>
  </si>
  <si>
    <t>5</t>
  </si>
  <si>
    <t>1010101050000000000</t>
  </si>
  <si>
    <t>高粱</t>
  </si>
  <si>
    <t>包括红粒高粱、白粒高粱、糯高粱、其他高粱。</t>
  </si>
  <si>
    <t>6</t>
  </si>
  <si>
    <t>1010101060000000000</t>
  </si>
  <si>
    <t>大麦</t>
  </si>
  <si>
    <t>包括裸大麦、皮大麦。</t>
  </si>
  <si>
    <t>7</t>
  </si>
  <si>
    <t>1010101070000000000</t>
  </si>
  <si>
    <t>燕麦</t>
  </si>
  <si>
    <t>包括裸燕麦、皮燕麦。</t>
  </si>
  <si>
    <t>8</t>
  </si>
  <si>
    <t>1010101080000000000</t>
  </si>
  <si>
    <t>黑麦</t>
  </si>
  <si>
    <t>9</t>
  </si>
  <si>
    <t>1010101090000000000</t>
  </si>
  <si>
    <t>荞麦</t>
  </si>
  <si>
    <t>包括甜荞麦、苦荞麦。</t>
  </si>
  <si>
    <t>10</t>
  </si>
  <si>
    <t>1010101990000000000</t>
  </si>
  <si>
    <t>其他谷物</t>
  </si>
  <si>
    <t>包括糜子（硬糜子、糯糜子）、紫米、薏苡等。</t>
  </si>
  <si>
    <t>11</t>
  </si>
  <si>
    <t>薯类</t>
  </si>
  <si>
    <t>1010102010000000000</t>
  </si>
  <si>
    <t>马铃薯</t>
  </si>
  <si>
    <t>又称土豆、山药蛋。</t>
  </si>
  <si>
    <t>12</t>
  </si>
  <si>
    <t>1010102020000000000</t>
  </si>
  <si>
    <t>木薯</t>
  </si>
  <si>
    <t>包括鲜木薯、木薯干、其他木薯。</t>
  </si>
  <si>
    <t>13</t>
  </si>
  <si>
    <t>1010102030000000000</t>
  </si>
  <si>
    <t>甘薯</t>
  </si>
  <si>
    <t>又称红薯、白薯、地瓜、番薯、包括甘薯干、其他鲜甘薯。</t>
  </si>
  <si>
    <t>14</t>
  </si>
  <si>
    <t>1010102990000000000</t>
  </si>
  <si>
    <t>其他薯类</t>
  </si>
  <si>
    <t>指其他未列明薯类。</t>
  </si>
  <si>
    <t>15</t>
  </si>
  <si>
    <t>油料</t>
  </si>
  <si>
    <t>1010103010000000000</t>
  </si>
  <si>
    <t>花生</t>
  </si>
  <si>
    <t>包括带壳花生、花生仁。</t>
  </si>
  <si>
    <t>16</t>
  </si>
  <si>
    <t>1010103020000000000</t>
  </si>
  <si>
    <t>油菜籽</t>
  </si>
  <si>
    <t>包括双低油菜籽（指低硫苷、低芥酸油菜籽）、其他油菜籽。</t>
  </si>
  <si>
    <t>17</t>
  </si>
  <si>
    <t>1010103030000000000</t>
  </si>
  <si>
    <t>芝麻</t>
  </si>
  <si>
    <t>包括白芝麻、黑芝麻、黄芝麻。</t>
  </si>
  <si>
    <t>18</t>
  </si>
  <si>
    <t>1010103990000000000</t>
  </si>
  <si>
    <t>其他油料</t>
  </si>
  <si>
    <t>其他含油子仁及果实，如胡麻籽、棉籽、蓖麻籽、芥子、红花籽、油棕果及油棕仁、罂粟子、油橄榄果、油茶籽（油料）等。</t>
  </si>
  <si>
    <t>19</t>
  </si>
  <si>
    <t>干豆</t>
  </si>
  <si>
    <t>1010104010000000000</t>
  </si>
  <si>
    <t>大豆</t>
  </si>
  <si>
    <t>包括黄大豆、黑大豆、青大豆、褐红大豆、双青豆、青仁乌豆、小黑豆、其他大豆。</t>
  </si>
  <si>
    <t>20</t>
  </si>
  <si>
    <t>1010104020000000000</t>
  </si>
  <si>
    <t>绿豆</t>
  </si>
  <si>
    <t>包括明绿豆、毛绿豆。</t>
  </si>
  <si>
    <t>21</t>
  </si>
  <si>
    <t>1010104990000000000</t>
  </si>
  <si>
    <t>其他杂豆</t>
  </si>
  <si>
    <t>其他杂豆、包括小豆、干豌豆、小扁豆、干蚕豆、芸豆、饭豆、干豇豆、鹰嘴豆、其他杂豆，但不包括种用其他杂豆（详见101011904）。</t>
  </si>
  <si>
    <t>22</t>
  </si>
  <si>
    <t>棉花</t>
  </si>
  <si>
    <t>1010105000000000000</t>
  </si>
  <si>
    <t>不论是否轧过、具体包括籽棉、皮棉（细绒棉皮棉、长绒棉皮棉）、其他棉花。</t>
  </si>
  <si>
    <t>23</t>
  </si>
  <si>
    <t>生麻</t>
  </si>
  <si>
    <t>1010106000000000000</t>
  </si>
  <si>
    <t>包括生亚麻、生苎麻、生黄红麻、生线麻、生苘麻、生大麻、生剑麻、其他生麻。</t>
  </si>
  <si>
    <t>24</t>
  </si>
  <si>
    <t>糖料</t>
  </si>
  <si>
    <t>1010107010000000000</t>
  </si>
  <si>
    <t>甘蔗</t>
  </si>
  <si>
    <t>25</t>
  </si>
  <si>
    <t>1010107020000000000</t>
  </si>
  <si>
    <t>甜菜</t>
  </si>
  <si>
    <t>26</t>
  </si>
  <si>
    <t>1010107990000000000</t>
  </si>
  <si>
    <t>其他糖料</t>
  </si>
  <si>
    <t>27</t>
  </si>
  <si>
    <t>烟草</t>
  </si>
  <si>
    <t>1010108010000000000</t>
  </si>
  <si>
    <t>未去梗烤烟叶</t>
  </si>
  <si>
    <t>指初烤未去梗烤烟叶，不包括复烤烟叶（详见1030401）。</t>
  </si>
  <si>
    <t>28</t>
  </si>
  <si>
    <t>1010108990000000000</t>
  </si>
  <si>
    <t>其他未加工烟草</t>
  </si>
  <si>
    <t>指其他未加工烟草，包括未去梗晒烟叶、未去梗晾烟叶、未去梗白肋烟、其他未加工烟草。</t>
  </si>
  <si>
    <t>29</t>
  </si>
  <si>
    <t>饲料作物</t>
  </si>
  <si>
    <t>1010109010000000000</t>
  </si>
  <si>
    <t>饲料牧草</t>
  </si>
  <si>
    <t>包括苜蓿干草、羊草、沙打旺、其他饲料牧草。</t>
  </si>
  <si>
    <t>30</t>
  </si>
  <si>
    <t>1010109990000000000</t>
  </si>
  <si>
    <t>其他饲料作物</t>
  </si>
  <si>
    <t>包括青饲料、其他饲料作物。</t>
  </si>
  <si>
    <t>31</t>
  </si>
  <si>
    <t>水生植物</t>
  </si>
  <si>
    <t>1010110000000000000</t>
  </si>
  <si>
    <t>水生植物类</t>
  </si>
  <si>
    <t>包括芦苇、席草、苇子、莲子、蒲草、慈姑、其他水生植物类。</t>
  </si>
  <si>
    <t>32</t>
  </si>
  <si>
    <t>农副产品</t>
  </si>
  <si>
    <t>1010111010000000000</t>
  </si>
  <si>
    <t>作物茎、秆、根</t>
  </si>
  <si>
    <t>包括稻草、麦秸、谷壳、谷子秸、玉米秸、高粱秸、薯藤、大豆秸、花生蔓、油菜籽秆、芝麻秆、向日葵秆、棉花秆、麻秆、烟秆、其他作物茎、杆、根。</t>
  </si>
  <si>
    <t>33</t>
  </si>
  <si>
    <t>1010111990000000000</t>
  </si>
  <si>
    <t>其他农作物副产品</t>
  </si>
  <si>
    <t>包括红黑瓜籽、园参籽等。</t>
  </si>
  <si>
    <t>34</t>
  </si>
  <si>
    <t>蔬菜</t>
  </si>
  <si>
    <t>1010112010000000000</t>
  </si>
  <si>
    <t>萝卜等根菜类蔬菜</t>
  </si>
  <si>
    <t>包括萝卜（别名：葖、芦菔、莱菔）、胡萝卜（别名：红萝卜、黄萝卜、丁香萝卜、药性萝卜、番萝卜）、芜菁（别名：蔓菁、圆根、盘菜）、芜菁甘蓝（别名：洋蔓菁、洋疙瘩、洋大头菜）、根菾菜（别名：红菜头、紫菜头）、美洲防风（别名：欧防风芹菜萝卜、蒲芹萝卜）、牛蒡（别名：东洋萝卜、蝙蝠刺、大力子）、根芹菜（别名：根洋芹菜、球根塘蒿）、婆罗门参（别名：西洋牛蒡、蒜叶婆罗门参）、山葵）、黑婆罗门参（别名：菊牛蒡、鸦葱）。</t>
  </si>
  <si>
    <t>35</t>
  </si>
  <si>
    <t>1010112020000000000</t>
  </si>
  <si>
    <t>山药等薯芋类蔬菜</t>
  </si>
  <si>
    <t>包括姜（别名：生姜、黄姜）、芋（别名：芋头、芋艿、毛芋）、魔芋（别名：磨芋、蒟蒻）、山药（别名：薯蓣、白苕、脚板苕、山薯、大薯、佛掌薯）、豆薯（别名：地瓜、凉薯、沙葛、新罗葛）、葛、菊芋（别名：洋姜、鬼子姜）、菜用土圞儿（别名：香芋、美洲土圞儿）、蕉芋（别名：蕉藕、姜芋、食用美人蕉、食用莲蕉）、草石蚕（别名：螺丝菜、宝塔菜、甘露儿、地蚕）。不包括马铃薯（详见101010201）、甘薯（详见101010203）。</t>
  </si>
  <si>
    <t>36</t>
  </si>
  <si>
    <t>1010112030000000000</t>
  </si>
  <si>
    <t>葱蒜类蔬菜</t>
  </si>
  <si>
    <t>包括韭（别名：草钟乳、起阳草、懒人菜、韭黄）、大葱（别名：木葱、汉葱）、洋葱（别名：葱头、圆葱）、大蒜（别名：胡蒜、蒜）、蒜薹（别名：蒜苔）、蒜苗（别名：蒜黄、青蒜）、分葱（别名：四季葱、菜葱、冬葱）、胡葱（别名：蒜头葱、瓣子葱、火葱、肉葱）、细香葱（别名：四季葱、香葱、蝦夷葱）、韭葱（别名：扁葱、扁叶葱、洋蒜苗）、楼葱（别名：龙爪葱、龙角葱）、蕹（别名：藠头、藠子、莱芝）。</t>
  </si>
  <si>
    <t>37</t>
  </si>
  <si>
    <t>1010112040000000000</t>
  </si>
  <si>
    <t>白菜类蔬菜</t>
  </si>
  <si>
    <t>包括大白菜（别名：结球白菜、黄芽菜、包心白菜）、普通白菜（别名：白菜、小白菜、青菜、油菜）、乌塌菜（别名：榻菜、塌棵菜、榻地菘、黑菜）、菜薹（别名：菜心、绿菜薹、菜尖）、薹菜、紫菜薹（别名：红菜薹）。</t>
  </si>
  <si>
    <t>38</t>
  </si>
  <si>
    <t>1010112050000000000</t>
  </si>
  <si>
    <t>芥菜类蔬菜</t>
  </si>
  <si>
    <t>包括茎芥（别名：茎瘤芥、青菜头、菜头、包包菜、羊角菜、菱角菜、抱子芥、儿菜、娃娃菜、笋子芥、棒菜）、叶芥（别名：青菜、苦菜、春菜、辣菜、雪里蕻）、根芥（别名：辣疙瘩、冲菜、芥头、大头菜、疙瘩菜）、薹芥。</t>
  </si>
  <si>
    <t>39</t>
  </si>
  <si>
    <t>1010112060000000000</t>
  </si>
  <si>
    <t>甘蓝类蔬菜</t>
  </si>
  <si>
    <t>包括结球甘蓝（别名：洋白菜、卷心菜、包心菜、椰菜、莲花白、包包白、圆白菜、茴子白）、球茎甘蓝（别名：苤蓝、菘、玉蔓菁、芥蓝头、擘蓝）、花椰菜（别名：花菜、菜花）、青花菜（别名：木立花椰菜、意大利花椰菜、嫩茎花椰菜、绿菜花、西兰花）、芥蓝（别名：白花芥蓝）、抱子甘蓝（别名：芽甘蓝、子持甘蓝）、羽衣甘蓝（别名：绿叶甘蓝、菜用羽衣甘蓝、叶牡丹、花包菜）。</t>
  </si>
  <si>
    <t>40</t>
  </si>
  <si>
    <t>1010112070000000000</t>
  </si>
  <si>
    <t>芹菜等叶菜类蔬菜</t>
  </si>
  <si>
    <t>包括菠菜（别名：菠稜菜、赤根菜、角菜、波斯草）、莴苣（别名：千金菜、莴笋、生菜、青笋、莴苣笋、莴菜、油麦菜、莜麦菜）、芹菜（别名：芹、药芹、苦堇、堇葵、堇菜、旱芹）、蕹菜（别名：空心菜、竹叶菜、通菜、藤菜、蓊菜）、苋菜（别名：米苋、赤苋、刺苋、青香苋、苋）、叶菾菜（别名：莙荙菜、牛皮菜、厚皮菜、光菜、叶甜菜）、菊苣（别名：欧洲菊苣、苞菜、吉康菜、法国莒荬菜）、冬寒菜（别名：冬苋菜、冬葵、葵菜、滑肠菜）、落葵（别名：木耳菜、软浆叶、软姜子、染浆叶、胭脂豆、豆腐菜、藤菜、紫果菜）、茼蒿（别名：蒿子秆、大叶茼蒿、蓬蒿、春菊）、芫荽（别名：香菜、胡荽、香荽）、茴香（别名：小茴香、香丝菜、结球茴香、鲜茎茴香、甜茴香）、菊花脑（别名：菊花叶、黄菊籽、路边黄、黄菊仔）、荠菜（别名：护生草、菱角菜、地米草、扇子草）、菜苜蓿（别名：草头、金花菜、黄花苜蓿、刺苜蓿、南苜蓿、黄花草子）、番杏（别名：新西兰菠菜、洋菠菜、夏菠菜、白番苋、海滨莴苣、宾菜、蔓菜）、苦苣（别名：花叶生菜、花苣）、紫背天葵（别名：血皮菜、紫背菜、红凤菜、观音苋、双色三七草）、罗勒（别名：毛罗勒、九层塔、零陵香、兰香草、光明子、省头草）、马齿苋（别名：马齿菜、长命菜、五行草、瓜子菜、马蛇子菜）、紫苏（别名：荏、赤苏、白苏、香苏、苏叶、桂荏、回回苏）、榆钱菠菜（别名：食用滨藜、洋菠菜、山菠菜、山菠薐草）、薄荷（别名：山野薄荷、蕃荷菜）、莳萝（别名：土茴香、草茴香、小茴香）、鸭儿芹（别名：鸭脚板、三叶芹、山芹菜、野蜀葵、三蜀葵、水芹菜）、蕺菜（别名：鱼腥草、蕺儿根、侧耳根、狗帖耳、鱼鳞草、菹菜）、蒲公英（别名：黄花苗、黄花地丁、婆婆丁、蒲公草）、马兰（别名：马兰头、红梗菜、紫菊、田边菊、马兰菊、鸡儿肠、竹节草）、香芹菜（别名：荷兰芹、洋芫荽、欧芹、法国香菜、旱芹菜）、珍珠菜（别名：角菜、白苞蒿、山芹菜、珍珠花菜、甜菜子、鸭脚艾、乳白艾）。</t>
  </si>
  <si>
    <t>41</t>
  </si>
  <si>
    <t>1010112080000000000</t>
  </si>
  <si>
    <t>瓜类蔬菜</t>
  </si>
  <si>
    <t>包括黄瓜（别名：王瓜、胡瓜）、冬瓜（别名：东瓜）、节瓜（别名：毛瓜）、南瓜（别名：中国南瓜、倭瓜、番瓜、饭瓜）、笋瓜（别名：印度南瓜、玉瓜、北瓜）、西葫芦（别名：美洲南瓜、蔓瓜、白瓜、香瓜）、越瓜（别名：白瓜、脆瓜、酥瓜、梢瓜）、菜瓜（别名：蛇甜瓜、老羊瓜、酱瓜）、丝瓜（别名：圆筒丝瓜、蛮瓜、水瓜、棱角丝瓜、胜瓜）、苦瓜（别名：凉瓜）、瓠瓜（别名：扁蒲、葫芦、蒲瓜、夜开花、瓠子）、佛手瓜（别名：洋丝瓜、合掌瓜、菜肴梨、瓦瓜、万年瓜、拳头瓜）、蛇瓜（别名：蛇豆、蛇丝瓜、长豆角）。</t>
  </si>
  <si>
    <t>42</t>
  </si>
  <si>
    <t>1010112090000000000</t>
  </si>
  <si>
    <t>番茄等茄果类蔬菜</t>
  </si>
  <si>
    <t>包括番茄（别名：西红柿、番柿、柿子、洋柿子）、茄子（别名：落苏）、辣椒（别名：海椒、辣子、辣角、番椒）、青椒（别名：大椒、灯笼椒、柿子椒、彩色甜椒、甜椒）、酸浆（别名：红姑娘、洋姑娘、灯笼草、洛神珠）。</t>
  </si>
  <si>
    <t>43</t>
  </si>
  <si>
    <t>1010112100000000000</t>
  </si>
  <si>
    <t>菜豆等豆类蔬菜</t>
  </si>
  <si>
    <t>包括菜豆（别名：四季豆、芸豆、芸扁豆、豆角、刀豆、敏豆、玉豆、油豆）、长豇豆（别名：长豆角、豆角、带豆、裙带豆）、菜用大豆（别名：毛豆、枝豆）、豌豆（别名：青斑豆、麻豆、青小豆、荷兰豆、淮豆、留豆、金豆、麦豆、回回豆、甜豌豆）、蚕豆（别名：胡豆、佛豆、寒豆、罗汉豆）、扁豆（别名：峨眉豆、沿篱豆、眉豆、肉豆、龙爪豆）、莱豆（别名：金甲豆、科马豆、荷豆、玉豆、雪豆、洋扁豆、白豆、状元豆、棉豆、荷包豆）、刀豆（别名：大刀豆、关刀豆、洋刀豆）、多花菜豆（别名：红花菜豆、大白芸豆、大花芸豆、看花豆）、四棱豆（别名：翼豆、翅豆、四角豆、杨桃豆、热带大豆、四稔豆）、藜豆（别名：黧豆、黎豆、猫猫豆、毛毛豆、毛胡豆、毛狗豆、小狗豆、狸豆、八升豆、狗爪豆）。不包括干豆类（详见1010104）。</t>
  </si>
  <si>
    <t>44</t>
  </si>
  <si>
    <t>1010112110000000000</t>
  </si>
  <si>
    <t>莲藕等水生蔬菜</t>
  </si>
  <si>
    <t>包括莲藕（别名：莲、藕、荷）、茭白（别名：茭瓜、茭笋、菰首）、慈姑（别名：剪刀草、燕尾草）、水芹（别名：刀芹、楚葵、蜀芹、紫堇、蕲）、荸荠（别名：马蹄、地栗、乌芋、凫茈）、菱（别名：菱角、龙角、水栗）、豆瓣菜（别名：西洋菜、水田芥、水蔊菜）、芡实（别名：鸡头米、鸡头、水底黄蜂）、莼菜（别名：马蹄草、水葵、水荷叶、湖菜、露葵）、蒲菜（别名：香蒲、甘蒲）、海带（别名：江白菜、昆布）、紫菜。</t>
  </si>
  <si>
    <t>45</t>
  </si>
  <si>
    <t>1010112120000000000</t>
  </si>
  <si>
    <t>竹笋等多年生及杂类蔬菜</t>
  </si>
  <si>
    <t>包括笋用竹（别名：竹笋）、芦笋（别名：石刁柏、龙须菜）、黄花菜（别名：萱草、金针菜）、百合（别名：夜合、中篷花）、香椿（别名：香椿树、红椿、椿花、椿甜树）、枸杞（别名：枸杞菜、枸杞头、枸杞芽）、蘘荷（别名：阳霍、野姜、蘘草、茗荷、苴蓴）、菜蓟（别名：朝鲜蓟、洋蓟、荷兰百合、法国百合）、辣根（别名：西洋山萮菜、山葵萝卜）、食用大黄（别名：原叶大黄、圆叶大黄）、黄秋葵（别名：秋葵、羊角豆）、桔梗（别名：地参、四叶菜、绿花根、铃铛花、沙油菜、梗草、道拉基）、蕨（别名：蕨菜、蕨苔、龙头菜、蕨儿菜鹿蕨菜）、乾苔（别名：发菜、头发菜、石发）、蒌蒿（别名：芦蒿、水蒿、香艾蒿、小艾、水艾）、薇菜（别名：野豌豆、大巢菜、斑矛架、野苕子）、车前草（别名：车轮菜、牛舌菜、蛤蟆衣）、食用菊（别名：甘菊、臭菊）、玉米笋（别名：玉笋、多穗玉米、珍珠笋、番麦笋）。不包括嫩玉米、糯玉米、甜玉米（详见101010103）。</t>
  </si>
  <si>
    <t>46</t>
  </si>
  <si>
    <t>食用菌</t>
  </si>
  <si>
    <t>1010112130000000000</t>
  </si>
  <si>
    <t>香菇等食用菌</t>
  </si>
  <si>
    <t>包括香菇（别名：香蕈、冬菇、花菇）、双孢蘑菇（别名：蘑菇、白蘑菇、双孢菇、洋菇、褐蘑菇、棕色蘑菇）、糙皮侧耳（别名：平菇、北风菌、青蘑、桐子菌）、草菇（别名：兰花菇、美味包脚菇、秆菇、麻菇、中国蘑菇）、金针菇（别名：毛柄金钱菇、冬菇、朴菇、朴菰）、黑木耳（别名：木耳、光木耳、云耳）、银耳（别名：白木耳、雪耳）、猴头菇（别名：猴头蘑、刺猬菌）、毛头鬼伞（别名：鸡腿蘑、鸡腿菇）、姬松茸（别名：巴西蘑菇、巴氏蘑菇）、茶薪菇（别名：杨树菇、柱状田头菇、柳环菌、茶树菇）、真姬菇（别名：玉蕈、斑玉蕈、蟹味菇、胶玉蘑、鸿喜菇、海鲜菇）、灰树花（别名：贝叶多孔菌、云蕈、栗蘑、舞茸、莲花菌、千佛菌）、滑菇（别名：珍珠菇、光帽鳞伞、滑子蘑）、刺芹侧耳（别名：雪茸、干贝菇、杏鲍菇）、白灵侧耳（别名：白灵菇）、阿魏侧耳（别名：阿魏菇）、盖襄侧耳（别名：台湾平菇、鲍鱼菇）、毛木耳、竹荪（别名：长裙竹荪、短裙竹荪、棘托竹荪）、肺形侧耳（别名：姬菇、秀珍菇、小平菇）、金顶侧耳（别名：榆黄蘑、玉皇菇）、大球盖菇、长根菇、大杯蕈（别名：猪肚菇）、洛巴伊口蘑（别名：金福菇）、北冬虫夏草（别名：蛹虫草）、牛肝菌、松茸、鸡枞。</t>
  </si>
  <si>
    <t>47</t>
  </si>
  <si>
    <t>1010112140000000000</t>
  </si>
  <si>
    <t>绿豆芽等芽苗菜</t>
  </si>
  <si>
    <t>包括绿豆芽（别名：绿豆芽幼芽）、黄豆芽（别名：黄豆幼芽）、黑豆芽（别名：黑豆幼芽）、青豆芽（别名：青豆幼芽）、红豆芽（别名：红豆幼芽）、蚕豆芽（别名：蚕豆幼芽）、红小豆苗（别名：红小豆幼芽）、豌豆苗（别名：豌豆幼芽）、花生芽（别名：花生幼芽）、苜蓿芽（别名：苜蓿幼芽或幼苗）、小扁豆芽（别名：小扁豆幼芽或幼苗）、萝卜芽（别名：萝卜芽幼苗）、菘蓝芽（别名：菘蓝幼芽或幼苗）、沙芥芽（别名：沙芥幼芽或幼苗）、芥菜芽（别名：芥菜幼芽或幼苗）、芥蓝芽（别名：芥蓝幼芽或幼苗）、白菜芽（别名：白菜幼芽或幼苗）、独行菜芽（别名：独行菜幼苗）、香椿苗（别名：香椿幼苗）、向日葵芽（别名：向日葵幼芽）、荞麦芽（别名：荞麦幼苗）、胡椒芽（别名：胡椒幼芽或幼苗）、紫苏芽（别名：紫苏幼芽或幼苗）、水芹芽（别名：水芹幼苗）、小麦苗（别名：小麦幼苗）、胡麻芽（别名：胡麻幼芽或幼苗）、蕹菜芽（别名：蕹菜幼苗）、芝麻芽（别名：芝麻幼芽或幼苗）、黄秋葵芽（别名：黄秋葵幼苗）、花椒脑（别名：花椒嫩芽）。</t>
  </si>
  <si>
    <t>48</t>
  </si>
  <si>
    <t>1010112150000000000</t>
  </si>
  <si>
    <t>其他蔬菜</t>
  </si>
  <si>
    <t>49</t>
  </si>
  <si>
    <t>花卉</t>
  </si>
  <si>
    <t>1010113010000000000</t>
  </si>
  <si>
    <t>盆栽花</t>
  </si>
  <si>
    <t>包括鳞茎、块茎、块根、球茎、根颈及根茎等花卉。</t>
  </si>
  <si>
    <t>50</t>
  </si>
  <si>
    <t>1010113020000000000</t>
  </si>
  <si>
    <t>鲜切花及花蕾</t>
  </si>
  <si>
    <t>包括康乃馨、满天星、勿忘我、玫瑰、情人草、紫罗兰、月季、香石竹、唐菖蒲、百合花、非洲菊、补血草、马蹄莲、火鹤、其他鲜切花及花蕾。</t>
  </si>
  <si>
    <t>51</t>
  </si>
  <si>
    <t>1010113030000000000</t>
  </si>
  <si>
    <t>切叶</t>
  </si>
  <si>
    <t>包括肾蕨、散尾葵、苏铁、富贵竹、龟背竹、其他切叶。</t>
  </si>
  <si>
    <t>52</t>
  </si>
  <si>
    <t>1010113040000000000</t>
  </si>
  <si>
    <t>切枝</t>
  </si>
  <si>
    <t>包括银芽柳、其他切枝。</t>
  </si>
  <si>
    <t>53</t>
  </si>
  <si>
    <t>1010113050000000000</t>
  </si>
  <si>
    <t>干燥花</t>
  </si>
  <si>
    <t>指经过干制处理的花卉。</t>
  </si>
  <si>
    <t>54</t>
  </si>
  <si>
    <t>园艺产品</t>
  </si>
  <si>
    <t>1010114010100000000</t>
  </si>
  <si>
    <t>盆栽观叶植物</t>
  </si>
  <si>
    <t>包括龙血树（巴西木）、马拉巴栗（发财树）、喜林芋、绿萝、变叶木、袖珍椰子、盆栽散尾葵、绿巨人、花叶万年青（黛粉）、竹芋、白鹤芋、花叶芋、亮丝草、其他盆栽观叶植物。</t>
  </si>
  <si>
    <t>55</t>
  </si>
  <si>
    <t>1010114010200000000</t>
  </si>
  <si>
    <t>草皮</t>
  </si>
  <si>
    <t>56</t>
  </si>
  <si>
    <t>1010114010300000000</t>
  </si>
  <si>
    <t>草坪</t>
  </si>
  <si>
    <t>57</t>
  </si>
  <si>
    <t>1010114990000000000</t>
  </si>
  <si>
    <t>其他盆景及园艺产品</t>
  </si>
  <si>
    <t>58</t>
  </si>
  <si>
    <t>水果</t>
  </si>
  <si>
    <t>1010115010100000000</t>
  </si>
  <si>
    <t>苹果</t>
  </si>
  <si>
    <t>包括红富士苹果、国光苹果、秦冠苹果、香蕉苹果、金冠苹果、元帅苹果、新红星苹果、其他苹果。</t>
  </si>
  <si>
    <t>59</t>
  </si>
  <si>
    <t>1010115010200000000</t>
  </si>
  <si>
    <t>梨</t>
  </si>
  <si>
    <t>包括雪花梨、鸭梨、酥梨、香梨、苹果梨、黄冠梨、绿宝石梨、冬果梨、贡梨、黄花梨、其他梨。</t>
  </si>
  <si>
    <t>60</t>
  </si>
  <si>
    <t>1010115010300000000</t>
  </si>
  <si>
    <t>柑橘类水果</t>
  </si>
  <si>
    <t>包括柑、橘、橙、柚、柠檬等。</t>
  </si>
  <si>
    <t>61</t>
  </si>
  <si>
    <t>1010115010400000000</t>
  </si>
  <si>
    <t>葡萄</t>
  </si>
  <si>
    <t>指鲜葡萄，包括巨峰葡萄、玫瑰香葡萄、白葡萄、龙眼葡萄、木纳格葡萄、红提葡萄、酿造葡萄、其他葡萄。</t>
  </si>
  <si>
    <t>62</t>
  </si>
  <si>
    <t>1010115010500000000</t>
  </si>
  <si>
    <t>香蕉</t>
  </si>
  <si>
    <t>包括芭蕉。</t>
  </si>
  <si>
    <t>63</t>
  </si>
  <si>
    <t>1010115010600000000</t>
  </si>
  <si>
    <t>菠萝</t>
  </si>
  <si>
    <t>64</t>
  </si>
  <si>
    <t>1010115010700000000</t>
  </si>
  <si>
    <t>龙眼</t>
  </si>
  <si>
    <t>65</t>
  </si>
  <si>
    <t>1010115010800000000</t>
  </si>
  <si>
    <t>荔枝</t>
  </si>
  <si>
    <t>66</t>
  </si>
  <si>
    <t>1010115010900000000</t>
  </si>
  <si>
    <t>枇杷</t>
  </si>
  <si>
    <t>67</t>
  </si>
  <si>
    <t>1010115011000000000</t>
  </si>
  <si>
    <t>红毛丹</t>
  </si>
  <si>
    <t>68</t>
  </si>
  <si>
    <t>1010115011100000000</t>
  </si>
  <si>
    <t>芒果</t>
  </si>
  <si>
    <t>69</t>
  </si>
  <si>
    <t>1010115011200000000</t>
  </si>
  <si>
    <t>橄榄</t>
  </si>
  <si>
    <t>70</t>
  </si>
  <si>
    <t>1010115011300000000</t>
  </si>
  <si>
    <t>无花果</t>
  </si>
  <si>
    <t>71</t>
  </si>
  <si>
    <t>1010115011400000000</t>
  </si>
  <si>
    <t>鳄梨</t>
  </si>
  <si>
    <t>72</t>
  </si>
  <si>
    <t>1010115011500000000</t>
  </si>
  <si>
    <t>番石榴</t>
  </si>
  <si>
    <t>73</t>
  </si>
  <si>
    <t>1010115011600000000</t>
  </si>
  <si>
    <t>山竹果</t>
  </si>
  <si>
    <t>74</t>
  </si>
  <si>
    <t>1010115011700000000</t>
  </si>
  <si>
    <t>杨桃</t>
  </si>
  <si>
    <t>75</t>
  </si>
  <si>
    <t>1010115011800000000</t>
  </si>
  <si>
    <t>莲雾</t>
  </si>
  <si>
    <t>76</t>
  </si>
  <si>
    <t>1010115011900000000</t>
  </si>
  <si>
    <t>火龙果</t>
  </si>
  <si>
    <t>77</t>
  </si>
  <si>
    <t>1010115012000000000</t>
  </si>
  <si>
    <t>西瓜</t>
  </si>
  <si>
    <t>78</t>
  </si>
  <si>
    <t>1010115012100000000</t>
  </si>
  <si>
    <t>哈密瓜</t>
  </si>
  <si>
    <t>79</t>
  </si>
  <si>
    <t>1010115012200000000</t>
  </si>
  <si>
    <t>华莱士瓜</t>
  </si>
  <si>
    <t>80</t>
  </si>
  <si>
    <t>1010115012300000000</t>
  </si>
  <si>
    <t>香瓜</t>
  </si>
  <si>
    <t>81</t>
  </si>
  <si>
    <t>1010115012400000000</t>
  </si>
  <si>
    <t>伊利沙白瓜</t>
  </si>
  <si>
    <t>82</t>
  </si>
  <si>
    <t>1010115012500000000</t>
  </si>
  <si>
    <t>木瓜</t>
  </si>
  <si>
    <t>83</t>
  </si>
  <si>
    <t>1010115012600000000</t>
  </si>
  <si>
    <t>樱桃</t>
  </si>
  <si>
    <t>84</t>
  </si>
  <si>
    <t>1010115012700000000</t>
  </si>
  <si>
    <t>枣</t>
  </si>
  <si>
    <t>指鲜枣，包括小枣、冬枣、沙枣、青枣等。</t>
  </si>
  <si>
    <t>85</t>
  </si>
  <si>
    <t>1010115012800000000</t>
  </si>
  <si>
    <t>红果</t>
  </si>
  <si>
    <t>86</t>
  </si>
  <si>
    <t>1010115012900000000</t>
  </si>
  <si>
    <t>柿子</t>
  </si>
  <si>
    <t>87</t>
  </si>
  <si>
    <t>1010115013000000000</t>
  </si>
  <si>
    <t>桃</t>
  </si>
  <si>
    <t>88</t>
  </si>
  <si>
    <t>1010115013100000000</t>
  </si>
  <si>
    <t>李子</t>
  </si>
  <si>
    <t>89</t>
  </si>
  <si>
    <t>1010115013200000000</t>
  </si>
  <si>
    <t>石榴</t>
  </si>
  <si>
    <t>90</t>
  </si>
  <si>
    <t>1010115013300000000</t>
  </si>
  <si>
    <t>杏</t>
  </si>
  <si>
    <t>91</t>
  </si>
  <si>
    <t>1010115013400000000</t>
  </si>
  <si>
    <t>杨梅</t>
  </si>
  <si>
    <t>92</t>
  </si>
  <si>
    <t>1010115013500000000</t>
  </si>
  <si>
    <t>草莓</t>
  </si>
  <si>
    <t>93</t>
  </si>
  <si>
    <t>1010115013600000000</t>
  </si>
  <si>
    <t>黑莓</t>
  </si>
  <si>
    <t>94</t>
  </si>
  <si>
    <t>1010115013700000000</t>
  </si>
  <si>
    <t>桑椹</t>
  </si>
  <si>
    <t>95</t>
  </si>
  <si>
    <t>1010115013800000000</t>
  </si>
  <si>
    <t>猕猴桃</t>
  </si>
  <si>
    <t>又名奇异果</t>
  </si>
  <si>
    <t>96</t>
  </si>
  <si>
    <t>1010115013900000000</t>
  </si>
  <si>
    <t>沙棘</t>
  </si>
  <si>
    <t>97</t>
  </si>
  <si>
    <t>1010115019900000000</t>
  </si>
  <si>
    <t>其他未列明水果</t>
  </si>
  <si>
    <t>包括罗甘莓、木莓等。</t>
  </si>
  <si>
    <t>98</t>
  </si>
  <si>
    <t>干制水果</t>
  </si>
  <si>
    <t>1010115020000000000</t>
  </si>
  <si>
    <t>包括葡萄干、杏干、梅干及李干、苹果干、龙眼干（肉）、柿饼、干枣、椰子干、荔枝干、其他干制水果。</t>
  </si>
  <si>
    <t>99</t>
  </si>
  <si>
    <t>坚果</t>
  </si>
  <si>
    <t>1010115030100000000</t>
  </si>
  <si>
    <t>椰子</t>
  </si>
  <si>
    <t>包括种用椰子、其他椰子。</t>
  </si>
  <si>
    <t>100</t>
  </si>
  <si>
    <t>1010115030200000000</t>
  </si>
  <si>
    <t>腰果</t>
  </si>
  <si>
    <t>101</t>
  </si>
  <si>
    <t>1010115030300000000</t>
  </si>
  <si>
    <t>核桃</t>
  </si>
  <si>
    <t>102</t>
  </si>
  <si>
    <t>1010115030400000000</t>
  </si>
  <si>
    <t>山核桃</t>
  </si>
  <si>
    <t>103</t>
  </si>
  <si>
    <t>1010115030500000000</t>
  </si>
  <si>
    <t>栗子</t>
  </si>
  <si>
    <t>包括板栗、锥栗、丹东栗、其他栗子。</t>
  </si>
  <si>
    <t>104</t>
  </si>
  <si>
    <t>1010115030600000000</t>
  </si>
  <si>
    <t>松子</t>
  </si>
  <si>
    <t>105</t>
  </si>
  <si>
    <t>1010115030700000000</t>
  </si>
  <si>
    <t>榛子</t>
  </si>
  <si>
    <t>106</t>
  </si>
  <si>
    <t>1010115030800000000</t>
  </si>
  <si>
    <t>阿月浑子果（开心果）</t>
  </si>
  <si>
    <t>107</t>
  </si>
  <si>
    <t>1010115030900000000</t>
  </si>
  <si>
    <t>槟榔</t>
  </si>
  <si>
    <t>108</t>
  </si>
  <si>
    <t>1010115031000000000</t>
  </si>
  <si>
    <t>白果</t>
  </si>
  <si>
    <t>109</t>
  </si>
  <si>
    <t>1010115031100000000</t>
  </si>
  <si>
    <t>香榧</t>
  </si>
  <si>
    <t>110</t>
  </si>
  <si>
    <t>1010115031200000000</t>
  </si>
  <si>
    <t>巴旦杏</t>
  </si>
  <si>
    <t>111</t>
  </si>
  <si>
    <t>1010115031300000000</t>
  </si>
  <si>
    <t>夏威夷果</t>
  </si>
  <si>
    <t>又名“澳洲坚果”、山龙眼科、澳洲坚果属、生长在热带地区</t>
  </si>
  <si>
    <t>112</t>
  </si>
  <si>
    <t>1010115039900000000</t>
  </si>
  <si>
    <t>其他食用坚果</t>
  </si>
  <si>
    <t>113</t>
  </si>
  <si>
    <t>茶及饮料</t>
  </si>
  <si>
    <t>1010116010000000000</t>
  </si>
  <si>
    <t>茶叶</t>
  </si>
  <si>
    <t>指茶农采集和经过初加工（如炒制、晾晒）的毛茶。如红毛茶、绿毛茶、乌龙毛茶、白毛茶、黑毛茶等。</t>
  </si>
  <si>
    <t>114</t>
  </si>
  <si>
    <t>1010116020000000000</t>
  </si>
  <si>
    <t>饮料原料</t>
  </si>
  <si>
    <t>包括可可豆、咖啡豆。</t>
  </si>
  <si>
    <t>115</t>
  </si>
  <si>
    <t>1010116990000000000</t>
  </si>
  <si>
    <t>其他未列明饮料原料</t>
  </si>
  <si>
    <t>116</t>
  </si>
  <si>
    <t>香料原料</t>
  </si>
  <si>
    <t>1010117000000000000</t>
  </si>
  <si>
    <t>指未研磨香料原料，包括调味香料（如花椒、胡椒、八椒、桂皮、桂花、丁香、豆蔻、小茴香、咖喱、枯茗子、蒿子、杜松果等）、香味料（香子兰、香茅草、留兰香、番红花、姜黄、啤酒花、麝香草、月桂叶等）。不包括研磨过香料原料（详见103020604）。</t>
  </si>
  <si>
    <t>117</t>
  </si>
  <si>
    <t>中草药材</t>
  </si>
  <si>
    <t>1010118000000000000</t>
  </si>
  <si>
    <t>指主要作香料、药料、杀虫、杀菌等用途的植物。包括甘草、人参、古柯叶、罂粟杆、当归、田七、党参、黄连、菊花、冬虫夏草、贝母、川芎、半夏、白芍、天麻、黄芪、大黄、籽黄、白术、地黄、槐米、杜仲、茯苓、枸杞、大海子、沉香、沙参、青蒿、鱼藤根、除虫菊、灵芝、五味子、刺五加、生地、麦冬、云木香、白芷、元胡、山茱萸、莲翘、辛荑、厚朴、黄芩、葛根、柴胡、麻黄、列当、肉苁蓉、锁阳、罗布麻等。</t>
  </si>
  <si>
    <t>118</t>
  </si>
  <si>
    <t>种子种苗</t>
  </si>
  <si>
    <t>1010119010000000000</t>
  </si>
  <si>
    <t>种用谷物</t>
  </si>
  <si>
    <t>包括种用硬质小麦、种用甜玉米、种用软质小麦、种用皮大麦、种用糯玉米、种用糯高粱、种用裸大麦、种用黄玉米、种用红粒高粱、种用白玉米、种用白粒高粱、其他种用玉米、其他种用小麦、其他种用高粱、种用中籼稻、种用早籼稻、种用晚籼稻、种用糯稻、种用粳稻、其他种用稻谷。</t>
  </si>
  <si>
    <t>119</t>
  </si>
  <si>
    <t>1010119020000000000</t>
  </si>
  <si>
    <t>种用薯类</t>
  </si>
  <si>
    <t>包括种用马铃薯、种用甘薯。</t>
  </si>
  <si>
    <t>120</t>
  </si>
  <si>
    <t>1010119030000000000</t>
  </si>
  <si>
    <t>种用油料</t>
  </si>
  <si>
    <t>包括种用油棕果及油棕仁、种用棉籽、种用蓖麻籽、种用芥子、种用胡麻籽、种用红花籽、种用黄芝麻、种用黑芝麻、种用带壳花生、种用白芝麻、种用油葵、种用双低油菜籽、种用食葵、其他种用油菜籽。</t>
  </si>
  <si>
    <t>121</t>
  </si>
  <si>
    <t>1010119040000000000</t>
  </si>
  <si>
    <t>种用豆类</t>
  </si>
  <si>
    <t>包括种用杂豆、种用芸豆、种用鹰嘴豆、种用干豇豆、种用干蚕豆、种用饭豆、种用明绿豆、种用毛绿豆、种用麻豌豆、种用绿豌豆、种用白豌豆。</t>
  </si>
  <si>
    <t>122</t>
  </si>
  <si>
    <t>1010119050000000000</t>
  </si>
  <si>
    <t>种用饲料作物</t>
  </si>
  <si>
    <t>指饲料作物用种子。</t>
  </si>
  <si>
    <t>123</t>
  </si>
  <si>
    <t>1010119060000000000</t>
  </si>
  <si>
    <t>蔬菜籽</t>
  </si>
  <si>
    <t>124</t>
  </si>
  <si>
    <t>1010119070000000000</t>
  </si>
  <si>
    <t>花草种</t>
  </si>
  <si>
    <t>包括草种（苜蓿草种、箭舌豌豆草种、红豆草草种、草木犀草种、燕麦草种、多花黑麦草草种、披碱草草种、柠挑草种、沙打旺草种、锦鸡儿草种、老芒麦草种、羊柴草种、其他草种）、花卉种球（唐菖蒲种球、百合种球、郁金香种球、水仙种球、马蹄莲种球、大丽花种球、美人蕉种球、风信子种球、小苍兰种球、球根鸢尾种球、晚香玉种球、其他花卉种球）、花卉种子（一串红种子、矮牵牛种子、万寿菊种子、凤仙花种子、鸡冠花种子、三色堇种子、金鱼草种子、石竹种子、翠菊种子、四季秋海棠种子、其他花卉种子）、花卉种苗（香石竹种苗、菊花种苗、非洲菊种苗、月季种苗、火鹤种苗、兰花种苗、君子兰种苗、其他花卉种苗）。</t>
  </si>
  <si>
    <t>125</t>
  </si>
  <si>
    <t>1010119080000000000</t>
  </si>
  <si>
    <t>水果籽</t>
  </si>
  <si>
    <t>包括杏核、葡萄籽、其他水果籽。</t>
  </si>
  <si>
    <t>126</t>
  </si>
  <si>
    <t>1010119990000000000</t>
  </si>
  <si>
    <t>其他种子、种苗</t>
  </si>
  <si>
    <t>127</t>
  </si>
  <si>
    <t>林业产品</t>
  </si>
  <si>
    <t>1010201000000000000</t>
  </si>
  <si>
    <t>育种和育苗</t>
  </si>
  <si>
    <t>包括林木种子（针叶乔木树种种子、阔叶乔木树种种子、其他林木种子）、灌木藤木相关林木种子、针叶乔木苗类、阔叶乔木苗类、果树苗、竹苗、灌木树苗。</t>
  </si>
  <si>
    <t>128</t>
  </si>
  <si>
    <t>1010202010000000000</t>
  </si>
  <si>
    <t>原木</t>
  </si>
  <si>
    <t>指将砍伐倒的乔木去其枝芽,梢头或者皮的乔木、灌木,以及锯成一定长度的木段。</t>
  </si>
  <si>
    <t>129</t>
  </si>
  <si>
    <t>1010202020000000000</t>
  </si>
  <si>
    <t>小规格木材</t>
  </si>
  <si>
    <t>包括针叶木小规格木材、其他木小规格木材、木箍木、木劈条、木片及粗修整的木棒等。</t>
  </si>
  <si>
    <t>130</t>
  </si>
  <si>
    <t>1010202030000000000</t>
  </si>
  <si>
    <t>薪材</t>
  </si>
  <si>
    <t>一般是作为燃料或木炭原料的材种。</t>
  </si>
  <si>
    <t>131</t>
  </si>
  <si>
    <t>1010202040000000000</t>
  </si>
  <si>
    <t>短条及细枝等</t>
  </si>
  <si>
    <t>132</t>
  </si>
  <si>
    <t>1010202990000000000</t>
  </si>
  <si>
    <t>其他木材采伐产品</t>
  </si>
  <si>
    <t>133</t>
  </si>
  <si>
    <t>1010203010000000000</t>
  </si>
  <si>
    <t>原竹</t>
  </si>
  <si>
    <t>指将砍倒的竹去其枝,梢或者叶的竹类植物,以及锯成一定长度的竹段。</t>
  </si>
  <si>
    <t>134</t>
  </si>
  <si>
    <t>1010203990000000000</t>
  </si>
  <si>
    <t>其他竹材采伐产品</t>
  </si>
  <si>
    <t>135</t>
  </si>
  <si>
    <t>1010204010000000000</t>
  </si>
  <si>
    <t>天然橡胶</t>
  </si>
  <si>
    <t>未加工的天然橡胶，包括天然橡胶乳、烟胶片、胶清片、白皱片、褐胶片、标准胶片、其他天然橡胶。</t>
  </si>
  <si>
    <t>136</t>
  </si>
  <si>
    <t>1010204020000000000</t>
  </si>
  <si>
    <t>天然树脂、树胶</t>
  </si>
  <si>
    <t>主要来源于植物渗（泌）出物的无定形半固体或固体有机物。包括天然生漆、天然松脂、虫胶、桃胶、冷杉胶、其他天然树脂、树胶。</t>
  </si>
  <si>
    <t>137</t>
  </si>
  <si>
    <t>1010204030000000000</t>
  </si>
  <si>
    <t>栲胶原料</t>
  </si>
  <si>
    <t>用于栲胶工业性生产的富含单宁的木质、皮层、叶子、荚壳等。包括落叶松树皮、杨梅树皮、油柑树皮、檞树皮、木麻黄树皮、黑荆树皮、橡碗、化香果、其他栲胶原料。</t>
  </si>
  <si>
    <t>138</t>
  </si>
  <si>
    <t>1010204040000000000</t>
  </si>
  <si>
    <t>非直接食用果类</t>
  </si>
  <si>
    <t>包括油桐籽、油茶籽、沙棘果、油棕果、乌桕子、油橄榄、文冠果、山苍籽、黑椋子、其他非食用坚果。</t>
  </si>
  <si>
    <t>139</t>
  </si>
  <si>
    <t>1010204050000000000</t>
  </si>
  <si>
    <t>编结用原料</t>
  </si>
  <si>
    <t>包括藤条、柳条、柠条、荆条、桑条、灯心草、菖蒲、葵叶、其他编织用原料。</t>
  </si>
  <si>
    <t>140</t>
  </si>
  <si>
    <t>1010204060000000000</t>
  </si>
  <si>
    <t>染色、鞣革用植物原料</t>
  </si>
  <si>
    <t>包括五倍子、地衣、蓝靛、薯茛、其他染色、鞣革用植物原料。</t>
  </si>
  <si>
    <t>141</t>
  </si>
  <si>
    <t>1010204070000000000</t>
  </si>
  <si>
    <t>野生植物活体</t>
  </si>
  <si>
    <t>包括野生乔木、灌木、草灌木、菌类、以及其他野生植物活体。</t>
  </si>
  <si>
    <t>142</t>
  </si>
  <si>
    <t>1010204080000000000</t>
  </si>
  <si>
    <t>野生植物采集产品</t>
  </si>
  <si>
    <t>包括野生植物根、茎、叶、花、果实、以及其他野生植物采集产品。</t>
  </si>
  <si>
    <t>143</t>
  </si>
  <si>
    <t>1010204990000000000</t>
  </si>
  <si>
    <t>其他林产品</t>
  </si>
  <si>
    <t>未加工天然软木、棕片、竹笋干、黄柏桕、山苍子、桉树叶、其他未列明林产品。</t>
  </si>
  <si>
    <t>144</t>
  </si>
  <si>
    <t>饲养动物、野生动物及其产品</t>
  </si>
  <si>
    <t>活牲畜</t>
  </si>
  <si>
    <t>1010301010000000000</t>
  </si>
  <si>
    <t>猪</t>
  </si>
  <si>
    <t>包括种猪、仔猪、中猪、能繁殖母猪、其他活猪。</t>
  </si>
  <si>
    <t>145</t>
  </si>
  <si>
    <t>1010301020000000000</t>
  </si>
  <si>
    <t>牛</t>
  </si>
  <si>
    <t>包括种牛、黄牛、水牛、奶牛、牦牛、牛犊、能繁殖母牛、其他活牛。</t>
  </si>
  <si>
    <t>146</t>
  </si>
  <si>
    <t>1010301030000000000</t>
  </si>
  <si>
    <t>马</t>
  </si>
  <si>
    <t>包括种马、马驹、其他活马。</t>
  </si>
  <si>
    <t>147</t>
  </si>
  <si>
    <t>1010301040000000000</t>
  </si>
  <si>
    <t>驴</t>
  </si>
  <si>
    <t>包括种驴、其他驴。</t>
  </si>
  <si>
    <t>148</t>
  </si>
  <si>
    <t>1010301050000000000</t>
  </si>
  <si>
    <t>骡</t>
  </si>
  <si>
    <t>149</t>
  </si>
  <si>
    <t>1010301060000000000</t>
  </si>
  <si>
    <t>羊</t>
  </si>
  <si>
    <t>包括绵羊、山羊、能繁殖母羊、羔羊等。</t>
  </si>
  <si>
    <t>150</t>
  </si>
  <si>
    <t>1010301070000000000</t>
  </si>
  <si>
    <t>骆驼</t>
  </si>
  <si>
    <t>151</t>
  </si>
  <si>
    <t>1010301990000000000</t>
  </si>
  <si>
    <t>其他活牲畜</t>
  </si>
  <si>
    <t>152</t>
  </si>
  <si>
    <t>活家禽</t>
  </si>
  <si>
    <t>1010302010000000000</t>
  </si>
  <si>
    <t>活鸡</t>
  </si>
  <si>
    <t>包括蛋鸡、雏鸡、肉鸡、其他活鸡。</t>
  </si>
  <si>
    <t>153</t>
  </si>
  <si>
    <t>1010302020000000000</t>
  </si>
  <si>
    <t>活鸭</t>
  </si>
  <si>
    <t>包括雏鸭、成鸭。</t>
  </si>
  <si>
    <t>154</t>
  </si>
  <si>
    <t>1010302030000000000</t>
  </si>
  <si>
    <t>活鹅</t>
  </si>
  <si>
    <t>包括雏鹅、成鹅。</t>
  </si>
  <si>
    <t>155</t>
  </si>
  <si>
    <t>1010302990000000000</t>
  </si>
  <si>
    <t>其他活家禽</t>
  </si>
  <si>
    <t>包括鸽子、鸵鸟、野鸭、鹌鹑、其他未列明活家禽。</t>
  </si>
  <si>
    <t>156</t>
  </si>
  <si>
    <t>畜禽产品</t>
  </si>
  <si>
    <t>1010303010000000000</t>
  </si>
  <si>
    <t>生奶</t>
  </si>
  <si>
    <t>指未经过消毒和杀菌的奶。包括生牛奶、生羊奶、生马奶等。</t>
  </si>
  <si>
    <t>157</t>
  </si>
  <si>
    <t>1010303020100000000</t>
  </si>
  <si>
    <t>鸡蛋</t>
  </si>
  <si>
    <t>158</t>
  </si>
  <si>
    <t>1010303020200000000</t>
  </si>
  <si>
    <t>鸭蛋</t>
  </si>
  <si>
    <t>159</t>
  </si>
  <si>
    <t>1010303020300000000</t>
  </si>
  <si>
    <t>鹅蛋</t>
  </si>
  <si>
    <t>160</t>
  </si>
  <si>
    <t>1010303020400000000</t>
  </si>
  <si>
    <t>鹌鹑蛋</t>
  </si>
  <si>
    <t>又名鹑鸟蛋。</t>
  </si>
  <si>
    <t>161</t>
  </si>
  <si>
    <t>1010303029900000000</t>
  </si>
  <si>
    <t>其他禽蛋</t>
  </si>
  <si>
    <t>162</t>
  </si>
  <si>
    <t>1010303030100000000</t>
  </si>
  <si>
    <t>天然蜂蜜</t>
  </si>
  <si>
    <t>163</t>
  </si>
  <si>
    <t>1010303030200000000</t>
  </si>
  <si>
    <t>蜂蜡</t>
  </si>
  <si>
    <t>蜂蜡是工蜂腹部下面四对蜡腺分泌的物质。</t>
  </si>
  <si>
    <t>164</t>
  </si>
  <si>
    <t>1010303030300000000</t>
  </si>
  <si>
    <t>鲜蜂王浆</t>
  </si>
  <si>
    <t>又称蜂皇浆、蜂王乳等、是工蜂的一种分泌物、喂蜂后的食物。</t>
  </si>
  <si>
    <t>165</t>
  </si>
  <si>
    <t>1010303039900000000</t>
  </si>
  <si>
    <t>其他天然蜂蜜及副产品</t>
  </si>
  <si>
    <t>166</t>
  </si>
  <si>
    <t>1010303040000000000</t>
  </si>
  <si>
    <t>蚕茧</t>
  </si>
  <si>
    <t>指适于缫丝的丝茧。包括桑蚕茧、柞蚕茧、蓖麻蚕茧、其他蚕茧。</t>
  </si>
  <si>
    <t>167</t>
  </si>
  <si>
    <t>1010303050000000000</t>
  </si>
  <si>
    <t>动物毛类</t>
  </si>
  <si>
    <t>指未梳毛。包括绵羊毛、山羊毛、山羊粗毛、牦牛毛、兔毛、骆驼毛、马毛、其他动物毛类。</t>
  </si>
  <si>
    <t>168</t>
  </si>
  <si>
    <t>1010303060000000000</t>
  </si>
  <si>
    <t>生皮</t>
  </si>
  <si>
    <t>指经简单干燥的整张动物生皮、包括整张生牛皮、整张绵羊生皮、整张山羊生皮、整张生猪皮、整张生马皮、整张爬行动物皮、其他生皮，不包括生毛皮（详见101030307）、半成品革（详见1040301）。</t>
  </si>
  <si>
    <t>169</t>
  </si>
  <si>
    <t>1010303070000000000</t>
  </si>
  <si>
    <t>生毛皮</t>
  </si>
  <si>
    <t>指未经鞣制或硝制的整张动物毛皮、整张羔羊生毛皮、整张水貂生毛皮、整张狐生毛皮、整张兔生毛皮、其他生毛皮，不包括生皮（详见101030306）、鞣制毛皮（详见104030601）。</t>
  </si>
  <si>
    <t>170</t>
  </si>
  <si>
    <t>1010303080000000000</t>
  </si>
  <si>
    <t>制刷用兽毛</t>
  </si>
  <si>
    <t>包括猪鬃、制刷用山羊毛、其他制刷用兽毛、猪鬃、猪毛及其废料。</t>
  </si>
  <si>
    <t>171</t>
  </si>
  <si>
    <t>1010303090000000000</t>
  </si>
  <si>
    <t>麝香</t>
  </si>
  <si>
    <t>为雄麝的肚脐和生殖器之间的腺囊的分泌物、干燥后呈颗粒状或块状。</t>
  </si>
  <si>
    <t>172</t>
  </si>
  <si>
    <t>1010303100000000000</t>
  </si>
  <si>
    <t>鹿茸</t>
  </si>
  <si>
    <t>雄鹿没有长成硬骨时、带茸毛、含血液的嫩角。</t>
  </si>
  <si>
    <t>173</t>
  </si>
  <si>
    <t>1010303110000000000</t>
  </si>
  <si>
    <t>燕窝</t>
  </si>
  <si>
    <t>又称燕菜、燕根、燕蔬菜、为雨燕科动物金丝燕及多种同属燕类用唾液与绒羽等混合凝结所筑成的巢窝。</t>
  </si>
  <si>
    <t>174</t>
  </si>
  <si>
    <t>1010303990000000000</t>
  </si>
  <si>
    <t>其他畜禽产品</t>
  </si>
  <si>
    <t>175</t>
  </si>
  <si>
    <t>野生动物</t>
  </si>
  <si>
    <t>1010304010000000000</t>
  </si>
  <si>
    <t>是指生存于自然状态下、野外环境生长繁殖的动物。包括野兔、狐狸、其他野生动物。</t>
  </si>
  <si>
    <t>176</t>
  </si>
  <si>
    <t>1010304020000000000</t>
  </si>
  <si>
    <t>野生鸟类</t>
  </si>
  <si>
    <t>包括水禽、雉鸡、野鸡、其他野生鸟类。</t>
  </si>
  <si>
    <t>177</t>
  </si>
  <si>
    <t>1010304990000000000</t>
  </si>
  <si>
    <t>其他野生动物</t>
  </si>
  <si>
    <t>178</t>
  </si>
  <si>
    <t>1010399000000000000</t>
  </si>
  <si>
    <t>其他饲养动物</t>
  </si>
  <si>
    <t>包括人工饲养或野生的其他珍禽动物。</t>
  </si>
  <si>
    <t>179</t>
  </si>
  <si>
    <t>海水养殖、捕捞产品</t>
  </si>
  <si>
    <t>海水产品</t>
  </si>
  <si>
    <t>1010401000000000000</t>
  </si>
  <si>
    <t>海水鱼</t>
  </si>
  <si>
    <t>包括大黄鱼、小黄鱼、带鱼、鳓鱼、比目鱼、金枪鱼、鳕鱼、沙丁鱼、鲑鱼、大马哈鱼、角鲨、相关鲨鱼、海鳗、鳀鱼、鲳鱼、鲱鱼、石斑鱼、蓝圆鲹、白姑鱼、黄姑鱼、梅童鱼、方头鱼、玉筋鱼、梭鱼、鲻鱼、鲐鱼、鲅鱼、马面鲀、竹荚鱼等。</t>
  </si>
  <si>
    <t>180</t>
  </si>
  <si>
    <t>1010402000000000000</t>
  </si>
  <si>
    <t>海水虾</t>
  </si>
  <si>
    <t>包括龙虾、斑节对虾、中国对虾、日本对虾、毛虾、虾蛄、鹰爪虾等。</t>
  </si>
  <si>
    <t>181</t>
  </si>
  <si>
    <t>1010403000000000000</t>
  </si>
  <si>
    <t>海水蟹</t>
  </si>
  <si>
    <t>包括梭子蟹、青蟹等。</t>
  </si>
  <si>
    <t>182</t>
  </si>
  <si>
    <t>1010404000000000000</t>
  </si>
  <si>
    <t>海水贝类</t>
  </si>
  <si>
    <t>包括牡蛎、扇贝、贻贝、江珧、鲍、螺、蚶、蛤、蛏等。</t>
  </si>
  <si>
    <t>183</t>
  </si>
  <si>
    <t>1010405000000000000</t>
  </si>
  <si>
    <t>海水藻类</t>
  </si>
  <si>
    <t>包括裙带菜、江蓠、麒麟菜、石花菜、羊栖菜、苔菜、其他藻类，不包括海带和紫菜（详见101011211）。</t>
  </si>
  <si>
    <t>184</t>
  </si>
  <si>
    <t>1010406000000000000</t>
  </si>
  <si>
    <t>海水软体水生动物</t>
  </si>
  <si>
    <t>包括墨鱼、鱿鱼、沙蚕等。</t>
  </si>
  <si>
    <t>185</t>
  </si>
  <si>
    <t>1010407000000000000</t>
  </si>
  <si>
    <t>海水产品种苗</t>
  </si>
  <si>
    <t>包括鱼苗、虾种苗、蟹苗、贝类种苗、藻类育苗等。</t>
  </si>
  <si>
    <t>186</t>
  </si>
  <si>
    <t>1010499000000000000</t>
  </si>
  <si>
    <t>其他海水产品</t>
  </si>
  <si>
    <t>包括海参、海胆、珍珠、海蜇等。</t>
  </si>
  <si>
    <t>187</t>
  </si>
  <si>
    <t>淡水养殖产品、捕捞产品</t>
  </si>
  <si>
    <t>淡水产品</t>
  </si>
  <si>
    <t>1010501000000000000</t>
  </si>
  <si>
    <t>淡水鱼</t>
  </si>
  <si>
    <t>包括淡水观赏鱼、淡水鳟鱼、淡水鳗鲡、淡水鲤鱼、淡水草鱼、淡水鳙鱼、淡水鲟鱼、淡水罗非鱼、淡水河鲀、淡水青鱼、淡水鲢鱼、淡水鲫鱼、淡水鳊鲂、淡水鲶鱼、淡水鮰鱼、淡水黄颡鱼、淡水鲑鱼、淡水池沼公鱼、淡水银鱼、淡水短盖巨脂鲤、淡水长吻鮠、淡水黄鳝、淡水鳜鱼、淡水鲈鱼、淡水乌鳢、淡水泥鳅等。</t>
  </si>
  <si>
    <t>188</t>
  </si>
  <si>
    <t>1010502000000000000</t>
  </si>
  <si>
    <t>淡水虾</t>
  </si>
  <si>
    <t>包括淡水罗氏沼虾、淡水青虾、淡水克氏原鳌虾、淡水南美白对虾等。</t>
  </si>
  <si>
    <t>189</t>
  </si>
  <si>
    <t>1010503000000000000</t>
  </si>
  <si>
    <t>淡水蟹</t>
  </si>
  <si>
    <t>包括淡水蟹、华绒毛蟹等。</t>
  </si>
  <si>
    <t>190</t>
  </si>
  <si>
    <t>1010504000000000000</t>
  </si>
  <si>
    <t>淡水贝类</t>
  </si>
  <si>
    <t>包括淡水蚌、淡水螺、淡水蚬等。</t>
  </si>
  <si>
    <t>191</t>
  </si>
  <si>
    <t>1010505000000000000</t>
  </si>
  <si>
    <t>淡水藻类</t>
  </si>
  <si>
    <t>192</t>
  </si>
  <si>
    <t>1010506000000000000</t>
  </si>
  <si>
    <t>淡水鲜软体动物</t>
  </si>
  <si>
    <t>包括水生无脊椎动物、蜗牛、螺、河蚌、蚬、其他淡水鲜软体动物、包括活、鲜、冷、冻、干、盐腌或盐渍蜗牛。</t>
  </si>
  <si>
    <t>193</t>
  </si>
  <si>
    <t>1010507000000000000</t>
  </si>
  <si>
    <t>淡水产品种苗</t>
  </si>
  <si>
    <t>包括淡水鱼苗、淡水虾苗、淡水蟹种苗、淡水贝壳种苗、淡水藻类种苗、其他淡水产品种苗。</t>
  </si>
  <si>
    <t>194</t>
  </si>
  <si>
    <t>1010599000000000000</t>
  </si>
  <si>
    <t>其他淡水产品</t>
  </si>
  <si>
    <t>包括淡水龟、淡水鳖、淡水蛙、淡水珍珠、丰年虫、其他未列明淡水产品。</t>
  </si>
  <si>
    <t>195</t>
  </si>
  <si>
    <t>矿产品</t>
  </si>
  <si>
    <t>煤炭采选产品</t>
  </si>
  <si>
    <t>煤炭</t>
  </si>
  <si>
    <t>1020101000000000000</t>
  </si>
  <si>
    <t>原煤</t>
  </si>
  <si>
    <t>从地上或地下采掘出的毛煤经筛选加工去掉矸石、黄铁矿等后的煤。包括：无烟煤、烟煤、褐烟等。</t>
  </si>
  <si>
    <t>范围1</t>
  </si>
  <si>
    <t>一般工业固体废物</t>
  </si>
  <si>
    <t>196</t>
  </si>
  <si>
    <t>1020102000000000000</t>
  </si>
  <si>
    <t>洗煤</t>
  </si>
  <si>
    <t>洗煤是将原煤中的杂质剔除、或将优质煤和劣质煤炭进行分门别类的一种工业工艺。洗煤过程后所产生的产品包括：洗精煤、洗块煤、洗粒级煤、洗混末煤、洗中煤、筛选块煤等。</t>
  </si>
  <si>
    <t>197</t>
  </si>
  <si>
    <t>1020103000000000000</t>
  </si>
  <si>
    <t>石煤</t>
  </si>
  <si>
    <t>仅包括油气田企业在生产石油、天然气过程中，通过加热、增压、冷却、制冷等方法回收、以戊烷和以上重烃组分组成的稳定轻烃。</t>
  </si>
  <si>
    <t>198</t>
  </si>
  <si>
    <t>1020199000000000000</t>
  </si>
  <si>
    <t>其他煤炭采选产品（低热值燃料）</t>
  </si>
  <si>
    <t>包括泥炭（泥煤）、石煤、风化煤、煤矸石、洗矸、其他煤矸石、煤炭低热值燃料（指不属于原煤、灰分一般在40%以上的低热值燃料）、其他未列明煤炭采选产品。</t>
  </si>
  <si>
    <t>199</t>
  </si>
  <si>
    <t>石油和天然气开采产品</t>
  </si>
  <si>
    <t>原油</t>
  </si>
  <si>
    <t>1020201010000000000</t>
  </si>
  <si>
    <t>天然原油</t>
  </si>
  <si>
    <t>指各种碳氢化合物的复杂混合物、通常是暗褐色或者是黑色的液体、也有少数原油呈黄色、淡红色或淡褐色。</t>
  </si>
  <si>
    <t>200</t>
  </si>
  <si>
    <t>1020201020000000000</t>
  </si>
  <si>
    <t>沥青矿原油</t>
  </si>
  <si>
    <t>指从沥青矿中提取的原油</t>
  </si>
  <si>
    <t>危险废弃物（HW）</t>
  </si>
  <si>
    <t>201</t>
  </si>
  <si>
    <t>1020201030000000000</t>
  </si>
  <si>
    <t>稳定轻烃</t>
  </si>
  <si>
    <t>202</t>
  </si>
  <si>
    <t>天然气</t>
  </si>
  <si>
    <t>1020202000000000000</t>
  </si>
  <si>
    <t>指以气态碳氢化合物为主的各种气体组成的混合物。由有机物质经生物化学作用分解而成、或与石油共存于岩石的裂缝和空洞中、或以溶解状态存在于地下水中，主要成分是甲烷、乙烷、丙烷和丁烷。</t>
  </si>
  <si>
    <t>203</t>
  </si>
  <si>
    <t>液化天然气</t>
  </si>
  <si>
    <t>1020203000000000000</t>
  </si>
  <si>
    <t>主要以二次加工的气体为原料、经分离、脱硫精制而成。</t>
  </si>
  <si>
    <t>204</t>
  </si>
  <si>
    <t>煤层气</t>
  </si>
  <si>
    <t>1020204000000000000</t>
  </si>
  <si>
    <t>主要存在于煤矿的伴生气体、是热值高、无污染的新能源、可以用来发电、用作工业燃料、化工原料和居民生活燃料。</t>
  </si>
  <si>
    <t>205</t>
  </si>
  <si>
    <t>天然气水合物</t>
  </si>
  <si>
    <t>1020205000000000000</t>
  </si>
  <si>
    <t>指水和天然气在高压和低温条件下混合时产生的一种固态物质，外貌极像冰雪或固体酒精，点火即可燃烧，有“可燃水”、“气冰”、“固体瓦斯”之称。天然气水合物是一种新型高效能源，其成分与人们平时所使用的天然气成分相近，但更为纯净，开采时只需将固体的“天然气水合物”升温减压即可释放出大量的甲烷气体。</t>
  </si>
  <si>
    <t>206</t>
  </si>
  <si>
    <t>油页岩</t>
  </si>
  <si>
    <t>1020206010000000000</t>
  </si>
  <si>
    <t>沥青页岩</t>
  </si>
  <si>
    <t>天然沥青储藏在地下，有的形成矿层或在地壳表面堆积。</t>
  </si>
  <si>
    <t>207</t>
  </si>
  <si>
    <t>1020206020000000000</t>
  </si>
  <si>
    <t>油母页岩</t>
  </si>
  <si>
    <t>208</t>
  </si>
  <si>
    <t>1020206030000000000</t>
  </si>
  <si>
    <t>焦（重）油砂</t>
  </si>
  <si>
    <t>一种黏土、水、石油和沥青的混合物，胶状黑色物质，可以用来产生液体燃料。</t>
  </si>
  <si>
    <t>209</t>
  </si>
  <si>
    <t>1020206040000000000</t>
  </si>
  <si>
    <t>页岩气</t>
  </si>
  <si>
    <t>页岩气是指赋存于富有机质泥页岩及其夹层中，以吸附或游离状态为主要存在方式的非常规天然气。</t>
  </si>
  <si>
    <t>210</t>
  </si>
  <si>
    <t>1020206050000000000</t>
  </si>
  <si>
    <t>天然沥青</t>
  </si>
  <si>
    <t>211</t>
  </si>
  <si>
    <t>1020206990000000000</t>
  </si>
  <si>
    <t>其他油页岩</t>
  </si>
  <si>
    <t>212</t>
  </si>
  <si>
    <t>黑色金属矿石</t>
  </si>
  <si>
    <t>铬原矿</t>
  </si>
  <si>
    <t>1020303010000000000</t>
  </si>
  <si>
    <t>铬矿石原矿石。</t>
  </si>
  <si>
    <t>213</t>
  </si>
  <si>
    <t>铬选矿</t>
  </si>
  <si>
    <t>1020303020000000000</t>
  </si>
  <si>
    <t>富铬块矿石、铬精矿。</t>
  </si>
  <si>
    <t>214</t>
  </si>
  <si>
    <t>人造富铬矿</t>
  </si>
  <si>
    <t>1020303030000000000</t>
  </si>
  <si>
    <t>烧结球团铬矿石、预还原球团铬矿石、其他人造富铬矿等。</t>
  </si>
  <si>
    <t>215</t>
  </si>
  <si>
    <t>铁原矿</t>
  </si>
  <si>
    <t>1020301010000000000</t>
  </si>
  <si>
    <t>包括磁铁矿石、赤铁矿石、褐铁矿石、菱铁矿石、多金属矿石铁。</t>
  </si>
  <si>
    <t>216</t>
  </si>
  <si>
    <t>铁选矿</t>
  </si>
  <si>
    <t>1020301020000000000</t>
  </si>
  <si>
    <t>包括铁精矿、炼钢块矿石、炼铁块矿石、铁富粉矿石，其中铁精矿包括磁铁矿精矿、赤铁矿精矿、褐铁矿精矿、菱铁矿精矿、多金属铁精矿。</t>
  </si>
  <si>
    <t>217</t>
  </si>
  <si>
    <t>人造富铁矿</t>
  </si>
  <si>
    <t>1020301030000000000</t>
  </si>
  <si>
    <t>包括烧结铁矿石、球团铁矿石、其他人造富铁矿等。</t>
  </si>
  <si>
    <t>218</t>
  </si>
  <si>
    <t>锰原矿</t>
  </si>
  <si>
    <t>1020302010000000000</t>
  </si>
  <si>
    <t>包括碳酸锰矿石、氧化锰矿石、其他锰矿石。</t>
  </si>
  <si>
    <t>219</t>
  </si>
  <si>
    <t>锰选矿</t>
  </si>
  <si>
    <t>1020302020000000000</t>
  </si>
  <si>
    <t>包括碳酸锰精矿、氧化锰精矿、其它锰精矿、炼铁锰块矿、炼钢锰块矿、锰粉矿。</t>
  </si>
  <si>
    <t>220</t>
  </si>
  <si>
    <t>人造富锰矿</t>
  </si>
  <si>
    <t>1020302030000000000</t>
  </si>
  <si>
    <t>包括富锰渣、烧结锰矿、球团锰矿、焙烧锰矿。</t>
  </si>
  <si>
    <t>221</t>
  </si>
  <si>
    <t>常用有色金属矿石</t>
  </si>
  <si>
    <t>铋原矿</t>
  </si>
  <si>
    <t>1020401100100000000</t>
  </si>
  <si>
    <t>222</t>
  </si>
  <si>
    <t>铋精矿</t>
  </si>
  <si>
    <t>1020401100200000000</t>
  </si>
  <si>
    <t>223</t>
  </si>
  <si>
    <t>铜原矿</t>
  </si>
  <si>
    <t>1020401010100000000</t>
  </si>
  <si>
    <t>224</t>
  </si>
  <si>
    <t>铜精矿</t>
  </si>
  <si>
    <t>1020401010200000000</t>
  </si>
  <si>
    <t>225</t>
  </si>
  <si>
    <t>有色金属矿石</t>
  </si>
  <si>
    <t>1020401990000000000</t>
  </si>
  <si>
    <t>其他常用有色金属矿石</t>
  </si>
  <si>
    <t>226</t>
  </si>
  <si>
    <t>钴原矿</t>
  </si>
  <si>
    <t>1020401040100000000</t>
  </si>
  <si>
    <t>227</t>
  </si>
  <si>
    <t>钴精矿</t>
  </si>
  <si>
    <t>1020401040200000000</t>
  </si>
  <si>
    <t>228</t>
  </si>
  <si>
    <t>钠矿石</t>
  </si>
  <si>
    <t>1020401120000000000</t>
  </si>
  <si>
    <t>229</t>
  </si>
  <si>
    <t>锑精矿</t>
  </si>
  <si>
    <t>1020401060200000000</t>
  </si>
  <si>
    <t>230</t>
  </si>
  <si>
    <t>锑原矿</t>
  </si>
  <si>
    <t>1020401060100000000</t>
  </si>
  <si>
    <t>231</t>
  </si>
  <si>
    <t>镁精矿</t>
  </si>
  <si>
    <t>1020401080200000000</t>
  </si>
  <si>
    <t>232</t>
  </si>
  <si>
    <t>镁原矿</t>
  </si>
  <si>
    <t>1020401080100000000</t>
  </si>
  <si>
    <t>233</t>
  </si>
  <si>
    <t>铝土矿</t>
  </si>
  <si>
    <t>1020401070000000000</t>
  </si>
  <si>
    <t>234</t>
  </si>
  <si>
    <t>汞矿石</t>
  </si>
  <si>
    <t>1020401090000000000</t>
  </si>
  <si>
    <t>235</t>
  </si>
  <si>
    <t>锡原矿</t>
  </si>
  <si>
    <t>1020401050100000000</t>
  </si>
  <si>
    <t>236</t>
  </si>
  <si>
    <t>锡精矿</t>
  </si>
  <si>
    <t>1020401050200000000</t>
  </si>
  <si>
    <t>237</t>
  </si>
  <si>
    <t>镍精矿</t>
  </si>
  <si>
    <t>1020401030200000000</t>
  </si>
  <si>
    <t>238</t>
  </si>
  <si>
    <t>镍原矿</t>
  </si>
  <si>
    <t>1020401030100000000</t>
  </si>
  <si>
    <t>239</t>
  </si>
  <si>
    <t>钛精矿</t>
  </si>
  <si>
    <t>1020401110200000000</t>
  </si>
  <si>
    <t>240</t>
  </si>
  <si>
    <t>钛原矿</t>
  </si>
  <si>
    <t>1020401110100000000</t>
  </si>
  <si>
    <t>241</t>
  </si>
  <si>
    <t>铅锌精矿</t>
  </si>
  <si>
    <t>1020401020400000000</t>
  </si>
  <si>
    <t>242</t>
  </si>
  <si>
    <t>铅精矿</t>
  </si>
  <si>
    <t>1020401020200000000</t>
  </si>
  <si>
    <t>243</t>
  </si>
  <si>
    <t>锌精矿</t>
  </si>
  <si>
    <t>1020401020300000000</t>
  </si>
  <si>
    <t>244</t>
  </si>
  <si>
    <t>铅锌原矿</t>
  </si>
  <si>
    <t>1020401020100000000</t>
  </si>
  <si>
    <t>245</t>
  </si>
  <si>
    <t>放射性金属矿石</t>
  </si>
  <si>
    <t>铀矿石</t>
  </si>
  <si>
    <t>1020404010000000000</t>
  </si>
  <si>
    <t>246</t>
  </si>
  <si>
    <t>钍矿石</t>
  </si>
  <si>
    <t>1020404020000000000</t>
  </si>
  <si>
    <t>247</t>
  </si>
  <si>
    <t>稀有金属矿石</t>
  </si>
  <si>
    <t>磷钇矿石</t>
  </si>
  <si>
    <t>1020403040000000000</t>
  </si>
  <si>
    <t>248</t>
  </si>
  <si>
    <t>稀土矿产品</t>
  </si>
  <si>
    <t>249</t>
  </si>
  <si>
    <t>钼精矿</t>
  </si>
  <si>
    <t>1020403020200000000</t>
  </si>
  <si>
    <t>250</t>
  </si>
  <si>
    <t>钼原矿</t>
  </si>
  <si>
    <t>1020403020100000000</t>
  </si>
  <si>
    <t>251</t>
  </si>
  <si>
    <t>钨精矿</t>
  </si>
  <si>
    <t>1020403010200000000</t>
  </si>
  <si>
    <t>252</t>
  </si>
  <si>
    <t>钨原矿</t>
  </si>
  <si>
    <t>1020403010100000000</t>
  </si>
  <si>
    <t>253</t>
  </si>
  <si>
    <t>贵金属矿石</t>
  </si>
  <si>
    <t>金精矿</t>
  </si>
  <si>
    <t>1020402010200000000</t>
  </si>
  <si>
    <t>254</t>
  </si>
  <si>
    <t>金原矿</t>
  </si>
  <si>
    <t>1020402010100000000</t>
  </si>
  <si>
    <t>255</t>
  </si>
  <si>
    <t>银原矿</t>
  </si>
  <si>
    <t>1020402020100000000</t>
  </si>
  <si>
    <t>256</t>
  </si>
  <si>
    <t>银精矿</t>
  </si>
  <si>
    <t>1020402020200000000</t>
  </si>
  <si>
    <t>257</t>
  </si>
  <si>
    <t>钌矿</t>
  </si>
  <si>
    <t>1020402990300000000</t>
  </si>
  <si>
    <t>258</t>
  </si>
  <si>
    <t>锇矿</t>
  </si>
  <si>
    <t>1020402990400000000</t>
  </si>
  <si>
    <t>259</t>
  </si>
  <si>
    <t>铱矿</t>
  </si>
  <si>
    <t>1020402990500000000</t>
  </si>
  <si>
    <t>260</t>
  </si>
  <si>
    <t>铑矿</t>
  </si>
  <si>
    <t>1020402990600000000</t>
  </si>
  <si>
    <t>261</t>
  </si>
  <si>
    <t>钯矿</t>
  </si>
  <si>
    <t>1020402990200000000</t>
  </si>
  <si>
    <t>262</t>
  </si>
  <si>
    <t>铂矿</t>
  </si>
  <si>
    <t>1020402990100000000</t>
  </si>
  <si>
    <t>263</t>
  </si>
  <si>
    <t>其他有色金属矿石</t>
  </si>
  <si>
    <t>铟矿</t>
  </si>
  <si>
    <t>1020499120000000000</t>
  </si>
  <si>
    <t>264</t>
  </si>
  <si>
    <t>铯矿</t>
  </si>
  <si>
    <t>1020499030000000000</t>
  </si>
  <si>
    <t>265</t>
  </si>
  <si>
    <t>铍矿</t>
  </si>
  <si>
    <t>1020499020000000000</t>
  </si>
  <si>
    <t>266</t>
  </si>
  <si>
    <t>镓矿</t>
  </si>
  <si>
    <t>1020499110000000000</t>
  </si>
  <si>
    <t>267</t>
  </si>
  <si>
    <t>锗矿</t>
  </si>
  <si>
    <t>1020499100000000000</t>
  </si>
  <si>
    <t>268</t>
  </si>
  <si>
    <t>锂原矿</t>
  </si>
  <si>
    <t>1020499010100000000</t>
  </si>
  <si>
    <t>269</t>
  </si>
  <si>
    <t>锂精矿</t>
  </si>
  <si>
    <t>1020499010200000000</t>
  </si>
  <si>
    <t>270</t>
  </si>
  <si>
    <t>铪矿</t>
  </si>
  <si>
    <t>1020499140000000000</t>
  </si>
  <si>
    <t>271</t>
  </si>
  <si>
    <t>1020499990000000000</t>
  </si>
  <si>
    <t>其他未列明有色金属矿石</t>
  </si>
  <si>
    <t>272</t>
  </si>
  <si>
    <t>铼矿</t>
  </si>
  <si>
    <t>1020499150000000000</t>
  </si>
  <si>
    <t>273</t>
  </si>
  <si>
    <t>钽铌矿</t>
  </si>
  <si>
    <t>1020499060000000000</t>
  </si>
  <si>
    <t>274</t>
  </si>
  <si>
    <t>钒精矿</t>
  </si>
  <si>
    <t>1020499070200000000</t>
  </si>
  <si>
    <t>275</t>
  </si>
  <si>
    <t>钒原矿</t>
  </si>
  <si>
    <t>1020499070100000000</t>
  </si>
  <si>
    <t>276</t>
  </si>
  <si>
    <t>铷矿</t>
  </si>
  <si>
    <t>1020499090000000000</t>
  </si>
  <si>
    <t>277</t>
  </si>
  <si>
    <t>碲矿</t>
  </si>
  <si>
    <t>1020499180000000000</t>
  </si>
  <si>
    <t>278</t>
  </si>
  <si>
    <t>镉矿</t>
  </si>
  <si>
    <t>1020499160000000000</t>
  </si>
  <si>
    <t>279</t>
  </si>
  <si>
    <t>铌矿</t>
  </si>
  <si>
    <t>1020499050000000000</t>
  </si>
  <si>
    <t>280</t>
  </si>
  <si>
    <t>锆矿</t>
  </si>
  <si>
    <t>1020499080000000000</t>
  </si>
  <si>
    <t>281</t>
  </si>
  <si>
    <t>硒矿</t>
  </si>
  <si>
    <t>1020499170000000000</t>
  </si>
  <si>
    <t>282</t>
  </si>
  <si>
    <t>钽矿</t>
  </si>
  <si>
    <t>1020499040000000000</t>
  </si>
  <si>
    <t>283</t>
  </si>
  <si>
    <t>铊矿</t>
  </si>
  <si>
    <t>1020499130000000000</t>
  </si>
  <si>
    <t>284</t>
  </si>
  <si>
    <t>非金属矿石</t>
  </si>
  <si>
    <t>滑石</t>
  </si>
  <si>
    <t>1020510000000000000</t>
  </si>
  <si>
    <t>285</t>
  </si>
  <si>
    <t>石棉</t>
  </si>
  <si>
    <t>1020507000000000000</t>
  </si>
  <si>
    <t>286</t>
  </si>
  <si>
    <t>耐火粘土</t>
  </si>
  <si>
    <t>1020503010000000000</t>
  </si>
  <si>
    <t>287</t>
  </si>
  <si>
    <t>1020503990000000000</t>
  </si>
  <si>
    <t>其他耐火土石类</t>
  </si>
  <si>
    <t>288</t>
  </si>
  <si>
    <t>铁矾土</t>
  </si>
  <si>
    <t>1020503030000000000</t>
  </si>
  <si>
    <t>289</t>
  </si>
  <si>
    <t>耐火粘土熟料</t>
  </si>
  <si>
    <t>1020503020000000000</t>
  </si>
  <si>
    <t>290</t>
  </si>
  <si>
    <t>夕线石</t>
  </si>
  <si>
    <t>1020503080000000000</t>
  </si>
  <si>
    <t>291</t>
  </si>
  <si>
    <t>蓝晶石</t>
  </si>
  <si>
    <t>1020503070000000000</t>
  </si>
  <si>
    <t>292</t>
  </si>
  <si>
    <t>红柱石</t>
  </si>
  <si>
    <t>1020503060000000000</t>
  </si>
  <si>
    <t>293</t>
  </si>
  <si>
    <t>白云岩</t>
  </si>
  <si>
    <t>1020503040000000000</t>
  </si>
  <si>
    <t>294</t>
  </si>
  <si>
    <t>煅烧白云石</t>
  </si>
  <si>
    <t>1020503050000000000</t>
  </si>
  <si>
    <t>295</t>
  </si>
  <si>
    <t>建设用卵石、碎石</t>
  </si>
  <si>
    <t>1020504040300000000</t>
  </si>
  <si>
    <t>卵石是指在自然条件作用下岩石产生破碎、风化、分选、运移、堆（沉）积，而形成的粒径大于4.75mm的岩石颗粒。碎石是指由天然岩石、卵石或矿山废石经破碎、筛分等机械加工而成的，粒径大于4.75mm的岩石颗粒。</t>
  </si>
  <si>
    <t>296</t>
  </si>
  <si>
    <t>机制砂</t>
  </si>
  <si>
    <t>1020504040200000000</t>
  </si>
  <si>
    <t>机制砂石是指由原生岩石矿山资源经机械破碎、筛分、整形等工艺加工制成的直径不超过5毫米的砂石颗粒。不含1020504040400000000石粉。</t>
  </si>
  <si>
    <t>297</t>
  </si>
  <si>
    <t>天然砂</t>
  </si>
  <si>
    <t>1020504040100000000</t>
  </si>
  <si>
    <t>包括河砂（沙）、湖砂（沙）、海砂（沙）</t>
  </si>
  <si>
    <t>298</t>
  </si>
  <si>
    <t>石粉</t>
  </si>
  <si>
    <t>1020504040400000000</t>
  </si>
  <si>
    <t>机制砂中粒径小于75μm的颗粒</t>
  </si>
  <si>
    <t>299</t>
  </si>
  <si>
    <t>建筑用土</t>
  </si>
  <si>
    <t>1020504040500000000</t>
  </si>
  <si>
    <t>300</t>
  </si>
  <si>
    <t>伊利石粘土</t>
  </si>
  <si>
    <t>1020504010500000000</t>
  </si>
  <si>
    <t>301</t>
  </si>
  <si>
    <t>海泡石粘土</t>
  </si>
  <si>
    <t>1020504010400000000</t>
  </si>
  <si>
    <t>302</t>
  </si>
  <si>
    <t>累托石粘土</t>
  </si>
  <si>
    <t>1020504010600000000</t>
  </si>
  <si>
    <t>303</t>
  </si>
  <si>
    <t>高岭土选矿</t>
  </si>
  <si>
    <t>1020504010102000000</t>
  </si>
  <si>
    <t>造纸用高岭土、搪瓷用高岭土、橡塑用高岭土、陶瓷用高岭土、涂料工业用高岭土</t>
  </si>
  <si>
    <t>304</t>
  </si>
  <si>
    <t>高岭土原矿</t>
  </si>
  <si>
    <t>1020504010101000000</t>
  </si>
  <si>
    <t>以高岭石族矿物为主组成的粘土或岩石的总称</t>
  </si>
  <si>
    <t>305</t>
  </si>
  <si>
    <t>其他高岭土产品</t>
  </si>
  <si>
    <t>1020504010103000000</t>
  </si>
  <si>
    <t>306</t>
  </si>
  <si>
    <t>其他粘土</t>
  </si>
  <si>
    <t>1020504019900000000</t>
  </si>
  <si>
    <t>包括铸型用粘土、砖瓦用粘土、陶粒用粘土、水泥配料用粘土、水泥配料用红土、水泥配料用黄土、水泥配料用泥岩、保温材料用粘土。</t>
  </si>
  <si>
    <t>307</t>
  </si>
  <si>
    <t>凹凸棒石粘土</t>
  </si>
  <si>
    <t>1020504010300000000</t>
  </si>
  <si>
    <t>308</t>
  </si>
  <si>
    <t>膨润土原矿</t>
  </si>
  <si>
    <t>1020504010201000000</t>
  </si>
  <si>
    <t>主要由蒙脱石组成的粘土岩。</t>
  </si>
  <si>
    <t>309</t>
  </si>
  <si>
    <t>其他膨润土产品</t>
  </si>
  <si>
    <t>1020504010203000000</t>
  </si>
  <si>
    <t>主要指复合钠基膨润土、钻井泥浆土等。</t>
  </si>
  <si>
    <t>310</t>
  </si>
  <si>
    <t>膨润土选矿</t>
  </si>
  <si>
    <t>1020504010202000000</t>
  </si>
  <si>
    <t>有机膨润土粉、活性膨润土粉，脱色土、漂白土等。</t>
  </si>
  <si>
    <t>311</t>
  </si>
  <si>
    <t>1020504050000000000</t>
  </si>
  <si>
    <t>其他砂石骨料</t>
  </si>
  <si>
    <t>312</t>
  </si>
  <si>
    <t>硅藻土</t>
  </si>
  <si>
    <t>1020504030000000000</t>
  </si>
  <si>
    <t>313</t>
  </si>
  <si>
    <t>1020504070000000000</t>
  </si>
  <si>
    <t>以自己采掘的砂、土、石料或其他矿物连续生产的砖、瓦、石灰（不含粘土实心砖、瓦）</t>
  </si>
  <si>
    <t>314</t>
  </si>
  <si>
    <t>煅烧高岭土</t>
  </si>
  <si>
    <t>1020504020000000000</t>
  </si>
  <si>
    <t>315</t>
  </si>
  <si>
    <t>1020504060000000000</t>
  </si>
  <si>
    <t>干化污泥</t>
  </si>
  <si>
    <t>316</t>
  </si>
  <si>
    <t>石墨</t>
  </si>
  <si>
    <t>1020509000000000000</t>
  </si>
  <si>
    <t>317</t>
  </si>
  <si>
    <t>明矾石</t>
  </si>
  <si>
    <t>1020505170000000000</t>
  </si>
  <si>
    <t>318</t>
  </si>
  <si>
    <t>钠硝石</t>
  </si>
  <si>
    <t>1020505160000000000</t>
  </si>
  <si>
    <t>319</t>
  </si>
  <si>
    <t>重晶石精矿</t>
  </si>
  <si>
    <t>1020505070200000000</t>
  </si>
  <si>
    <t>320</t>
  </si>
  <si>
    <t>重晶石原矿</t>
  </si>
  <si>
    <t>1020505070100000000</t>
  </si>
  <si>
    <t>321</t>
  </si>
  <si>
    <t>毒重石原矿</t>
  </si>
  <si>
    <t>1020505080100000000</t>
  </si>
  <si>
    <t>322</t>
  </si>
  <si>
    <t>毒重石精矿</t>
  </si>
  <si>
    <t>1020505080200000000</t>
  </si>
  <si>
    <t>323</t>
  </si>
  <si>
    <t>冰晶石</t>
  </si>
  <si>
    <t>1020505090000000000</t>
  </si>
  <si>
    <t>324</t>
  </si>
  <si>
    <t>萤石原矿</t>
  </si>
  <si>
    <t>1020505060100000000</t>
  </si>
  <si>
    <t>325</t>
  </si>
  <si>
    <t>萤石精矿</t>
  </si>
  <si>
    <t>1020505060200000000</t>
  </si>
  <si>
    <t>326</t>
  </si>
  <si>
    <t>芒硝</t>
  </si>
  <si>
    <t>1020505150000000000</t>
  </si>
  <si>
    <t>327</t>
  </si>
  <si>
    <t>锶精矿</t>
  </si>
  <si>
    <t>1020505130200000000</t>
  </si>
  <si>
    <t>328</t>
  </si>
  <si>
    <t>锶原矿</t>
  </si>
  <si>
    <t>1020505130100000000</t>
  </si>
  <si>
    <t>329</t>
  </si>
  <si>
    <t>自然硫</t>
  </si>
  <si>
    <t>1020505050000000000</t>
  </si>
  <si>
    <t>330</t>
  </si>
  <si>
    <t>天然碱</t>
  </si>
  <si>
    <t>1020505140000000000</t>
  </si>
  <si>
    <t>331</t>
  </si>
  <si>
    <t>砷矿石</t>
  </si>
  <si>
    <t>1020505180000000000</t>
  </si>
  <si>
    <t>332</t>
  </si>
  <si>
    <t>硫铁矿精矿</t>
  </si>
  <si>
    <t>1020505010200000000</t>
  </si>
  <si>
    <t>333</t>
  </si>
  <si>
    <t>硫铁矿原矿</t>
  </si>
  <si>
    <t>1020505010100000000</t>
  </si>
  <si>
    <t>334</t>
  </si>
  <si>
    <t>冰洲石</t>
  </si>
  <si>
    <t>1020505100000000000</t>
  </si>
  <si>
    <t>335</t>
  </si>
  <si>
    <t>磷精矿</t>
  </si>
  <si>
    <t>1020505020200000000</t>
  </si>
  <si>
    <t>336</t>
  </si>
  <si>
    <t>磷原矿</t>
  </si>
  <si>
    <t>1020505020100000000</t>
  </si>
  <si>
    <t>337</t>
  </si>
  <si>
    <t>1020505990000000000</t>
  </si>
  <si>
    <t>其他化学矿石</t>
  </si>
  <si>
    <t>338</t>
  </si>
  <si>
    <t>硼矿石</t>
  </si>
  <si>
    <t>1020505040000000000</t>
  </si>
  <si>
    <t>339</t>
  </si>
  <si>
    <t>蛇纹岩</t>
  </si>
  <si>
    <t>1020505120000000000</t>
  </si>
  <si>
    <t>340</t>
  </si>
  <si>
    <t>硫镁矾矿石</t>
  </si>
  <si>
    <t>1020505110000000000</t>
  </si>
  <si>
    <t>341</t>
  </si>
  <si>
    <t>含钾砂页岩</t>
  </si>
  <si>
    <t>1020505030200000000</t>
  </si>
  <si>
    <t>342</t>
  </si>
  <si>
    <t>含钾岩石</t>
  </si>
  <si>
    <t>1020505030100000000</t>
  </si>
  <si>
    <t>343</t>
  </si>
  <si>
    <t>石灰岩原矿</t>
  </si>
  <si>
    <t>1020501010100000000</t>
  </si>
  <si>
    <t>344</t>
  </si>
  <si>
    <t>石灰岩选矿</t>
  </si>
  <si>
    <t>1020501010200000000</t>
  </si>
  <si>
    <t>345</t>
  </si>
  <si>
    <t>石膏</t>
  </si>
  <si>
    <t>1020501020000000000</t>
  </si>
  <si>
    <t>346</t>
  </si>
  <si>
    <t>砂岩</t>
  </si>
  <si>
    <t>1020502040000000000</t>
  </si>
  <si>
    <t>347</t>
  </si>
  <si>
    <t>1020502990000000000</t>
  </si>
  <si>
    <t>其他建筑用天然石料</t>
  </si>
  <si>
    <t>348</t>
  </si>
  <si>
    <t>粗面岩</t>
  </si>
  <si>
    <t>1020502220000000000</t>
  </si>
  <si>
    <t>349</t>
  </si>
  <si>
    <t>松脂岩</t>
  </si>
  <si>
    <t>1020502210000000000</t>
  </si>
  <si>
    <t>350</t>
  </si>
  <si>
    <t>角闪岩</t>
  </si>
  <si>
    <t>1020502120000000000</t>
  </si>
  <si>
    <t>351</t>
  </si>
  <si>
    <t>浮石</t>
  </si>
  <si>
    <t>1020502130000000000</t>
  </si>
  <si>
    <t>352</t>
  </si>
  <si>
    <t>凝灰岩</t>
  </si>
  <si>
    <t>1020502140000000000</t>
  </si>
  <si>
    <t>353</t>
  </si>
  <si>
    <t>天然花岗石荒料</t>
  </si>
  <si>
    <t>1020502020100000000</t>
  </si>
  <si>
    <t>354</t>
  </si>
  <si>
    <t>花岗岩选矿</t>
  </si>
  <si>
    <t>1020502020200000000</t>
  </si>
  <si>
    <t>355</t>
  </si>
  <si>
    <t>蜡石</t>
  </si>
  <si>
    <t>1020502060000000000</t>
  </si>
  <si>
    <t>356</t>
  </si>
  <si>
    <t>辉长岩</t>
  </si>
  <si>
    <t>1020502230000000000</t>
  </si>
  <si>
    <t>357</t>
  </si>
  <si>
    <t>正长岩</t>
  </si>
  <si>
    <t>1020502250000000000</t>
  </si>
  <si>
    <t>358</t>
  </si>
  <si>
    <t>麦饭石</t>
  </si>
  <si>
    <t>1020502170000000000</t>
  </si>
  <si>
    <t>359</t>
  </si>
  <si>
    <t>玄武岩</t>
  </si>
  <si>
    <t>1020502100000000000</t>
  </si>
  <si>
    <t>360</t>
  </si>
  <si>
    <t>闪长岩</t>
  </si>
  <si>
    <t>1020502090000000000</t>
  </si>
  <si>
    <t>361</t>
  </si>
  <si>
    <t>泥灰岩</t>
  </si>
  <si>
    <t>1020502180000000000</t>
  </si>
  <si>
    <t>362</t>
  </si>
  <si>
    <t>板岩</t>
  </si>
  <si>
    <t>1020502050000000000</t>
  </si>
  <si>
    <t>363</t>
  </si>
  <si>
    <t>天然大理石荒料</t>
  </si>
  <si>
    <t>1020502010100000000</t>
  </si>
  <si>
    <t>364</t>
  </si>
  <si>
    <t>大理岩选矿</t>
  </si>
  <si>
    <t>1020502010200000000</t>
  </si>
  <si>
    <t>365</t>
  </si>
  <si>
    <t>火山灰</t>
  </si>
  <si>
    <t>1020502260000000000</t>
  </si>
  <si>
    <t>366</t>
  </si>
  <si>
    <t>页岩</t>
  </si>
  <si>
    <t>1020502290000000000</t>
  </si>
  <si>
    <t>367</t>
  </si>
  <si>
    <t>天然油石</t>
  </si>
  <si>
    <t>1020502190000000000</t>
  </si>
  <si>
    <t>368</t>
  </si>
  <si>
    <t>火山渣</t>
  </si>
  <si>
    <t>1020502270000000000</t>
  </si>
  <si>
    <t>369</t>
  </si>
  <si>
    <t>安山岩</t>
  </si>
  <si>
    <t>1020502080000000000</t>
  </si>
  <si>
    <t>370</t>
  </si>
  <si>
    <t>辉绿岩</t>
  </si>
  <si>
    <t>1020502070000000000</t>
  </si>
  <si>
    <t>371</t>
  </si>
  <si>
    <t>霞石正长岩</t>
  </si>
  <si>
    <t>1020502160000000000</t>
  </si>
  <si>
    <t>372</t>
  </si>
  <si>
    <t>黑曜岩</t>
  </si>
  <si>
    <t>1020502150000000000</t>
  </si>
  <si>
    <t>373</t>
  </si>
  <si>
    <t>片麻岩</t>
  </si>
  <si>
    <t>1020502110000000000</t>
  </si>
  <si>
    <t>374</t>
  </si>
  <si>
    <t>橄榄岩</t>
  </si>
  <si>
    <t>1020502200000000000</t>
  </si>
  <si>
    <t>375</t>
  </si>
  <si>
    <t>石英岩</t>
  </si>
  <si>
    <t>1020502030000000000</t>
  </si>
  <si>
    <t>376</t>
  </si>
  <si>
    <t>辉石岩</t>
  </si>
  <si>
    <t>1020502240000000000</t>
  </si>
  <si>
    <t>377</t>
  </si>
  <si>
    <t>泥炭</t>
  </si>
  <si>
    <t>1020502280000000000</t>
  </si>
  <si>
    <t>378</t>
  </si>
  <si>
    <t>彩石类矿石</t>
  </si>
  <si>
    <t>1020511020200000000</t>
  </si>
  <si>
    <t>379</t>
  </si>
  <si>
    <t>玛瑙</t>
  </si>
  <si>
    <t>1020511020100000000</t>
  </si>
  <si>
    <t>380</t>
  </si>
  <si>
    <t>其他玉石</t>
  </si>
  <si>
    <t>1020511029900000000</t>
  </si>
  <si>
    <t>381</t>
  </si>
  <si>
    <t>有机宝石</t>
  </si>
  <si>
    <t>1020511010200000000</t>
  </si>
  <si>
    <t>382</t>
  </si>
  <si>
    <t>黄玉</t>
  </si>
  <si>
    <t>1020511010102000000</t>
  </si>
  <si>
    <t>383</t>
  </si>
  <si>
    <t>碧玺</t>
  </si>
  <si>
    <t>1020511010103000000</t>
  </si>
  <si>
    <t>384</t>
  </si>
  <si>
    <t>其他天然宝石矿石</t>
  </si>
  <si>
    <t>1020511010199000000</t>
  </si>
  <si>
    <t>385</t>
  </si>
  <si>
    <t>宝石级金刚石</t>
  </si>
  <si>
    <t>1020511010101000000</t>
  </si>
  <si>
    <t>386</t>
  </si>
  <si>
    <t>云母</t>
  </si>
  <si>
    <t>1020508000000000000</t>
  </si>
  <si>
    <t>387</t>
  </si>
  <si>
    <t>工业用电气石</t>
  </si>
  <si>
    <t>1020599190000000000</t>
  </si>
  <si>
    <t>388</t>
  </si>
  <si>
    <t>透闪石</t>
  </si>
  <si>
    <t>1020599180000000000</t>
  </si>
  <si>
    <t>389</t>
  </si>
  <si>
    <t>蛭石</t>
  </si>
  <si>
    <t>1020599170000000000</t>
  </si>
  <si>
    <t>390</t>
  </si>
  <si>
    <t>刚玉</t>
  </si>
  <si>
    <t>1020599070000000000</t>
  </si>
  <si>
    <t>391</t>
  </si>
  <si>
    <t>颜料矿物</t>
  </si>
  <si>
    <t>1020599090000000000</t>
  </si>
  <si>
    <t>392</t>
  </si>
  <si>
    <t>沸石</t>
  </si>
  <si>
    <t>1020599150000000000</t>
  </si>
  <si>
    <t>393</t>
  </si>
  <si>
    <t>陶瓷土</t>
  </si>
  <si>
    <t>1020599100000000000</t>
  </si>
  <si>
    <t>394</t>
  </si>
  <si>
    <t>珍珠岩</t>
  </si>
  <si>
    <t>1020599140000000000</t>
  </si>
  <si>
    <t>395</t>
  </si>
  <si>
    <t>长石</t>
  </si>
  <si>
    <t>1020599060000000000</t>
  </si>
  <si>
    <t>396</t>
  </si>
  <si>
    <t>粉石英</t>
  </si>
  <si>
    <t>1020599030000000000</t>
  </si>
  <si>
    <t>397</t>
  </si>
  <si>
    <t>硅灰石</t>
  </si>
  <si>
    <t>1020599120000000000</t>
  </si>
  <si>
    <t>398</t>
  </si>
  <si>
    <t>脉石英</t>
  </si>
  <si>
    <t>1020599020000000000</t>
  </si>
  <si>
    <t>399</t>
  </si>
  <si>
    <t>白垩</t>
  </si>
  <si>
    <t>1020599200000000000</t>
  </si>
  <si>
    <t>400</t>
  </si>
  <si>
    <t>石榴子石</t>
  </si>
  <si>
    <t>1020599210000000000</t>
  </si>
  <si>
    <t>401</t>
  </si>
  <si>
    <t>蓝石棉</t>
  </si>
  <si>
    <t>1020599220000000000</t>
  </si>
  <si>
    <t>402</t>
  </si>
  <si>
    <t>天然石英砂</t>
  </si>
  <si>
    <t>1020599010000000000</t>
  </si>
  <si>
    <t>403</t>
  </si>
  <si>
    <t>工业用金刚石</t>
  </si>
  <si>
    <t>1020599050000000000</t>
  </si>
  <si>
    <t>404</t>
  </si>
  <si>
    <t>透辉石</t>
  </si>
  <si>
    <t>1020599130000000000</t>
  </si>
  <si>
    <t>405</t>
  </si>
  <si>
    <t>叶腊石</t>
  </si>
  <si>
    <t>1020599110000000000</t>
  </si>
  <si>
    <t>406</t>
  </si>
  <si>
    <t>方解石</t>
  </si>
  <si>
    <t>1020599160000000000</t>
  </si>
  <si>
    <t>407</t>
  </si>
  <si>
    <t>水晶</t>
  </si>
  <si>
    <t>1020599040000000000</t>
  </si>
  <si>
    <t>408</t>
  </si>
  <si>
    <t>菱镁矿</t>
  </si>
  <si>
    <t>1020599080000000000</t>
  </si>
  <si>
    <t>409</t>
  </si>
  <si>
    <t>原盐</t>
  </si>
  <si>
    <t>1020506990000000000</t>
  </si>
  <si>
    <t>其他原盐</t>
  </si>
  <si>
    <t>410</t>
  </si>
  <si>
    <t>钾盐</t>
  </si>
  <si>
    <t>1020506040000000000</t>
  </si>
  <si>
    <t>411</t>
  </si>
  <si>
    <t>井矿盐</t>
  </si>
  <si>
    <t>1020506030000000000</t>
  </si>
  <si>
    <t>412</t>
  </si>
  <si>
    <t>镁盐</t>
  </si>
  <si>
    <t>1020506050000000000</t>
  </si>
  <si>
    <t>413</t>
  </si>
  <si>
    <t>湖盐</t>
  </si>
  <si>
    <t>1020506020000000000</t>
  </si>
  <si>
    <t>414</t>
  </si>
  <si>
    <t>锂盐</t>
  </si>
  <si>
    <t>1020506060000000000</t>
  </si>
  <si>
    <t>415</t>
  </si>
  <si>
    <t>天然卤水</t>
  </si>
  <si>
    <t>1020506070000000000</t>
  </si>
  <si>
    <t>416</t>
  </si>
  <si>
    <t>海盐</t>
  </si>
  <si>
    <t>1020506010000000000</t>
  </si>
  <si>
    <t>417</t>
  </si>
  <si>
    <t>其他矿产品</t>
  </si>
  <si>
    <t>硫化氢气</t>
  </si>
  <si>
    <t>1020601020000000000</t>
  </si>
  <si>
    <t>418</t>
  </si>
  <si>
    <t>氡气</t>
  </si>
  <si>
    <t>1020601040000000000</t>
  </si>
  <si>
    <t>419</t>
  </si>
  <si>
    <t>氦气</t>
  </si>
  <si>
    <t>1020601030000000000</t>
  </si>
  <si>
    <t>420</t>
  </si>
  <si>
    <t>矿泉水（矿类）</t>
  </si>
  <si>
    <t>1020601050000000000</t>
  </si>
  <si>
    <t>在特定地质环境条件下自然形成的一种液态矿产资源，是从地下深处自然涌出或经人工揭露的未受污染的地下矿水。</t>
  </si>
  <si>
    <t>421</t>
  </si>
  <si>
    <t>二氧化碳气</t>
  </si>
  <si>
    <t>1020601010000000000</t>
  </si>
  <si>
    <t>422</t>
  </si>
  <si>
    <t>地热</t>
  </si>
  <si>
    <t>1020602000000000000</t>
  </si>
  <si>
    <t>423</t>
  </si>
  <si>
    <t>食品、饮料、烟、酒类产品</t>
  </si>
  <si>
    <t>农副食品，动、植物油制品</t>
  </si>
  <si>
    <t>谷物细粉</t>
  </si>
  <si>
    <t>1030101010000000000</t>
  </si>
  <si>
    <t>小麦粉</t>
  </si>
  <si>
    <t>城市生活垃圾（MSW）</t>
  </si>
  <si>
    <t>424</t>
  </si>
  <si>
    <t>1030101020000000000</t>
  </si>
  <si>
    <t>大米粉</t>
  </si>
  <si>
    <t>425</t>
  </si>
  <si>
    <t>1030101990000000000</t>
  </si>
  <si>
    <t>其他谷物细粉</t>
  </si>
  <si>
    <t>426</t>
  </si>
  <si>
    <t>谷物加工品</t>
  </si>
  <si>
    <t>1030102010100000000</t>
  </si>
  <si>
    <t>大米</t>
  </si>
  <si>
    <t>427</t>
  </si>
  <si>
    <t>1030102010200000000</t>
  </si>
  <si>
    <t>小米</t>
  </si>
  <si>
    <t>428</t>
  </si>
  <si>
    <t>1030102010300000000</t>
  </si>
  <si>
    <t>糯米</t>
  </si>
  <si>
    <t>429</t>
  </si>
  <si>
    <t>1030102010400000000</t>
  </si>
  <si>
    <t>高粱米</t>
  </si>
  <si>
    <t>430</t>
  </si>
  <si>
    <t>1030102010500000000</t>
  </si>
  <si>
    <t>脱壳燕麦</t>
  </si>
  <si>
    <t>指已脱壳但未去皮的燕麦。</t>
  </si>
  <si>
    <t>431</t>
  </si>
  <si>
    <t>1030102010600000000</t>
  </si>
  <si>
    <t>脱壳青稞</t>
  </si>
  <si>
    <t>432</t>
  </si>
  <si>
    <t>1030102010700000000</t>
  </si>
  <si>
    <t>珠粒大麦</t>
  </si>
  <si>
    <t>433</t>
  </si>
  <si>
    <t>1030102019900000000</t>
  </si>
  <si>
    <t>其他碾磨、脱壳谷物</t>
  </si>
  <si>
    <t>434</t>
  </si>
  <si>
    <t>1030102020000000000</t>
  </si>
  <si>
    <t>粗磨谷物</t>
  </si>
  <si>
    <t>包括谷物去壳谷粉、粗粉及团粒。</t>
  </si>
  <si>
    <t>435</t>
  </si>
  <si>
    <t>1030102030000000000</t>
  </si>
  <si>
    <t>谷物加工制品</t>
  </si>
  <si>
    <t>包括燕麦片、大麦片、玉米片，谷物胚芽等。</t>
  </si>
  <si>
    <t>436</t>
  </si>
  <si>
    <t>薯豆加工品</t>
  </si>
  <si>
    <t>1030103010000000000</t>
  </si>
  <si>
    <t>薯类及类似植物加工品</t>
  </si>
  <si>
    <t>不包括用以上原料制得的淀粉（详见1030112）</t>
  </si>
  <si>
    <t>437</t>
  </si>
  <si>
    <t>1030103020000000000</t>
  </si>
  <si>
    <t>干豆粉</t>
  </si>
  <si>
    <t>包括菜豆、扁豆、豇豆或兵豆制得的细粉、粗粉及粉末，主要用于做汤或豆泥</t>
  </si>
  <si>
    <t>438</t>
  </si>
  <si>
    <t>植物加工品</t>
  </si>
  <si>
    <t>1030103030000000000</t>
  </si>
  <si>
    <t>水果、坚果粉</t>
  </si>
  <si>
    <t>439</t>
  </si>
  <si>
    <t>1030103990000000000</t>
  </si>
  <si>
    <t>其他植物加工品</t>
  </si>
  <si>
    <t>包括碾碎的干小麦</t>
  </si>
  <si>
    <t>440</t>
  </si>
  <si>
    <t>饲料</t>
  </si>
  <si>
    <t>1030104010000000000</t>
  </si>
  <si>
    <t>指配制的动物饲料，除豆粕（详见103010407）以外的单一大宗饲料。</t>
  </si>
  <si>
    <t>441</t>
  </si>
  <si>
    <t>1030104020000000000</t>
  </si>
  <si>
    <t>饲料添加剂</t>
  </si>
  <si>
    <t>指动物饲料专用添加剂，也称“预配料”，一般说来，是由多种物质（有时称为添加剂）混合组成</t>
  </si>
  <si>
    <t>442</t>
  </si>
  <si>
    <t>1030104030000000000</t>
  </si>
  <si>
    <t>动物源性饲料</t>
  </si>
  <si>
    <t>指不适于供人食用的肉及其他动物的渣粉及团粒细粉、粗粉及团粒，主要用作动物饲料，也有用于其他方面（例如，做肥料）</t>
  </si>
  <si>
    <t>443</t>
  </si>
  <si>
    <t>1030104040000000000</t>
  </si>
  <si>
    <t>饲料用植物根粉</t>
  </si>
  <si>
    <t>指饲料甜菜、饲料萝卜、饲料胡萝卜（白色或淡黄色）、芜菁甘蓝及其他饲料用根磨制成粉或团粒</t>
  </si>
  <si>
    <t>444</t>
  </si>
  <si>
    <t>1030104050000000000</t>
  </si>
  <si>
    <t>饲料用水产品渣粉</t>
  </si>
  <si>
    <t>指非食用鱼、甲壳及软体动物等的渣粉及团粒</t>
  </si>
  <si>
    <t>445</t>
  </si>
  <si>
    <t>1030104060000000000</t>
  </si>
  <si>
    <t>豆粕</t>
  </si>
  <si>
    <t>豆粕是大豆提取豆油后得到的一种副产品，豆粕是制作牲畜与家禽饲料的主要原料</t>
  </si>
  <si>
    <t>446</t>
  </si>
  <si>
    <t>植物油</t>
  </si>
  <si>
    <t>1030105010100000000</t>
  </si>
  <si>
    <t>大豆油</t>
  </si>
  <si>
    <t>447</t>
  </si>
  <si>
    <t>1030105010200000000</t>
  </si>
  <si>
    <t>棕榈油</t>
  </si>
  <si>
    <t>448</t>
  </si>
  <si>
    <t>1030105010300000000</t>
  </si>
  <si>
    <t>菜籽油</t>
  </si>
  <si>
    <t>449</t>
  </si>
  <si>
    <t>1030105010400000000</t>
  </si>
  <si>
    <t>其他食用植物油</t>
  </si>
  <si>
    <t>包括花生油、牡丹籽油等</t>
  </si>
  <si>
    <t>450</t>
  </si>
  <si>
    <t>1030105010500000000</t>
  </si>
  <si>
    <t>食用植物油脂</t>
  </si>
  <si>
    <t>451</t>
  </si>
  <si>
    <t>1030105020100000000</t>
  </si>
  <si>
    <t>茴油、毛椰子油</t>
  </si>
  <si>
    <t>452</t>
  </si>
  <si>
    <t>1030105029900000000</t>
  </si>
  <si>
    <t>其他非食用植物油</t>
  </si>
  <si>
    <t>453</t>
  </si>
  <si>
    <t>1030105030000000000</t>
  </si>
  <si>
    <t>植物油分离制品</t>
  </si>
  <si>
    <t>454</t>
  </si>
  <si>
    <t>1030105040000000000</t>
  </si>
  <si>
    <t>植物油脂加工产品</t>
  </si>
  <si>
    <t>455</t>
  </si>
  <si>
    <t>糖</t>
  </si>
  <si>
    <t>1030106010000000000</t>
  </si>
  <si>
    <t>原糖</t>
  </si>
  <si>
    <t>未加香料或着色剂</t>
  </si>
  <si>
    <t>456</t>
  </si>
  <si>
    <t>1030106020000000000</t>
  </si>
  <si>
    <t>成品糖</t>
  </si>
  <si>
    <t>457</t>
  </si>
  <si>
    <t>1030106030000000000</t>
  </si>
  <si>
    <t>加工糖</t>
  </si>
  <si>
    <t>458</t>
  </si>
  <si>
    <t>1030106040000000000</t>
  </si>
  <si>
    <t>制糖副产品</t>
  </si>
  <si>
    <t>459</t>
  </si>
  <si>
    <t>肉及肉制品</t>
  </si>
  <si>
    <t>1030107010100000000</t>
  </si>
  <si>
    <t>猪、牛、羊、鸡、鸭、鹅鲜、冷、冻肉</t>
  </si>
  <si>
    <t>460</t>
  </si>
  <si>
    <t>1030107019900000000</t>
  </si>
  <si>
    <t>其他鲜、冷、冻肉</t>
  </si>
  <si>
    <t>461</t>
  </si>
  <si>
    <t>1030107020000000000</t>
  </si>
  <si>
    <t>动物肠衣</t>
  </si>
  <si>
    <t>包括动物的肠、肚、膀胱、皮囊或类似肠衣</t>
  </si>
  <si>
    <t>462</t>
  </si>
  <si>
    <t>1030107030000000000</t>
  </si>
  <si>
    <t>可食用动物杂碎</t>
  </si>
  <si>
    <t>463</t>
  </si>
  <si>
    <t>1030107040000000000</t>
  </si>
  <si>
    <t>动物油脂及加工制品</t>
  </si>
  <si>
    <t>464</t>
  </si>
  <si>
    <t>1030107050000000000</t>
  </si>
  <si>
    <t>动物精及汁</t>
  </si>
  <si>
    <t>肉“精”用于制造某些配制食品，例如，汤料（不论是否浓缩）及调味汁；而“汁”主要作为营养食品</t>
  </si>
  <si>
    <t>465</t>
  </si>
  <si>
    <t>熟肉制品</t>
  </si>
  <si>
    <t>1030108010000000000</t>
  </si>
  <si>
    <t>蒸煮香肠制品</t>
  </si>
  <si>
    <t>包括各类香肠、发酵香肠、高温蒸煮火腿肠、法兰克福肠、肉粉肠、肉粉肚、软包装肉类罐头等</t>
  </si>
  <si>
    <t>466</t>
  </si>
  <si>
    <t>1030108020000000000</t>
  </si>
  <si>
    <t>熏肉制品</t>
  </si>
  <si>
    <t>467</t>
  </si>
  <si>
    <t>1030108030000000000</t>
  </si>
  <si>
    <t>酱卤烧烤肉制品</t>
  </si>
  <si>
    <t>指经煮（不包括烫洗或类似处理）、蒸、烤、炒或其他方法烹饪的肉或食用杂碎；包括各类酱肉、扒鸡、烧鸡、烤鸭、酱肘子、卤肉、卤下货、盐水鸭、叫花鸡、叉烧肉</t>
  </si>
  <si>
    <t>468</t>
  </si>
  <si>
    <t>1030108040000000000</t>
  </si>
  <si>
    <t>腌腊肉制品</t>
  </si>
  <si>
    <t>指干、盐腌或盐渍的肉及杂碎；包括各类火腿、腊肉、腊肠、板鸭、腊乳猪、咸肉、酱封肉</t>
  </si>
  <si>
    <t>469</t>
  </si>
  <si>
    <t>1030108050000000000</t>
  </si>
  <si>
    <t>干炸肉制品</t>
  </si>
  <si>
    <t>指经煎、炸、炒或其他方法烹饪的肉或食用杂碎；包括各类风干肉、肉干、肉松、肉脯及各类油炸肉制品</t>
  </si>
  <si>
    <t>470</t>
  </si>
  <si>
    <t>1030108990000000000</t>
  </si>
  <si>
    <t>其他熟肉制品</t>
  </si>
  <si>
    <t>包括未列明制作的肉、食用杂碎及动物血熟制品</t>
  </si>
  <si>
    <t>471</t>
  </si>
  <si>
    <t>水产加工品</t>
  </si>
  <si>
    <t>1030109010000000000</t>
  </si>
  <si>
    <t>冷冻水产品</t>
  </si>
  <si>
    <t>472</t>
  </si>
  <si>
    <t>1030109020000000000</t>
  </si>
  <si>
    <t>干制水产品</t>
  </si>
  <si>
    <t>473</t>
  </si>
  <si>
    <t>1030109030000000000</t>
  </si>
  <si>
    <t>腌渍水产品</t>
  </si>
  <si>
    <t>包括盐腌渍的鱼及可食用的鱼粉和粒</t>
  </si>
  <si>
    <t>474</t>
  </si>
  <si>
    <t>1030109040000000000</t>
  </si>
  <si>
    <t>熏制水产品</t>
  </si>
  <si>
    <t>475</t>
  </si>
  <si>
    <t>1030109050000000000</t>
  </si>
  <si>
    <t>鱼糜（熟肉）制品</t>
  </si>
  <si>
    <t>经煮、蒸、烤、煎、炸、炒或用醋、油等其他方法制作或保藏的可直接食用，或简单加工即可食用的水生动物制品，不包括罐头制品（详见1030205）</t>
  </si>
  <si>
    <t>476</t>
  </si>
  <si>
    <t>1030109060000000000</t>
  </si>
  <si>
    <t>甲壳水产品加工品</t>
  </si>
  <si>
    <t>经煮、蒸、烤、煎、炸、炒或用醋、油等其他方法制作或保藏的甲壳水生动物熟制品，可直接食用，或简单加工即可食用的水生动物制品，不包括罐头制品（详见1030205）</t>
  </si>
  <si>
    <t>477</t>
  </si>
  <si>
    <t>1030109070000000000</t>
  </si>
  <si>
    <t>水产品精、汁制品</t>
  </si>
  <si>
    <t>478</t>
  </si>
  <si>
    <t>1030109080000000000</t>
  </si>
  <si>
    <t>水产品油脂制品</t>
  </si>
  <si>
    <t>包括鱼或海生哺乳动物的油、脂及其分离品</t>
  </si>
  <si>
    <t>479</t>
  </si>
  <si>
    <t>1030109990000000000</t>
  </si>
  <si>
    <t>其他水产加工品</t>
  </si>
  <si>
    <t>480</t>
  </si>
  <si>
    <t>蔬菜加工品</t>
  </si>
  <si>
    <t>1030110010000000000</t>
  </si>
  <si>
    <t>冷冻蔬菜</t>
  </si>
  <si>
    <t>冷冻蔬菜通常是以工业速冻法制得</t>
  </si>
  <si>
    <t>481</t>
  </si>
  <si>
    <t>1030110020000000000</t>
  </si>
  <si>
    <t>暂时保藏蔬菜（原料）</t>
  </si>
  <si>
    <t>指适用于在运输或贮存时，仅为暂时保藏而进行处理（例如，存于二氧化硫气体、盐水、亚硫酸水或其他防腐液中），但不适于直接食用的蔬菜，主要用作食品工业的原材料</t>
  </si>
  <si>
    <t>482</t>
  </si>
  <si>
    <t>1030110030000000000</t>
  </si>
  <si>
    <t>干制蔬菜（脱水蔬菜）</t>
  </si>
  <si>
    <t>指经干制（包括脱水、蒸干或冻干），即用各种方法使其所含天然水分去掉的蔬菜；包括干制蔬菜、干菜碎片或干菜粉</t>
  </si>
  <si>
    <t>483</t>
  </si>
  <si>
    <t>1030110040000000000</t>
  </si>
  <si>
    <t>腌渍菜</t>
  </si>
  <si>
    <t>包括酱腌渍菜、盐渍菜、清水渍菜及其他腌渍菜</t>
  </si>
  <si>
    <t>484</t>
  </si>
  <si>
    <t>果类加工品</t>
  </si>
  <si>
    <t>1030111010000000000</t>
  </si>
  <si>
    <t>冷冻水果及坚果</t>
  </si>
  <si>
    <t>通常是以工业速冻法制得；包括冻前蒸过或用水煮过的水果及坚果</t>
  </si>
  <si>
    <t>485</t>
  </si>
  <si>
    <t>1030111020000000000</t>
  </si>
  <si>
    <t>水果酱</t>
  </si>
  <si>
    <t>不包括罐头（详见1030205）。</t>
  </si>
  <si>
    <t>486</t>
  </si>
  <si>
    <t>1030111030000000000</t>
  </si>
  <si>
    <t>坚果酱</t>
  </si>
  <si>
    <t>487</t>
  </si>
  <si>
    <t>1030111040000000000</t>
  </si>
  <si>
    <t>果泥</t>
  </si>
  <si>
    <t>488</t>
  </si>
  <si>
    <t>1030111050000000000</t>
  </si>
  <si>
    <t>果膏及类似制品</t>
  </si>
  <si>
    <t>489</t>
  </si>
  <si>
    <t>1030111060000000000</t>
  </si>
  <si>
    <t>果核及核仁</t>
  </si>
  <si>
    <t>指直接或间接供人食用的果核、果仁及其他植物产品。</t>
  </si>
  <si>
    <t>490</t>
  </si>
  <si>
    <t>1030111070000000000</t>
  </si>
  <si>
    <t>焙、炒加工坚果及果仁</t>
  </si>
  <si>
    <t>指干炒、用油或脂肪烘炒的杏仁、花生、槟榔子及其他坚果，不论是否含或裹植物油、盐、香料、调味香料及其他添加剂</t>
  </si>
  <si>
    <t>491</t>
  </si>
  <si>
    <t>1030111080000000000</t>
  </si>
  <si>
    <t>蒸煮加工坚果及果仁</t>
  </si>
  <si>
    <t>492</t>
  </si>
  <si>
    <t>1030111090000000000</t>
  </si>
  <si>
    <t>暂时保藏水果及坚果（原料）</t>
  </si>
  <si>
    <t>指使用二氧化硫气体、盐水、亚硫酸水或其他防腐液暂时保藏的水果及坚果，不适于直接食用，主要用于食品工业（制果酱、蜜饯水果等）</t>
  </si>
  <si>
    <t>493</t>
  </si>
  <si>
    <t>1030111990000000000</t>
  </si>
  <si>
    <t>其他水果、坚果加工品</t>
  </si>
  <si>
    <t>指其他方法制作或保藏的水果，包括各种水果干；但不包括水果罐头（详见1030205）。</t>
  </si>
  <si>
    <t>494</t>
  </si>
  <si>
    <t>淀粉制品</t>
  </si>
  <si>
    <t>1030112010100000000</t>
  </si>
  <si>
    <t>小麦淀粉</t>
  </si>
  <si>
    <t>495</t>
  </si>
  <si>
    <t>1030112010200000000</t>
  </si>
  <si>
    <t>玉米淀粉</t>
  </si>
  <si>
    <t>496</t>
  </si>
  <si>
    <t>1030112010300000000</t>
  </si>
  <si>
    <t>马铃薯淀粉</t>
  </si>
  <si>
    <t>497</t>
  </si>
  <si>
    <t>1030112019900000000</t>
  </si>
  <si>
    <t>其他淀粉</t>
  </si>
  <si>
    <t>498</t>
  </si>
  <si>
    <t>1030112020000000000</t>
  </si>
  <si>
    <t>菊粉</t>
  </si>
  <si>
    <t>菊粉从菊芋、大丽花根及菊苣根提取而得；经长时间在沸水中煎煮水解后成为果糖（左旋糖）</t>
  </si>
  <si>
    <t>499</t>
  </si>
  <si>
    <t>1030112030000000000</t>
  </si>
  <si>
    <t>淀粉制品是以淀粉为原料，经过机械的、化学的或生化工艺的加工而制成的产品。</t>
  </si>
  <si>
    <t>500</t>
  </si>
  <si>
    <t>1030112040000000000</t>
  </si>
  <si>
    <t>淀粉糖</t>
  </si>
  <si>
    <t>利用含淀粉的粮食、薯类等为原料，经过酸法、酸酶法或酶法制取的糖</t>
  </si>
  <si>
    <t>501</t>
  </si>
  <si>
    <t>1030112050000000000</t>
  </si>
  <si>
    <t>面筋</t>
  </si>
  <si>
    <t>面筋是用面粉通过简单水分法使其与其他成分（淀粉等）分离制得</t>
  </si>
  <si>
    <t>502</t>
  </si>
  <si>
    <t>1030112060000000000</t>
  </si>
  <si>
    <t>糊精及改性淀粉</t>
  </si>
  <si>
    <t>即淀粉经热、化学品（例如，酸、碱）或淀粉酶的作用而转化的产品，及经氧化、酯化、醚化等处理的改性淀粉</t>
  </si>
  <si>
    <t>503</t>
  </si>
  <si>
    <t>1030112990000000000</t>
  </si>
  <si>
    <t>其他淀粉及淀粉制品</t>
  </si>
  <si>
    <t>504</t>
  </si>
  <si>
    <t>豆制品</t>
  </si>
  <si>
    <t>1030113010000000000</t>
  </si>
  <si>
    <t>水豆腐</t>
  </si>
  <si>
    <t>505</t>
  </si>
  <si>
    <t>1030113020000000000</t>
  </si>
  <si>
    <t>506</t>
  </si>
  <si>
    <t>1030113030000000000</t>
  </si>
  <si>
    <t>豆浆及豆浆粉</t>
  </si>
  <si>
    <t>507</t>
  </si>
  <si>
    <t>蛋制品</t>
  </si>
  <si>
    <t>1030114010000000000</t>
  </si>
  <si>
    <t>鸡鸭鹅蛋品</t>
  </si>
  <si>
    <t>508</t>
  </si>
  <si>
    <t>1030114020000000000</t>
  </si>
  <si>
    <t>其他蛋品</t>
  </si>
  <si>
    <t>509</t>
  </si>
  <si>
    <t>1030114030000000000</t>
  </si>
  <si>
    <t>再制蛋</t>
  </si>
  <si>
    <t>包括腌蛋等经加工的蛋</t>
  </si>
  <si>
    <t>510</t>
  </si>
  <si>
    <t>1030114040000000000</t>
  </si>
  <si>
    <t>卵清蛋白</t>
  </si>
  <si>
    <t>卵清蛋白就是动物卵中的贮藏蛋白，一种糖蛋白，含有微量的磷，系卵清中蛋白质的主要成分</t>
  </si>
  <si>
    <t>511</t>
  </si>
  <si>
    <t>1030115000000000000</t>
  </si>
  <si>
    <t>植物蛋白</t>
  </si>
  <si>
    <t>512</t>
  </si>
  <si>
    <t>1030116000000000000</t>
  </si>
  <si>
    <t>微生物蛋白</t>
  </si>
  <si>
    <t>513</t>
  </si>
  <si>
    <t>农副食品</t>
  </si>
  <si>
    <t>1030199000000000000</t>
  </si>
  <si>
    <t>其他农副食品</t>
  </si>
  <si>
    <t>指其他未列明农副产品、加工产品</t>
  </si>
  <si>
    <t>514</t>
  </si>
  <si>
    <t>食品及加工盐</t>
  </si>
  <si>
    <t>焙烤食品</t>
  </si>
  <si>
    <t>1030201010000000000</t>
  </si>
  <si>
    <t>糕点</t>
  </si>
  <si>
    <t>515</t>
  </si>
  <si>
    <t>1030201020000000000</t>
  </si>
  <si>
    <t>面包</t>
  </si>
  <si>
    <t>516</t>
  </si>
  <si>
    <t>1030201030000000000</t>
  </si>
  <si>
    <t>饼干</t>
  </si>
  <si>
    <t>517</t>
  </si>
  <si>
    <t>1030201040000000000</t>
  </si>
  <si>
    <t>膨化食品</t>
  </si>
  <si>
    <t>指以谷物、薯类或豆类等为主要原料，经焙烤、油炸或挤压等方式膨化而制成的，具有一定膨化度的各类酥脆食品</t>
  </si>
  <si>
    <t>518</t>
  </si>
  <si>
    <t>1030201050000000000</t>
  </si>
  <si>
    <t>焙烤松脆食品</t>
  </si>
  <si>
    <t>指用玉米面、薯粉、其他谷物面团加奶酪、味精及盐调味，然后用植物油烹炸，制成后可即供食用；包括锅巴、炸薯片等类似食品</t>
  </si>
  <si>
    <t>519</t>
  </si>
  <si>
    <t>1030201990000000000</t>
  </si>
  <si>
    <t>其他焙烤食品</t>
  </si>
  <si>
    <t>520</t>
  </si>
  <si>
    <t>糖果类食品</t>
  </si>
  <si>
    <t>1030202010000000000</t>
  </si>
  <si>
    <t>糖果</t>
  </si>
  <si>
    <t>指不含巧克力的糖果</t>
  </si>
  <si>
    <t>521</t>
  </si>
  <si>
    <t>1030202020000000000</t>
  </si>
  <si>
    <t>巧克力</t>
  </si>
  <si>
    <t>指以可可制品（可可脂、可可液块或可可粉）、白砂糖和（或）甜味剂为主要原料，添加或不添加乳制品、食品添加剂，经特定工艺制成的固体食品；不包括用巧克力与其他食品按一定比例加工制成的巧克力制品（详见103020203）。</t>
  </si>
  <si>
    <t>522</t>
  </si>
  <si>
    <t>1030202030000000000</t>
  </si>
  <si>
    <t>巧克力制品</t>
  </si>
  <si>
    <t>指用巧克力与其他食品按一定比例加工制成的块、片、条、锭、丸、粒、粉等形状的固体食品</t>
  </si>
  <si>
    <t>523</t>
  </si>
  <si>
    <t>1030202040000000000</t>
  </si>
  <si>
    <t>代可可脂巧克力</t>
  </si>
  <si>
    <t>指以代可可脂、白砂糖和（或）甜味料为主要原料，添加或不添加可可制品（可可脂、可可液块或可可粉）、乳制品及食品添加剂，经特定工艺制成的在常温下保持固体状态，并具有巧克力风味及性状的食品</t>
  </si>
  <si>
    <t>524</t>
  </si>
  <si>
    <t>1030202050000000000</t>
  </si>
  <si>
    <t>代可可脂巧克力制品</t>
  </si>
  <si>
    <t>指用代可可脂巧克力与其他食品按一定比例加工制成的食品</t>
  </si>
  <si>
    <t>525</t>
  </si>
  <si>
    <t>1030202060000000000</t>
  </si>
  <si>
    <t>蜜饯</t>
  </si>
  <si>
    <t>526</t>
  </si>
  <si>
    <t>1030202070100000000</t>
  </si>
  <si>
    <t>果冻</t>
  </si>
  <si>
    <t>指以水、食糖和增稠剂等为原料，经溶胶、调配、灌装、杀菌、冷却等工序加工而成的胶冻食品。不包括果冻罐头（详见10302020702）。</t>
  </si>
  <si>
    <t>527</t>
  </si>
  <si>
    <t>1030202070200000000</t>
  </si>
  <si>
    <t>果冻罐头</t>
  </si>
  <si>
    <t>指将处理过的水果加水或不加水煮沸,经压榨、取汁、过滤、澄清后加入白砂糖、柠檬酸（或苹果酸）、果胶等配料,浓缩至可溶性固形物65%～70%装罐等工序制成的罐头产品；包括果汁果冻罐头[以一种或数种果汁混合,加入白砂糖、柠檬酸、增稠剂（或不加）等按比例调配后加热浓缩制成]，含果块（或果皮）的果冻罐头[以果汁、果块（或先用糖渍成透明的果皮）、白砂糖、柠檬酸、增稠剂等调配而成]。</t>
  </si>
  <si>
    <t>528</t>
  </si>
  <si>
    <t>方便食品</t>
  </si>
  <si>
    <t>1030203010000000000</t>
  </si>
  <si>
    <t>米、面制半成品</t>
  </si>
  <si>
    <t>指用谷物、薯类、杂粮类作物制作的方便半成品食品；包括面制半成品和米制半成品</t>
  </si>
  <si>
    <t>529</t>
  </si>
  <si>
    <t>1030203020000000000</t>
  </si>
  <si>
    <t>速冻食品</t>
  </si>
  <si>
    <t>530</t>
  </si>
  <si>
    <t>1030203030000000000</t>
  </si>
  <si>
    <t>即食方便食品</t>
  </si>
  <si>
    <t>指不需加工即可食用的熟制品</t>
  </si>
  <si>
    <t>531</t>
  </si>
  <si>
    <t>乳制品</t>
  </si>
  <si>
    <t>1030204010000000000</t>
  </si>
  <si>
    <t>液体乳</t>
  </si>
  <si>
    <t>指未浓缩的未加糖及加糖或其他甜物质、或其他物质的液体乳。不包括含乳饮料和植物蛋白饮料（详见103030703）。</t>
  </si>
  <si>
    <t>532</t>
  </si>
  <si>
    <t>1030204020000000000</t>
  </si>
  <si>
    <t>固体及半固体乳制品</t>
  </si>
  <si>
    <t>533</t>
  </si>
  <si>
    <t>罐头</t>
  </si>
  <si>
    <t>1030205010000000000</t>
  </si>
  <si>
    <t>畜肉类罐头</t>
  </si>
  <si>
    <t>包括清蒸类（如清蒸猪肉、原汁猪肉等），调味类（如红烧牛肉、五香牛肉、浓汁排骨等），腌制类（如火腿、午餐肉、咸牛肉等），烟熏类（如烟熏肋肉等），香肠类，内脏类（如猪舌、卤猪杂等）畜肉及其他动物肉罐头</t>
  </si>
  <si>
    <t>534</t>
  </si>
  <si>
    <t>1030205020000000000</t>
  </si>
  <si>
    <t>禽肉类罐头</t>
  </si>
  <si>
    <t>包括白烧类（如白烧鸡等），去骨类（如去骨鸡、去骨鸭等），调味类（如红烧鸡、咖喱鸭、炸子鸡、全鸡等）禽肉罐头</t>
  </si>
  <si>
    <t>535</t>
  </si>
  <si>
    <t>1030205030000000000</t>
  </si>
  <si>
    <t>水产动物类罐头</t>
  </si>
  <si>
    <t>包括油浸（熏制）类水产罐头（如油浸鲭鱼、油浸腌鳗鱼等），调味类水产罐头（如茄汁鲭鱼、葱烤鲫鱼、豆豉鲮鱼等），清蒸类水产罐头（如清蒸对虾、清蒸蟹、原汁贻贝等）</t>
  </si>
  <si>
    <t>536</t>
  </si>
  <si>
    <t>1030205040000000000</t>
  </si>
  <si>
    <t>蔬菜类罐头</t>
  </si>
  <si>
    <t>包括清渍类蔬菜罐头（如青刀豆、清水笋、清水荸荠、蘑菇等），醋渍类蔬菜罐头（如酸黄瓜、甜酸藠头等），盐渍（酱渍）类蔬菜罐头（如雪菜、香菜心等），调味类蔬菜罐头（如油焖笋、八宝斋等），蔬菜酱类罐头（如番茄汁、番茄酱、胡萝卜汁等）。不包括豆类制品（如茄汁黄豆等）罐头（详见103020509）。</t>
  </si>
  <si>
    <t>537</t>
  </si>
  <si>
    <t>1030205050000000000</t>
  </si>
  <si>
    <t>水果类罐头</t>
  </si>
  <si>
    <t>不包括浓缩果汁、果汁、果汁饮料等果汁类罐头（详见103030702）。</t>
  </si>
  <si>
    <t>538</t>
  </si>
  <si>
    <t>1030205060000000000</t>
  </si>
  <si>
    <t>果酱类罐头</t>
  </si>
  <si>
    <t>包括水果制果酱、果泥及果膏罐头</t>
  </si>
  <si>
    <t>539</t>
  </si>
  <si>
    <t>1030205070000000000</t>
  </si>
  <si>
    <t>干果和坚果类罐头</t>
  </si>
  <si>
    <t>指以符合要求的坚、干果原料，经挑选、去皮（壳）、油炸拌盐（糖或糖衣）后装罐而成的罐头产品</t>
  </si>
  <si>
    <t>540</t>
  </si>
  <si>
    <t>1030205080000000000</t>
  </si>
  <si>
    <t>谷物制品类罐头</t>
  </si>
  <si>
    <t>指经过处理后的谷类、干果及其他原料（桂圆、枸杞、蔬菜等）装罐制成的罐头产品</t>
  </si>
  <si>
    <t>541</t>
  </si>
  <si>
    <t>1030205090000000000</t>
  </si>
  <si>
    <t>豆类制品罐头</t>
  </si>
  <si>
    <t>542</t>
  </si>
  <si>
    <t>1030205100000000000</t>
  </si>
  <si>
    <t>汤类罐头</t>
  </si>
  <si>
    <t>指以符合要求的肉、禽、水产及蔬菜原料,经切块（片或丝）、烹调等加工后装罐而制成的罐头产品</t>
  </si>
  <si>
    <t>543</t>
  </si>
  <si>
    <t>1030205110000000000</t>
  </si>
  <si>
    <t>调味类罐头</t>
  </si>
  <si>
    <t>指以发酵面酱或番茄等为基料，加入多种辅料及香辛料加工制成各种不同口味的调味料，经装罐制成的罐头产品</t>
  </si>
  <si>
    <t>544</t>
  </si>
  <si>
    <t>1030205120000000000</t>
  </si>
  <si>
    <t>混合类罐头</t>
  </si>
  <si>
    <t>指将动物和植物类食品原料分别加工处理，经调配装罐制成的罐头产品</t>
  </si>
  <si>
    <t>545</t>
  </si>
  <si>
    <t>1030205130000000000</t>
  </si>
  <si>
    <t>婴幼儿辅助食品类罐头</t>
  </si>
  <si>
    <t>指根据婴幼儿不同月龄营养素的要求，将食品原料经加工、研磨等处理制成的泥状罐头食品（如肝泥、菜泥、肉泥等）；均化混合食品指两种或两种以上的基本配料，例如，肉、鱼、蔬菜或果实等，经精细均化混合制成供婴幼儿食用或营养用的零售包装食品（每件净重不超过250克）；除以上基本配料外，这类食品可含有少量奶酪、蛋黄、淀粉、糊精、盐或维生素等。</t>
  </si>
  <si>
    <t>546</t>
  </si>
  <si>
    <t>1030205990000000000</t>
  </si>
  <si>
    <t>其他罐头</t>
  </si>
  <si>
    <t>不包括宠物饲料罐头（详见103010402）。</t>
  </si>
  <si>
    <t>547</t>
  </si>
  <si>
    <t>调味品</t>
  </si>
  <si>
    <t>1030206010000000000</t>
  </si>
  <si>
    <t>味精（谷氨酸钠）</t>
  </si>
  <si>
    <t>548</t>
  </si>
  <si>
    <t>1030206020000000000</t>
  </si>
  <si>
    <t>酱油及酱类制品</t>
  </si>
  <si>
    <t>549</t>
  </si>
  <si>
    <t>1030206030000000000</t>
  </si>
  <si>
    <t>醋及醋代用品</t>
  </si>
  <si>
    <t>550</t>
  </si>
  <si>
    <t>1030206040000000000</t>
  </si>
  <si>
    <t>复合调味品</t>
  </si>
  <si>
    <t>551</t>
  </si>
  <si>
    <t>发酵类制品</t>
  </si>
  <si>
    <t>1030207010000000000</t>
  </si>
  <si>
    <t>酵母</t>
  </si>
  <si>
    <t>552</t>
  </si>
  <si>
    <t>1030207020000000000</t>
  </si>
  <si>
    <t>食品用氨基酸</t>
  </si>
  <si>
    <t>不包括味精（谷氨酸钠）（详见103020601）。</t>
  </si>
  <si>
    <t>553</t>
  </si>
  <si>
    <t>1030207030000000000</t>
  </si>
  <si>
    <t>柠檬酸及其盐和酸酯</t>
  </si>
  <si>
    <t>554</t>
  </si>
  <si>
    <t>1030207040000000000</t>
  </si>
  <si>
    <t>食品用发酵有机酸</t>
  </si>
  <si>
    <t>包括苹果醋、梨醋或其他发酵水果醋</t>
  </si>
  <si>
    <t>555</t>
  </si>
  <si>
    <t>1030207050000000000</t>
  </si>
  <si>
    <t>食品用酶制剂</t>
  </si>
  <si>
    <t>由动物或植物的可食或非可食部分直接提取，或由传统或基因修饰的微生物（包括但不限于细菌、放射线、真菌菌种）发酵、提取制得，用于食品加工，具有特殊催化功能的生物制品</t>
  </si>
  <si>
    <t>556</t>
  </si>
  <si>
    <t>营养保健食品</t>
  </si>
  <si>
    <t>1030208010000000000</t>
  </si>
  <si>
    <t>婴幼儿用均化食品</t>
  </si>
  <si>
    <t>不包括罐头食品（详见103020513）。</t>
  </si>
  <si>
    <t>557</t>
  </si>
  <si>
    <t>1030208020000000000</t>
  </si>
  <si>
    <t>营养配餐食品</t>
  </si>
  <si>
    <t>直接供人食用或加工（例如用水或乳等烹煮、溶解）后供人食用的制品</t>
  </si>
  <si>
    <t>558</t>
  </si>
  <si>
    <t>1030208030000000000</t>
  </si>
  <si>
    <t>蜂蜜营养制品</t>
  </si>
  <si>
    <t>559</t>
  </si>
  <si>
    <t>1030208990000000000</t>
  </si>
  <si>
    <t>其他营养、保健食品</t>
  </si>
  <si>
    <t>560</t>
  </si>
  <si>
    <t>冷冻饮品</t>
  </si>
  <si>
    <t>1030209010000000000</t>
  </si>
  <si>
    <t>冰淇淋</t>
  </si>
  <si>
    <t>561</t>
  </si>
  <si>
    <t>1030209020000000000</t>
  </si>
  <si>
    <t>雪糕类</t>
  </si>
  <si>
    <t>562</t>
  </si>
  <si>
    <t>1030209030000000000</t>
  </si>
  <si>
    <t>冰棍</t>
  </si>
  <si>
    <t>也称棒冰</t>
  </si>
  <si>
    <t>563</t>
  </si>
  <si>
    <t>1030209040000000000</t>
  </si>
  <si>
    <t>甜味冰</t>
  </si>
  <si>
    <t>指以饮用水、食糖等为主要原料，可添加适量食品添加剂，经混合、灭菌、灌装、硬化等工艺制成的冷冻饮品；如甜橙味甜味冰、菠萝味甜味冰等</t>
  </si>
  <si>
    <t>564</t>
  </si>
  <si>
    <t>1030209050000000000</t>
  </si>
  <si>
    <t>雪泥</t>
  </si>
  <si>
    <t>指以饮用水、食糖等为主要原料，可添加适量食品添加剂，经混合、灭菌、凝冻、硬化等工艺制成的冰雪状的冷冻饮品</t>
  </si>
  <si>
    <t>565</t>
  </si>
  <si>
    <t>1030209060000000000</t>
  </si>
  <si>
    <t>食用冰</t>
  </si>
  <si>
    <t>指以饮用水为原料，经灭菌、注模、冻结、脱模、包装等工艺制成的冷冻饮品</t>
  </si>
  <si>
    <t>566</t>
  </si>
  <si>
    <t>1030209990000000000</t>
  </si>
  <si>
    <t>其他冷冻饮品</t>
  </si>
  <si>
    <t>指以上未包括的冷冻饮品；如冷冻饮品部分所占质量比例不低于50%的混合型制品；低脂冷冻饮品；低糖冷冻饮品；无糖冷冻饮品等</t>
  </si>
  <si>
    <t>567</t>
  </si>
  <si>
    <t>加工盐</t>
  </si>
  <si>
    <t>1030210010000000000</t>
  </si>
  <si>
    <t>食用盐</t>
  </si>
  <si>
    <t>568</t>
  </si>
  <si>
    <t>1030210020000000000</t>
  </si>
  <si>
    <t>非食用盐</t>
  </si>
  <si>
    <t>569</t>
  </si>
  <si>
    <t>食品添加剂</t>
  </si>
  <si>
    <t>1030211010000000000</t>
  </si>
  <si>
    <t>木糖</t>
  </si>
  <si>
    <t>570</t>
  </si>
  <si>
    <t>1030211990000000000</t>
  </si>
  <si>
    <t>其他食品添加剂</t>
  </si>
  <si>
    <t>571</t>
  </si>
  <si>
    <t>食品用原料</t>
  </si>
  <si>
    <t>1030212010000000000</t>
  </si>
  <si>
    <t>食品用原料粉</t>
  </si>
  <si>
    <t>572</t>
  </si>
  <si>
    <t>1030212020000000000</t>
  </si>
  <si>
    <t>饮料用原料</t>
  </si>
  <si>
    <t>573</t>
  </si>
  <si>
    <t>1030212030000000000</t>
  </si>
  <si>
    <t>植物液汁及浸膏</t>
  </si>
  <si>
    <t>574</t>
  </si>
  <si>
    <t>1030212040000000000</t>
  </si>
  <si>
    <t>糯米纸</t>
  </si>
  <si>
    <t>575</t>
  </si>
  <si>
    <t>1030212990000000000</t>
  </si>
  <si>
    <t>其他食品用类似原料</t>
  </si>
  <si>
    <t>576</t>
  </si>
  <si>
    <t>其他食品</t>
  </si>
  <si>
    <t>1030299000000000000</t>
  </si>
  <si>
    <t>577</t>
  </si>
  <si>
    <t>饮料、酒及酒精</t>
  </si>
  <si>
    <t>酒精</t>
  </si>
  <si>
    <t>1030301010000000000</t>
  </si>
  <si>
    <t>木质水解酒精</t>
  </si>
  <si>
    <t>578</t>
  </si>
  <si>
    <t>1030301990000000000</t>
  </si>
  <si>
    <t>其他酒精</t>
  </si>
  <si>
    <t>579</t>
  </si>
  <si>
    <t>酒</t>
  </si>
  <si>
    <t>1030302000000000000</t>
  </si>
  <si>
    <t>白酒</t>
  </si>
  <si>
    <t>580</t>
  </si>
  <si>
    <t>1030303010000000000</t>
  </si>
  <si>
    <t>每吨不超过3000元的啤酒</t>
  </si>
  <si>
    <t>581</t>
  </si>
  <si>
    <t>1030303020000000000</t>
  </si>
  <si>
    <t>每吨3000元（含）以上的啤酒</t>
  </si>
  <si>
    <t>582</t>
  </si>
  <si>
    <t>1030304000000000000</t>
  </si>
  <si>
    <t>黄酒</t>
  </si>
  <si>
    <t>583</t>
  </si>
  <si>
    <t>1030305000000000000</t>
  </si>
  <si>
    <t>葡萄酒</t>
  </si>
  <si>
    <t>指以新鲜葡萄或葡萄汁为原料，经全部或部分发酵酿制而成的、含有一定酒精度的发酵酒</t>
  </si>
  <si>
    <t>584</t>
  </si>
  <si>
    <t>1030306000000000000</t>
  </si>
  <si>
    <t>其他酒</t>
  </si>
  <si>
    <t>指以上未列明的酒</t>
  </si>
  <si>
    <t>585</t>
  </si>
  <si>
    <t>软饮料</t>
  </si>
  <si>
    <t>1030307010000000000</t>
  </si>
  <si>
    <t>碳酸型饮料（汽水）</t>
  </si>
  <si>
    <t>指在一定条件下充入二氧化碳气的饮料；包括果汁型、果味型、可乐型，以及其他型碳酸饮料</t>
  </si>
  <si>
    <t>586</t>
  </si>
  <si>
    <t>1030307020000000000</t>
  </si>
  <si>
    <t>果汁和蔬菜汁类饮料</t>
  </si>
  <si>
    <t>指用水果和（或）蔬菜（包括可食的根、茎、叶、花、果实）等为原料，经加工或发酵制成的饮料；包括果汁（浆）和蔬菜汁（浆）、浓缩果汁（浆）和浓缩蔬菜汁（浆）、果汁饮料和蔬菜汁饮料、果汁饮料浓浆和蔬菜汁饮料浓浆、复合果蔬汁（浆）及饮料、果肉饮料、发酵型果蔬汁饮料、水果饮料、其他果蔬汁饮料</t>
  </si>
  <si>
    <t>587</t>
  </si>
  <si>
    <t>1030307030000000000</t>
  </si>
  <si>
    <t>蛋白饮料</t>
  </si>
  <si>
    <t>指以乳或乳制品、或有一定蛋白质含量的植物的果实、种子或种仁等为原料，经加工或发酵制成的饮料；包括含乳饮料、植物蛋白饮料、复合蛋白饮料，以及其他未列明的蛋白饮料</t>
  </si>
  <si>
    <t>588</t>
  </si>
  <si>
    <t>1030307040000000000</t>
  </si>
  <si>
    <t>包装饮用水</t>
  </si>
  <si>
    <t>指密封于容器中可直接饮用的水</t>
  </si>
  <si>
    <t>589</t>
  </si>
  <si>
    <t>1030307050000000000</t>
  </si>
  <si>
    <t>茶饮料</t>
  </si>
  <si>
    <t>指以茶叶的水提取液或其浓缩液、茶粉等为原料，经加工制成的饮料</t>
  </si>
  <si>
    <t>590</t>
  </si>
  <si>
    <t>1030307060000000000</t>
  </si>
  <si>
    <t>咖啡饮料</t>
  </si>
  <si>
    <t>指以咖啡的水提取液或其浓缩液、速溶咖啡粉为原料，经加工制成的液体饮料；包括咖啡因含量≥400mg/kg的浓咖啡饮料，咖啡因含量200～400mg/kg的咖啡饮料，咖啡因含量≤50mg/kg的低咖啡因咖啡饮料，以及其他未列明的符合咖啡饮料基本技术要求的咖啡饮料。</t>
  </si>
  <si>
    <t>591</t>
  </si>
  <si>
    <t>1030307070000000000</t>
  </si>
  <si>
    <t>固体饮料</t>
  </si>
  <si>
    <t>指用食品原料、食品添加剂等加工制成粉末状、颗粒状或块状等固态料的供冲调饮用的制品[固体饮料在稀释冲调后应达到相应种类非固体饮料的技术指标和要求]；包括果汁粉、豆粉、茶粉、咖啡粉、果味型固体饮料、固态汽水（泡腾片）、姜汁粉等</t>
  </si>
  <si>
    <t>592</t>
  </si>
  <si>
    <t>1030307990000000000</t>
  </si>
  <si>
    <t>其他软饮料</t>
  </si>
  <si>
    <t>593</t>
  </si>
  <si>
    <t>茶</t>
  </si>
  <si>
    <t>1030308010000000000</t>
  </si>
  <si>
    <t>精制茶</t>
  </si>
  <si>
    <t>指对毛茶或半成品原料茶进行筛分、轧切、风选、干燥、匀堆、拼配等工序加工成的精茶</t>
  </si>
  <si>
    <t>594</t>
  </si>
  <si>
    <t>1030308020000000000</t>
  </si>
  <si>
    <t>茶制品</t>
  </si>
  <si>
    <t>595</t>
  </si>
  <si>
    <t>1030308030000000000</t>
  </si>
  <si>
    <t>边销茶</t>
  </si>
  <si>
    <t>指以黑毛茶、老青茶、红茶末、绿茶为主要原料，经过发酵、蒸制、加压或者压碎、炒制，专门销往边疆少数民族地区的紧压茶、方包茶(马茶)</t>
  </si>
  <si>
    <t>596</t>
  </si>
  <si>
    <t>饮料酒精原辅料</t>
  </si>
  <si>
    <t>1030309010000000000</t>
  </si>
  <si>
    <t>酒及酒精专用原辅料</t>
  </si>
  <si>
    <t>597</t>
  </si>
  <si>
    <t>1030309020000000000</t>
  </si>
  <si>
    <t>饮料专用原辅料</t>
  </si>
  <si>
    <t>598</t>
  </si>
  <si>
    <t>烟草制品</t>
  </si>
  <si>
    <t>1030401010000000000</t>
  </si>
  <si>
    <t>片烟</t>
  </si>
  <si>
    <t>经过打叶等方法进行去梗处理，已将直径大于1.5mm的烟梗去除后的烟叶</t>
  </si>
  <si>
    <t>599</t>
  </si>
  <si>
    <t>1030401020000000000</t>
  </si>
  <si>
    <t>烟梗</t>
  </si>
  <si>
    <t>烟叶的主脉</t>
  </si>
  <si>
    <t>600</t>
  </si>
  <si>
    <t>1030402010000000000</t>
  </si>
  <si>
    <t>甲类卷烟</t>
  </si>
  <si>
    <t>每标准条(200支)调拨价格在70元(不含增值税)以上(含70元)的卷烟</t>
  </si>
  <si>
    <t>601</t>
  </si>
  <si>
    <t>1030402020000000000</t>
  </si>
  <si>
    <t>乙类卷烟</t>
  </si>
  <si>
    <t>每标准条(200支)调拨价格在70元(不含增值税)以下的卷烟</t>
  </si>
  <si>
    <t>602</t>
  </si>
  <si>
    <t>1030402030000000000</t>
  </si>
  <si>
    <t>烟草代用品制的卷烟</t>
  </si>
  <si>
    <t>603</t>
  </si>
  <si>
    <t>1030403010000000000</t>
  </si>
  <si>
    <t>烟草制的雪茄烟</t>
  </si>
  <si>
    <t>604</t>
  </si>
  <si>
    <t>1030403020000000000</t>
  </si>
  <si>
    <t>烟草代用品制的雪茄烟</t>
  </si>
  <si>
    <t>605</t>
  </si>
  <si>
    <t>1030404000000000000</t>
  </si>
  <si>
    <t>烟丝</t>
  </si>
  <si>
    <t>由叶丝、梗丝、再造烟叶丝、膨胀烟丝、膨胀梗丝等组成的混合物，用于卷制卷烟</t>
  </si>
  <si>
    <t>606</t>
  </si>
  <si>
    <t>烟弹与烟具组合销售的电子烟产品</t>
  </si>
  <si>
    <t>1030405030000000000</t>
  </si>
  <si>
    <t>607</t>
  </si>
  <si>
    <t>电子烟（代加工）</t>
  </si>
  <si>
    <t>1030405040000000000</t>
  </si>
  <si>
    <t>608</t>
  </si>
  <si>
    <t>电子烟烟弹</t>
  </si>
  <si>
    <t>1030405010000000000</t>
  </si>
  <si>
    <t>609</t>
  </si>
  <si>
    <t>电子烟烟具</t>
  </si>
  <si>
    <t>1030405020000000000</t>
  </si>
  <si>
    <t>610</t>
  </si>
  <si>
    <t>卷烟</t>
  </si>
  <si>
    <t>1030402050101010116</t>
  </si>
  <si>
    <t>好猫（猴王磨砂）</t>
  </si>
  <si>
    <t>乙类卷烟（新）</t>
  </si>
  <si>
    <t>611</t>
  </si>
  <si>
    <t>1030402050101010117</t>
  </si>
  <si>
    <t>好猫（招财进宝）</t>
  </si>
  <si>
    <t>612</t>
  </si>
  <si>
    <t>1030402050101010118</t>
  </si>
  <si>
    <t>延安（硬）</t>
  </si>
  <si>
    <t>613</t>
  </si>
  <si>
    <t>1030402050101010119</t>
  </si>
  <si>
    <t>好猫（金猴王）</t>
  </si>
  <si>
    <t>614</t>
  </si>
  <si>
    <t>1030402050101010110</t>
  </si>
  <si>
    <t>红双喜（硬8mg）</t>
  </si>
  <si>
    <t>615</t>
  </si>
  <si>
    <t>1030402050101010111</t>
  </si>
  <si>
    <t>大前门（硬）</t>
  </si>
  <si>
    <t>616</t>
  </si>
  <si>
    <t>1030402050101010112</t>
  </si>
  <si>
    <t>红双喜（硬特）</t>
  </si>
  <si>
    <t>617</t>
  </si>
  <si>
    <t>1030402050101010113</t>
  </si>
  <si>
    <t>红双喜（硬百顺）</t>
  </si>
  <si>
    <t>618</t>
  </si>
  <si>
    <t>1030402050101010114</t>
  </si>
  <si>
    <t>孟菲斯（硬红）</t>
  </si>
  <si>
    <t>619</t>
  </si>
  <si>
    <t>1030402050101010115</t>
  </si>
  <si>
    <t>孟菲斯（硬蓝）</t>
  </si>
  <si>
    <t>620</t>
  </si>
  <si>
    <t>1030402050101010105</t>
  </si>
  <si>
    <t>红双喜（硬上海）</t>
  </si>
  <si>
    <t>621</t>
  </si>
  <si>
    <t>1030402050101010106</t>
  </si>
  <si>
    <t>红双喜（硬江山精品）</t>
  </si>
  <si>
    <t>622</t>
  </si>
  <si>
    <t>1030402050101010107</t>
  </si>
  <si>
    <t>红双喜（软8㎎）</t>
  </si>
  <si>
    <t>623</t>
  </si>
  <si>
    <t>1030402050101010108</t>
  </si>
  <si>
    <t>红双喜（硬）</t>
  </si>
  <si>
    <t>624</t>
  </si>
  <si>
    <t>1030402050101010109</t>
  </si>
  <si>
    <t>大前门（软）</t>
  </si>
  <si>
    <t>625</t>
  </si>
  <si>
    <t>1030402050101010101</t>
  </si>
  <si>
    <t>红双喜-硬江山精品</t>
  </si>
  <si>
    <t>626</t>
  </si>
  <si>
    <t>1030402050101010102</t>
  </si>
  <si>
    <t>红双喜-硬上海</t>
  </si>
  <si>
    <t>627</t>
  </si>
  <si>
    <t>1030402050101010103</t>
  </si>
  <si>
    <t>延安（硬红）</t>
  </si>
  <si>
    <t>628</t>
  </si>
  <si>
    <t>1030402050101010104</t>
  </si>
  <si>
    <t>延安（软）</t>
  </si>
  <si>
    <t>629</t>
  </si>
  <si>
    <t>1030402050101010141</t>
  </si>
  <si>
    <t>红塔山（硬新势力）</t>
  </si>
  <si>
    <t>630</t>
  </si>
  <si>
    <t>1030402050101010142</t>
  </si>
  <si>
    <t>云烟（软如意）</t>
  </si>
  <si>
    <t>631</t>
  </si>
  <si>
    <t>1030402050101010143</t>
  </si>
  <si>
    <t>雪莲（蓝精品）</t>
  </si>
  <si>
    <t>632</t>
  </si>
  <si>
    <t>1030402050101010144</t>
  </si>
  <si>
    <t>云烟（福）</t>
  </si>
  <si>
    <t>633</t>
  </si>
  <si>
    <t>1030402050101010138</t>
  </si>
  <si>
    <t>红塔山（软新）</t>
  </si>
  <si>
    <t>634</t>
  </si>
  <si>
    <t>1030402050101010139</t>
  </si>
  <si>
    <t>云烟（软紫）</t>
  </si>
  <si>
    <t>635</t>
  </si>
  <si>
    <t>636</t>
  </si>
  <si>
    <t>637</t>
  </si>
  <si>
    <t>638</t>
  </si>
  <si>
    <t>639</t>
  </si>
  <si>
    <t>1030402050101010130</t>
  </si>
  <si>
    <t>红河（软88）</t>
  </si>
  <si>
    <t>640</t>
  </si>
  <si>
    <t>1030402050101010131</t>
  </si>
  <si>
    <t>红河（小熊猫世纪风）</t>
  </si>
  <si>
    <t>641</t>
  </si>
  <si>
    <t>1030402050101010132</t>
  </si>
  <si>
    <t>红塔山（硬欣经典）</t>
  </si>
  <si>
    <t>642</t>
  </si>
  <si>
    <t>1030402050101010133</t>
  </si>
  <si>
    <t>红塔山（硬经典100）</t>
  </si>
  <si>
    <t>643</t>
  </si>
  <si>
    <t>1030402050101010134</t>
  </si>
  <si>
    <t>云烟（紫）</t>
  </si>
  <si>
    <t>644</t>
  </si>
  <si>
    <t>1030402050101010135</t>
  </si>
  <si>
    <t>红塔山（新时代）</t>
  </si>
  <si>
    <t>645</t>
  </si>
  <si>
    <t>1030402050101010136</t>
  </si>
  <si>
    <t>红塔山（大经典1956）</t>
  </si>
  <si>
    <t>646</t>
  </si>
  <si>
    <t>1030402050101010137</t>
  </si>
  <si>
    <t>威斯（小熊猫）</t>
  </si>
  <si>
    <t>647</t>
  </si>
  <si>
    <t>1030402050101010140</t>
  </si>
  <si>
    <t>红河（硬88）</t>
  </si>
  <si>
    <t>648</t>
  </si>
  <si>
    <t>1030402050101010127</t>
  </si>
  <si>
    <t>云烟（红）</t>
  </si>
  <si>
    <t>649</t>
  </si>
  <si>
    <t>1030402050101010128</t>
  </si>
  <si>
    <t>红塔山（软经典）</t>
  </si>
  <si>
    <t>650</t>
  </si>
  <si>
    <t>1030402050101010129</t>
  </si>
  <si>
    <t>红塔山（硬经典）</t>
  </si>
  <si>
    <t>651</t>
  </si>
  <si>
    <t>1030402050101010120</t>
  </si>
  <si>
    <t>红梅（软顺）</t>
  </si>
  <si>
    <t>652</t>
  </si>
  <si>
    <t>1030402050101010121</t>
  </si>
  <si>
    <t>红梅（软黄）</t>
  </si>
  <si>
    <t>653</t>
  </si>
  <si>
    <t>1030402050101010122</t>
  </si>
  <si>
    <t>红梅（硬黄）</t>
  </si>
  <si>
    <t>654</t>
  </si>
  <si>
    <t>1030402050101010123</t>
  </si>
  <si>
    <t>红河（软甲）</t>
  </si>
  <si>
    <t>655</t>
  </si>
  <si>
    <t>1030402050101010124</t>
  </si>
  <si>
    <t>红山茶（软）</t>
  </si>
  <si>
    <t>656</t>
  </si>
  <si>
    <t>1030402050101010125</t>
  </si>
  <si>
    <t>红河（硬）</t>
  </si>
  <si>
    <t>657</t>
  </si>
  <si>
    <t>1030402050101010126</t>
  </si>
  <si>
    <t>茶花（94mm）</t>
  </si>
  <si>
    <t>658</t>
  </si>
  <si>
    <t>1030402040101010222</t>
  </si>
  <si>
    <t>玉溪（中支和谐）</t>
  </si>
  <si>
    <t>甲类卷烟（新）</t>
  </si>
  <si>
    <t>659</t>
  </si>
  <si>
    <t>1030402040101010221</t>
  </si>
  <si>
    <t>云烟（软印象烟庄）</t>
  </si>
  <si>
    <t>660</t>
  </si>
  <si>
    <t>1030402040101010220</t>
  </si>
  <si>
    <t>玉溪（透明）</t>
  </si>
  <si>
    <t>661</t>
  </si>
  <si>
    <t>1030402040101010226</t>
  </si>
  <si>
    <t>玉溪（硬和谐）</t>
  </si>
  <si>
    <t>662</t>
  </si>
  <si>
    <t>1030402040101010225</t>
  </si>
  <si>
    <t>呼伦贝尔（草原牧歌）</t>
  </si>
  <si>
    <t>663</t>
  </si>
  <si>
    <t>1030402040101010224</t>
  </si>
  <si>
    <t>云烟（七彩印象）</t>
  </si>
  <si>
    <t>664</t>
  </si>
  <si>
    <t>1030402040101010223</t>
  </si>
  <si>
    <t>玉溪（硬金）</t>
  </si>
  <si>
    <t>665</t>
  </si>
  <si>
    <t>1030402040101010229</t>
  </si>
  <si>
    <t>云烟（雪域）</t>
  </si>
  <si>
    <t>666</t>
  </si>
  <si>
    <t>1030402040101010228</t>
  </si>
  <si>
    <t>玉溪（华叶）</t>
  </si>
  <si>
    <t>667</t>
  </si>
  <si>
    <t>1030402040101010227</t>
  </si>
  <si>
    <t>云烟（印象烟庄）</t>
  </si>
  <si>
    <t>668</t>
  </si>
  <si>
    <t>1030402040101010233</t>
  </si>
  <si>
    <t>钓鱼台（84mm细支）</t>
  </si>
  <si>
    <t>669</t>
  </si>
  <si>
    <t>1030402040101010232</t>
  </si>
  <si>
    <t>云烟（中支天眼）</t>
  </si>
  <si>
    <t>670</t>
  </si>
  <si>
    <t>1030402040101010231</t>
  </si>
  <si>
    <t>云烟（中支塞上好江南）</t>
  </si>
  <si>
    <t>671</t>
  </si>
  <si>
    <t>1030402040101010230</t>
  </si>
  <si>
    <t>玉溪-华叶</t>
  </si>
  <si>
    <t>672</t>
  </si>
  <si>
    <t>1030402040101010237</t>
  </si>
  <si>
    <t>红河（硬V8）</t>
  </si>
  <si>
    <t>673</t>
  </si>
  <si>
    <t>1030402040101010236</t>
  </si>
  <si>
    <t>云烟（香格里拉）</t>
  </si>
  <si>
    <t>674</t>
  </si>
  <si>
    <t>1030402040101010235</t>
  </si>
  <si>
    <t>呼伦贝尔（金戈铁马）</t>
  </si>
  <si>
    <t>675</t>
  </si>
  <si>
    <t>1030402040101010234</t>
  </si>
  <si>
    <t>钓鱼台（中支）</t>
  </si>
  <si>
    <t>676</t>
  </si>
  <si>
    <t>1030402040101010239</t>
  </si>
  <si>
    <t>云烟（百味人生）</t>
  </si>
  <si>
    <t>677</t>
  </si>
  <si>
    <t>1030402040101010238</t>
  </si>
  <si>
    <t>玉溪（细支庄园）</t>
  </si>
  <si>
    <t>678</t>
  </si>
  <si>
    <t>1030402040101010240</t>
  </si>
  <si>
    <t>玉溪（软小庄园）</t>
  </si>
  <si>
    <t>679</t>
  </si>
  <si>
    <t>1030402040101010244</t>
  </si>
  <si>
    <t>玉溪（中支华叶）</t>
  </si>
  <si>
    <t>680</t>
  </si>
  <si>
    <t>1030402040101010243</t>
  </si>
  <si>
    <t>玉溪（软境界）</t>
  </si>
  <si>
    <t>681</t>
  </si>
  <si>
    <t>1030402040101010242</t>
  </si>
  <si>
    <t>云烟（黑金刚印象）</t>
  </si>
  <si>
    <t>682</t>
  </si>
  <si>
    <t>1030402040101010241</t>
  </si>
  <si>
    <t>云烟（印象）</t>
  </si>
  <si>
    <t>683</t>
  </si>
  <si>
    <t>1030402040101010248</t>
  </si>
  <si>
    <t>云烟（软礼印象）</t>
  </si>
  <si>
    <t>684</t>
  </si>
  <si>
    <t>1030402040101010247</t>
  </si>
  <si>
    <t>云烟（软大重九）</t>
  </si>
  <si>
    <t>685</t>
  </si>
  <si>
    <t>1030402040101010246</t>
  </si>
  <si>
    <t>呼伦贝尔（金帐汗）</t>
  </si>
  <si>
    <t>686</t>
  </si>
  <si>
    <t>1030402040101010245</t>
  </si>
  <si>
    <t>云烟（小云端）</t>
  </si>
  <si>
    <t>687</t>
  </si>
  <si>
    <t>1030402040101010249</t>
  </si>
  <si>
    <t>红河（道）</t>
  </si>
  <si>
    <t>688</t>
  </si>
  <si>
    <t>1030402040101010251</t>
  </si>
  <si>
    <t>雪莲（岁月）</t>
  </si>
  <si>
    <t>689</t>
  </si>
  <si>
    <t>1030402040101010250</t>
  </si>
  <si>
    <t>钓鱼台（硬景泰蓝94mm）</t>
  </si>
  <si>
    <t>690</t>
  </si>
  <si>
    <t>1030402040101010255</t>
  </si>
  <si>
    <t>云烟（云端）</t>
  </si>
  <si>
    <t>691</t>
  </si>
  <si>
    <t>1030402040101010254</t>
  </si>
  <si>
    <t>云烟（细支大重九）</t>
  </si>
  <si>
    <t>692</t>
  </si>
  <si>
    <t>1030402040101010253</t>
  </si>
  <si>
    <t>云烟（中支大重九）</t>
  </si>
  <si>
    <t>693</t>
  </si>
  <si>
    <t>1030402040101010252</t>
  </si>
  <si>
    <t>玉溪（双中支翡翠）</t>
  </si>
  <si>
    <t>694</t>
  </si>
  <si>
    <t>1030402040101010257</t>
  </si>
  <si>
    <t>云烟（9+1大重九）</t>
  </si>
  <si>
    <t>695</t>
  </si>
  <si>
    <t>1030402040101010256</t>
  </si>
  <si>
    <t>玉溪（硬庄园16支）</t>
  </si>
  <si>
    <t>696</t>
  </si>
  <si>
    <t>1030402040101010204</t>
  </si>
  <si>
    <t>玉溪（细支初心）</t>
  </si>
  <si>
    <t>697</t>
  </si>
  <si>
    <t>1030402040101010203</t>
  </si>
  <si>
    <t>玉溪（细支阿诗玛）</t>
  </si>
  <si>
    <t>698</t>
  </si>
  <si>
    <t>1030402040101010202</t>
  </si>
  <si>
    <t>玉溪（细支清香世家）</t>
  </si>
  <si>
    <t>699</t>
  </si>
  <si>
    <t>1030402040101010201</t>
  </si>
  <si>
    <t>云烟（小熊猫家园）</t>
  </si>
  <si>
    <t>700</t>
  </si>
  <si>
    <t>1030402040101010208</t>
  </si>
  <si>
    <t>云烟（软珍品zj）</t>
  </si>
  <si>
    <t>701</t>
  </si>
  <si>
    <t>1030402040101010207</t>
  </si>
  <si>
    <t>玉溪（软尚善）</t>
  </si>
  <si>
    <t>702</t>
  </si>
  <si>
    <t>1030402040101010206</t>
  </si>
  <si>
    <t>呼伦贝尔（天之韵）</t>
  </si>
  <si>
    <t>703</t>
  </si>
  <si>
    <t>1030402040101010205</t>
  </si>
  <si>
    <t>云烟（细支珍品）</t>
  </si>
  <si>
    <t>704</t>
  </si>
  <si>
    <t>1030402040101010209</t>
  </si>
  <si>
    <t>玉溪（108）</t>
  </si>
  <si>
    <t>705</t>
  </si>
  <si>
    <t>1030402040101010211</t>
  </si>
  <si>
    <t>玉溪（中支阿诗玛）</t>
  </si>
  <si>
    <t>706</t>
  </si>
  <si>
    <t>1030402040101010210</t>
  </si>
  <si>
    <t>玉溪（细支108）</t>
  </si>
  <si>
    <t>707</t>
  </si>
  <si>
    <t>1030402040101010215</t>
  </si>
  <si>
    <t>雪莲（细支1960）</t>
  </si>
  <si>
    <t>708</t>
  </si>
  <si>
    <t>1030402040101010214</t>
  </si>
  <si>
    <t>红河（去野）</t>
  </si>
  <si>
    <t>709</t>
  </si>
  <si>
    <t>1030402040101010213</t>
  </si>
  <si>
    <t>云烟（软珍红钻）</t>
  </si>
  <si>
    <t>710</t>
  </si>
  <si>
    <t>1030402040101010212</t>
  </si>
  <si>
    <t>云烟（中支金腰带）</t>
  </si>
  <si>
    <t>711</t>
  </si>
  <si>
    <t>1030402040101010219</t>
  </si>
  <si>
    <t>云烟（乌镇之恋）</t>
  </si>
  <si>
    <t>712</t>
  </si>
  <si>
    <t>1030402040101010218</t>
  </si>
  <si>
    <t>雪莲（74mm天韵）</t>
  </si>
  <si>
    <t>713</t>
  </si>
  <si>
    <t>1030402040101010217</t>
  </si>
  <si>
    <t>云烟（中支乌镇之恋）</t>
  </si>
  <si>
    <t>714</t>
  </si>
  <si>
    <t>1030402040101010216</t>
  </si>
  <si>
    <t>云烟（神秘花园）</t>
  </si>
  <si>
    <t>715</t>
  </si>
  <si>
    <t>1030402040101010189</t>
  </si>
  <si>
    <t>云烟（绿呼伦贝尔）</t>
  </si>
  <si>
    <t>716</t>
  </si>
  <si>
    <t>1030402040101010188</t>
  </si>
  <si>
    <t>云烟（74mm大团结）</t>
  </si>
  <si>
    <t>717</t>
  </si>
  <si>
    <t>1030402040101010187</t>
  </si>
  <si>
    <t>云烟（呼伦贝尔碧草云天）</t>
  </si>
  <si>
    <t>718</t>
  </si>
  <si>
    <t>1030402040101010186</t>
  </si>
  <si>
    <t>云烟（84mm细支雪域）</t>
  </si>
  <si>
    <t>719</t>
  </si>
  <si>
    <t>1030402040101010192</t>
  </si>
  <si>
    <t>云烟（小熊猫）</t>
  </si>
  <si>
    <t>720</t>
  </si>
  <si>
    <t>1030402040101010191</t>
  </si>
  <si>
    <t>雪莲（软蓝）</t>
  </si>
  <si>
    <t>721</t>
  </si>
  <si>
    <t>1030402040101010190</t>
  </si>
  <si>
    <t>呼伦贝尔（天堂草原）</t>
  </si>
  <si>
    <t>722</t>
  </si>
  <si>
    <t>1030402040101010196</t>
  </si>
  <si>
    <t>玉溪（高配版）</t>
  </si>
  <si>
    <t>723</t>
  </si>
  <si>
    <t>1030402040101010195</t>
  </si>
  <si>
    <t>玉溪（软）</t>
  </si>
  <si>
    <t>724</t>
  </si>
  <si>
    <t>1030402040101010194</t>
  </si>
  <si>
    <t>玉溪（硬）</t>
  </si>
  <si>
    <t>725</t>
  </si>
  <si>
    <t>1030402040101010193</t>
  </si>
  <si>
    <t>云烟-小熊猫</t>
  </si>
  <si>
    <t>726</t>
  </si>
  <si>
    <t>1030402040101010199</t>
  </si>
  <si>
    <t>云烟（苁蓉和悦）</t>
  </si>
  <si>
    <t>727</t>
  </si>
  <si>
    <t>1030402040101010198</t>
  </si>
  <si>
    <t>云烟（84mm细支祥瑞）</t>
  </si>
  <si>
    <t>728</t>
  </si>
  <si>
    <t>1030402040101010197</t>
  </si>
  <si>
    <t>云烟（软珍品红韵）</t>
  </si>
  <si>
    <t>729</t>
  </si>
  <si>
    <t>1030402040101010145</t>
  </si>
  <si>
    <t>中华（金细支）</t>
  </si>
  <si>
    <t>730</t>
  </si>
  <si>
    <t>1030402040101010144</t>
  </si>
  <si>
    <t>中华（5000）</t>
  </si>
  <si>
    <t>731</t>
  </si>
  <si>
    <t>1030402040101010143</t>
  </si>
  <si>
    <t>牡丹（金短支）</t>
  </si>
  <si>
    <t>732</t>
  </si>
  <si>
    <t>1030402040101010142</t>
  </si>
  <si>
    <t>熊猫（硬时代版）</t>
  </si>
  <si>
    <t>733</t>
  </si>
  <si>
    <t>1030402040101010149</t>
  </si>
  <si>
    <t>好猫（炫蓝）</t>
  </si>
  <si>
    <t>734</t>
  </si>
  <si>
    <t>1030402040101010148</t>
  </si>
  <si>
    <t>中华（细支）</t>
  </si>
  <si>
    <t>735</t>
  </si>
  <si>
    <t>1030402040101010147</t>
  </si>
  <si>
    <t>牡丹（蓝中支）</t>
  </si>
  <si>
    <t>736</t>
  </si>
  <si>
    <t>1030402040101010146</t>
  </si>
  <si>
    <t>牡丹（飞马）</t>
  </si>
  <si>
    <t>737</t>
  </si>
  <si>
    <t>1030402040101010152</t>
  </si>
  <si>
    <t>好猫（长乐）</t>
  </si>
  <si>
    <t>738</t>
  </si>
  <si>
    <t>1030402040101010151</t>
  </si>
  <si>
    <t>好猫（天赋）</t>
  </si>
  <si>
    <t>739</t>
  </si>
  <si>
    <t>1030402040101010150</t>
  </si>
  <si>
    <t>好猫（吉祥）</t>
  </si>
  <si>
    <t>740</t>
  </si>
  <si>
    <t>1030402040101010156</t>
  </si>
  <si>
    <t>好猫（招财猫1600）</t>
  </si>
  <si>
    <t>741</t>
  </si>
  <si>
    <t>1030402040101010155</t>
  </si>
  <si>
    <t>好猫（细支天赋）</t>
  </si>
  <si>
    <t>742</t>
  </si>
  <si>
    <t>1030402040101010154</t>
  </si>
  <si>
    <t>延安（千年帝都）</t>
  </si>
  <si>
    <t>743</t>
  </si>
  <si>
    <t>1030402040101010153</t>
  </si>
  <si>
    <t>延安（1935）</t>
  </si>
  <si>
    <t>744</t>
  </si>
  <si>
    <t>1030402040101010159</t>
  </si>
  <si>
    <t>延安（红韵）</t>
  </si>
  <si>
    <t>745</t>
  </si>
  <si>
    <t>1030402040101010158</t>
  </si>
  <si>
    <t>延安（五星）</t>
  </si>
  <si>
    <t>746</t>
  </si>
  <si>
    <t>1030402040101010157</t>
  </si>
  <si>
    <t>好猫（细支招财猫）</t>
  </si>
  <si>
    <t>747</t>
  </si>
  <si>
    <t>1030402040101010163</t>
  </si>
  <si>
    <t>延安（金）</t>
  </si>
  <si>
    <t>748</t>
  </si>
  <si>
    <t>1030402040101010162</t>
  </si>
  <si>
    <t>延安（细支圣地河谷）</t>
  </si>
  <si>
    <t>749</t>
  </si>
  <si>
    <t>1030402040101010161</t>
  </si>
  <si>
    <t>延安（青春岁月）</t>
  </si>
  <si>
    <t>750</t>
  </si>
  <si>
    <t>1030402040101010160</t>
  </si>
  <si>
    <t>延安（细支1935）</t>
  </si>
  <si>
    <t>751</t>
  </si>
  <si>
    <t>1030402040101010167</t>
  </si>
  <si>
    <t>好猫（中支金丝猴）</t>
  </si>
  <si>
    <t>752</t>
  </si>
  <si>
    <t>1030402040101010166</t>
  </si>
  <si>
    <t>延安（中支1935）</t>
  </si>
  <si>
    <t>753</t>
  </si>
  <si>
    <t>1030402040101010165</t>
  </si>
  <si>
    <t>延安（公主）</t>
  </si>
  <si>
    <t>754</t>
  </si>
  <si>
    <t>1030402040101010164</t>
  </si>
  <si>
    <t>好猫（金丝猴）</t>
  </si>
  <si>
    <t>755</t>
  </si>
  <si>
    <t>1030402040101010169</t>
  </si>
  <si>
    <t>红河（软99）</t>
  </si>
  <si>
    <t>756</t>
  </si>
  <si>
    <t>1030402040101010168</t>
  </si>
  <si>
    <t>延安（细支千年帝都）</t>
  </si>
  <si>
    <t>757</t>
  </si>
  <si>
    <t>1030402040101010170</t>
  </si>
  <si>
    <t>红塔山（硬恭贺新禧）</t>
  </si>
  <si>
    <t>758</t>
  </si>
  <si>
    <t>1030402040101010174</t>
  </si>
  <si>
    <t>红塔山（硬传奇）</t>
  </si>
  <si>
    <t>759</t>
  </si>
  <si>
    <t>1030402040101010173</t>
  </si>
  <si>
    <t>红塔山（细支传奇）</t>
  </si>
  <si>
    <t>760</t>
  </si>
  <si>
    <t>1030402040101010172</t>
  </si>
  <si>
    <t>红塔山-硬恭贺新禧</t>
  </si>
  <si>
    <t>761</t>
  </si>
  <si>
    <t>1030402040101010171</t>
  </si>
  <si>
    <t>红河（硬99）</t>
  </si>
  <si>
    <t>762</t>
  </si>
  <si>
    <t>1030402040101010178</t>
  </si>
  <si>
    <t>雪莲（尚禧）</t>
  </si>
  <si>
    <t>763</t>
  </si>
  <si>
    <t>1030402040101010177</t>
  </si>
  <si>
    <t>红河（A7）</t>
  </si>
  <si>
    <t>764</t>
  </si>
  <si>
    <t>1030402040101010176</t>
  </si>
  <si>
    <t>云烟（细支云龙）</t>
  </si>
  <si>
    <t>765</t>
  </si>
  <si>
    <t>1030402040101010175</t>
  </si>
  <si>
    <t>云烟（硬云龙）</t>
  </si>
  <si>
    <t>766</t>
  </si>
  <si>
    <t>1030402040101010179</t>
  </si>
  <si>
    <t>呼伦贝尔（草原情）</t>
  </si>
  <si>
    <t>767</t>
  </si>
  <si>
    <t>1030402040101010181</t>
  </si>
  <si>
    <t>雪莲（3000）</t>
  </si>
  <si>
    <t>768</t>
  </si>
  <si>
    <t>1030402040101010180</t>
  </si>
  <si>
    <t>红塔山（硬经典二代）</t>
  </si>
  <si>
    <t>769</t>
  </si>
  <si>
    <t>1030402040101010185</t>
  </si>
  <si>
    <t>玉溪（创客）</t>
  </si>
  <si>
    <t>770</t>
  </si>
  <si>
    <t>1030402040101010184</t>
  </si>
  <si>
    <t>玉溪（软初心）</t>
  </si>
  <si>
    <t>771</t>
  </si>
  <si>
    <t>1030402040101010183</t>
  </si>
  <si>
    <t>玉溪（初心）</t>
  </si>
  <si>
    <t>772</t>
  </si>
  <si>
    <t>1030402040101010182</t>
  </si>
  <si>
    <t>玉溪（软阿诗玛）</t>
  </si>
  <si>
    <t>773</t>
  </si>
  <si>
    <t>1030402040101010101</t>
  </si>
  <si>
    <t>恒大（烟魁1919）</t>
  </si>
  <si>
    <t>774</t>
  </si>
  <si>
    <t>1030402040101010105</t>
  </si>
  <si>
    <t>双喜（百年红）</t>
  </si>
  <si>
    <t>775</t>
  </si>
  <si>
    <t>1030402040101010104</t>
  </si>
  <si>
    <t>大前门（短支）</t>
  </si>
  <si>
    <t>776</t>
  </si>
  <si>
    <t>1030402040101010103</t>
  </si>
  <si>
    <t>凤凰（细支）</t>
  </si>
  <si>
    <t>777</t>
  </si>
  <si>
    <t>1030402040101010102</t>
  </si>
  <si>
    <t>恒大（记忆1949）</t>
  </si>
  <si>
    <t>778</t>
  </si>
  <si>
    <t>1030402040101010109</t>
  </si>
  <si>
    <t>中华（金中支）</t>
  </si>
  <si>
    <t>779</t>
  </si>
  <si>
    <t>1030402040101010108</t>
  </si>
  <si>
    <t>红双喜-硬江山珍品</t>
  </si>
  <si>
    <t>780</t>
  </si>
  <si>
    <t>1030402040101010107</t>
  </si>
  <si>
    <t>牡丹（金细支）</t>
  </si>
  <si>
    <t>781</t>
  </si>
  <si>
    <t>1030402040101010106</t>
  </si>
  <si>
    <t>熊猫（硬经典）</t>
  </si>
  <si>
    <t>782</t>
  </si>
  <si>
    <t>1030402040101010112</t>
  </si>
  <si>
    <t>中华（双中支）</t>
  </si>
  <si>
    <t>783</t>
  </si>
  <si>
    <t>1030402040101010111</t>
  </si>
  <si>
    <t>中华（硬5支）</t>
  </si>
  <si>
    <t>784</t>
  </si>
  <si>
    <t>1030402040101010110</t>
  </si>
  <si>
    <t>中华（硬12支）</t>
  </si>
  <si>
    <t>785</t>
  </si>
  <si>
    <t>1030402040101010116</t>
  </si>
  <si>
    <t>中华（听50支）</t>
  </si>
  <si>
    <t>786</t>
  </si>
  <si>
    <t>1030402040101010115</t>
  </si>
  <si>
    <t>中华（软鸡年生肖版）</t>
  </si>
  <si>
    <t>787</t>
  </si>
  <si>
    <t>1030402040101010114</t>
  </si>
  <si>
    <t>牡丹（青柠细支）</t>
  </si>
  <si>
    <t>788</t>
  </si>
  <si>
    <t>1030402040101010113</t>
  </si>
  <si>
    <t>恒大（烟魁1949中支）</t>
  </si>
  <si>
    <t>789</t>
  </si>
  <si>
    <t>1030402040101010119</t>
  </si>
  <si>
    <t>中华（金短支）</t>
  </si>
  <si>
    <t>790</t>
  </si>
  <si>
    <t>1030402040101010118</t>
  </si>
  <si>
    <t>凤凰（咖啡细支）</t>
  </si>
  <si>
    <t>791</t>
  </si>
  <si>
    <t>1030402040101010117</t>
  </si>
  <si>
    <t>熊猫（听50支）</t>
  </si>
  <si>
    <t>792</t>
  </si>
  <si>
    <t>1030402040101010123</t>
  </si>
  <si>
    <t>红双喜（硬星派）</t>
  </si>
  <si>
    <t>793</t>
  </si>
  <si>
    <t>1030402040101010122</t>
  </si>
  <si>
    <t>江山（硬一统）</t>
  </si>
  <si>
    <t>794</t>
  </si>
  <si>
    <t>1030402040101010121</t>
  </si>
  <si>
    <t>红双喜（硬晶派）</t>
  </si>
  <si>
    <t>795</t>
  </si>
  <si>
    <t>1030402040101010120</t>
  </si>
  <si>
    <t>好猫（细支长乐）</t>
  </si>
  <si>
    <t>796</t>
  </si>
  <si>
    <t>1030402040101010127</t>
  </si>
  <si>
    <t>红双喜（硬江山珍品）</t>
  </si>
  <si>
    <t>797</t>
  </si>
  <si>
    <t>1030402040101010126</t>
  </si>
  <si>
    <t>恒大（全开式烟魁）</t>
  </si>
  <si>
    <t>798</t>
  </si>
  <si>
    <t>1030402040101010125</t>
  </si>
  <si>
    <t>红双喜（硬津门恒大）</t>
  </si>
  <si>
    <t>799</t>
  </si>
  <si>
    <t>1030402040101010124</t>
  </si>
  <si>
    <t>红双喜（硬尚派）</t>
  </si>
  <si>
    <t>800</t>
  </si>
  <si>
    <t>1030402040101010129</t>
  </si>
  <si>
    <t>中华（大中华）</t>
  </si>
  <si>
    <t>801</t>
  </si>
  <si>
    <t>1030402040101010128</t>
  </si>
  <si>
    <t>牡丹（软蓝）</t>
  </si>
  <si>
    <t>802</t>
  </si>
  <si>
    <t>1030402040101010130</t>
  </si>
  <si>
    <t>红双喜（硬晶喜）</t>
  </si>
  <si>
    <t>803</t>
  </si>
  <si>
    <t>1030402040101010134</t>
  </si>
  <si>
    <t>中华（硬）</t>
  </si>
  <si>
    <t>804</t>
  </si>
  <si>
    <t>1030402040101010133</t>
  </si>
  <si>
    <t>红双喜（硬铂派）</t>
  </si>
  <si>
    <t>805</t>
  </si>
  <si>
    <t>1030402040101010132</t>
  </si>
  <si>
    <t>红双喜（硬荷派）</t>
  </si>
  <si>
    <t>806</t>
  </si>
  <si>
    <t>1030402040101010131</t>
  </si>
  <si>
    <t>恒大（记忆1949中支）</t>
  </si>
  <si>
    <t>807</t>
  </si>
  <si>
    <t>1030402040101010138</t>
  </si>
  <si>
    <t>中华（硬10mg12支）</t>
  </si>
  <si>
    <t>808</t>
  </si>
  <si>
    <t>1030402040101010137</t>
  </si>
  <si>
    <t>牡丹（软）</t>
  </si>
  <si>
    <t>809</t>
  </si>
  <si>
    <t>1030402040101010136</t>
  </si>
  <si>
    <t>中华（硬10mg）</t>
  </si>
  <si>
    <t>810</t>
  </si>
  <si>
    <t>1030402040101010135</t>
  </si>
  <si>
    <t>中华（软）</t>
  </si>
  <si>
    <t>811</t>
  </si>
  <si>
    <t>1030402040101010139</t>
  </si>
  <si>
    <t>中华（硬10mg5支）</t>
  </si>
  <si>
    <t>812</t>
  </si>
  <si>
    <t>1030402040101010141</t>
  </si>
  <si>
    <t>中华（全开式）</t>
  </si>
  <si>
    <t>813</t>
  </si>
  <si>
    <t>1030402040101010140</t>
  </si>
  <si>
    <t>红双喜（硬精品）</t>
  </si>
  <si>
    <t>814</t>
  </si>
  <si>
    <t>纺织、服装、皮革类产品</t>
  </si>
  <si>
    <t>纺织产品</t>
  </si>
  <si>
    <t>1040101010000000000</t>
  </si>
  <si>
    <t>已梳皮棉</t>
  </si>
  <si>
    <t>包括精梳或粗梳皮棉</t>
  </si>
  <si>
    <t>815</t>
  </si>
  <si>
    <t>1040101020000000000</t>
  </si>
  <si>
    <t>纱</t>
  </si>
  <si>
    <t>指棉、化学纤维与毛麻等将纤维拉长加捻纺成的细缕，通常用作织布的原材料。包括棉纱、棉混纺纱、化学纤维纱。不包括线（详见104010103）、缝纫线（详见104010104）、毛纱（详见104010202）、绒线（详见104010203）、麻纱线（详见104010302）。</t>
  </si>
  <si>
    <t>816</t>
  </si>
  <si>
    <t>1040101030000000000</t>
  </si>
  <si>
    <t>线</t>
  </si>
  <si>
    <t>指两根及以上单纱经过捻线机、倍捻机加捻合股后的产品；是将纱进一步加工的产品，用于梭织或针织织造。包括棉线、棉混纺线、化学纤维线、色纺线</t>
  </si>
  <si>
    <t>817</t>
  </si>
  <si>
    <t>1040101040000000000</t>
  </si>
  <si>
    <t>缝纫线</t>
  </si>
  <si>
    <t>指股线的再加工产品，是为缝制加工纺织品用的。包括短纤维缝纫线、长丝缝纫线</t>
  </si>
  <si>
    <t>818</t>
  </si>
  <si>
    <t>1040101050000000000</t>
  </si>
  <si>
    <t>布</t>
  </si>
  <si>
    <t>指用纱或股线在棉织机上（包括有梭织机、无梭织机）织造的机织布；指坯布（经有梭织机或无梭织机织造的下机布，未经染整加工、未漂白的坯布）。包括棉布、棉混纺布、化学纤维短纤布、色织布、牛仔布</t>
  </si>
  <si>
    <t>819</t>
  </si>
  <si>
    <t>1040101060000000000</t>
  </si>
  <si>
    <t>印染布</t>
  </si>
  <si>
    <t>指棉纺织厂生产的棉布、棉混纺布、化学纤维布的坯布经棉印染生产设备加工整理的漂白布、染色布、印花布的统称。包括漂白布、染色布、印花布</t>
  </si>
  <si>
    <t>820</t>
  </si>
  <si>
    <t>1040102010000000000</t>
  </si>
  <si>
    <t>毛条</t>
  </si>
  <si>
    <t>洗净毛经梳理成条后，经过精梳及其前后的准备和整理过程，即毛条制成。包括动物毛条、合成纤维毛条</t>
  </si>
  <si>
    <t>821</t>
  </si>
  <si>
    <t>1040102020000000000</t>
  </si>
  <si>
    <t>毛纱</t>
  </si>
  <si>
    <t>毛纱是以羊毛为原料纺制而成有捻向的单纱。包括羊毛纱、混纺羊毛纱、其他毛纱</t>
  </si>
  <si>
    <t>822</t>
  </si>
  <si>
    <t>1040102030000000000</t>
  </si>
  <si>
    <t>绒线</t>
  </si>
  <si>
    <t>俗称毛线。包括纯毛绒线、混纺绒线、化学纤维绒线、其他绒线</t>
  </si>
  <si>
    <t>823</t>
  </si>
  <si>
    <t>1040102040000000000</t>
  </si>
  <si>
    <t>毛机织物（呢绒）</t>
  </si>
  <si>
    <t>或称毛织品。包括纯毛机织物、毛混纺机织物、化学纤维毛机织物、其他毛机织物</t>
  </si>
  <si>
    <t>824</t>
  </si>
  <si>
    <t>1040102050000000000</t>
  </si>
  <si>
    <t>特种羊毛或动物细毛织物</t>
  </si>
  <si>
    <t>包括毛制起绒织物、毛制绳绒织物、毛制毛巾织物、毛制簇绒织物</t>
  </si>
  <si>
    <t>825</t>
  </si>
  <si>
    <t>1040102060000000000</t>
  </si>
  <si>
    <t>毛染整精加工产品</t>
  </si>
  <si>
    <t>826</t>
  </si>
  <si>
    <t>1040103010000000000</t>
  </si>
  <si>
    <t>麻纤维原料</t>
  </si>
  <si>
    <t>纺前经加工的麻纤维，也称精干麻；指经破开、打成、栉梳或其他加工。包括苎麻原麻、苎麻精干麻、亚麻打成麻、亚麻短纤、黄（红）麻（熟麻）、大麻原麻、其他麻纤维原料</t>
  </si>
  <si>
    <t>827</t>
  </si>
  <si>
    <t>1040103020000000000</t>
  </si>
  <si>
    <t>麻纱线</t>
  </si>
  <si>
    <t>包括亚麻纱、苎麻纱、黄红麻纱、大麻纱线、其他麻纱线</t>
  </si>
  <si>
    <t>828</t>
  </si>
  <si>
    <t>1040103030000000000</t>
  </si>
  <si>
    <t>亚麻布</t>
  </si>
  <si>
    <t>包括亚麻布，含亚麻≥55%、其他亚麻布，含亚麻＜55%</t>
  </si>
  <si>
    <t>829</t>
  </si>
  <si>
    <t>1040103040000000000</t>
  </si>
  <si>
    <t>亚麻印染布</t>
  </si>
  <si>
    <t>包括亚麻漂白布、亚麻染色布、亚麻印花布</t>
  </si>
  <si>
    <t>830</t>
  </si>
  <si>
    <t>1040103050000000000</t>
  </si>
  <si>
    <t>苎麻布</t>
  </si>
  <si>
    <t>包括苎麻布，含苎麻≥55%、其他苎麻布，含苎麻＜55%</t>
  </si>
  <si>
    <t>831</t>
  </si>
  <si>
    <t>1040103060000000000</t>
  </si>
  <si>
    <t>苎麻印染布</t>
  </si>
  <si>
    <t>包括苎麻漂白布、苎麻染色布、苎麻印花布</t>
  </si>
  <si>
    <t>832</t>
  </si>
  <si>
    <t>1040103070000000000</t>
  </si>
  <si>
    <t>黄红麻织物</t>
  </si>
  <si>
    <t>833</t>
  </si>
  <si>
    <t>1040103080000000000</t>
  </si>
  <si>
    <t>大麻织物</t>
  </si>
  <si>
    <t>834</t>
  </si>
  <si>
    <t>1040103990000000000</t>
  </si>
  <si>
    <t>其他麻纺织品</t>
  </si>
  <si>
    <t>835</t>
  </si>
  <si>
    <t>1040104010000000000</t>
  </si>
  <si>
    <t>蚕丝</t>
  </si>
  <si>
    <t>包括桑蚕丝、柞蚕丝、绢纺丝、蚕丝短纤维、丝纱线、其他蚕丝</t>
  </si>
  <si>
    <t>836</t>
  </si>
  <si>
    <t>1040104020000000000</t>
  </si>
  <si>
    <t>蚕丝及交织机织物</t>
  </si>
  <si>
    <t>包括含蚕丝≥50%的蚕丝及交织机织物、含蚕丝＜50%的蚕丝交织机织物</t>
  </si>
  <si>
    <t>837</t>
  </si>
  <si>
    <t>1040104030000000000</t>
  </si>
  <si>
    <t>印染蚕丝及交织机织物</t>
  </si>
  <si>
    <t>包括含蚕丝≥50%的印染蚕丝及交织机织物、含蚕丝＜50%印染的蚕丝及交织机织物，</t>
  </si>
  <si>
    <t>838</t>
  </si>
  <si>
    <t>1040104040000000000</t>
  </si>
  <si>
    <t>化纤长丝机织物</t>
  </si>
  <si>
    <t>指经向、纬向均为合成纤维长丝或再生纤维长丝在织机上（喷水织机、剑杆织机、喷气织机等）生产的长丝织物。包括合成纤维长丝机织物、人造纤维长丝机织物、化学纤维长丝绒布、其他化纤长丝机织物</t>
  </si>
  <si>
    <t>839</t>
  </si>
  <si>
    <t>1040104050000000000</t>
  </si>
  <si>
    <t>特种丝织物</t>
  </si>
  <si>
    <t>包括丝制起绒织物及绳绒织物、丝制毛巾织物及类似毛圈机织物、丝制纱罗、丝制簇绒织物，含蚕丝50%及以上</t>
  </si>
  <si>
    <t>840</t>
  </si>
  <si>
    <t>1040105010000000000</t>
  </si>
  <si>
    <t>床褥单</t>
  </si>
  <si>
    <t>包括棉制床褥单、化学纤维制床褥单、麻制床单。不包括针织或钩编的床上用品（详见104011302）</t>
  </si>
  <si>
    <t>841</t>
  </si>
  <si>
    <t>1040105020000000000</t>
  </si>
  <si>
    <t>被面</t>
  </si>
  <si>
    <t>包括丝绸被面、其他被面</t>
  </si>
  <si>
    <t>842</t>
  </si>
  <si>
    <t>1040105030000000000</t>
  </si>
  <si>
    <t>枕套</t>
  </si>
  <si>
    <t>包括棉制枕套、化学纤维制枕套、丝绸枕套、其他枕套。不包括针织或钩编的床上用品（详见104011302）。</t>
  </si>
  <si>
    <t>843</t>
  </si>
  <si>
    <t>1040105040000000000</t>
  </si>
  <si>
    <t>被罩</t>
  </si>
  <si>
    <t>包括棉制被罩、化学纤维制被罩、麻制被罩、其他被罩。不包括针织或钩编的床上用品（详见104011302）。</t>
  </si>
  <si>
    <t>844</t>
  </si>
  <si>
    <t>1040105050000000000</t>
  </si>
  <si>
    <t>床罩</t>
  </si>
  <si>
    <t>包括棉制床罩、化学纤维制床罩、麻制床罩、丝制床罩、其他床罩。不包括针织或钩编的床上用品（详见104011302）。</t>
  </si>
  <si>
    <t>845</t>
  </si>
  <si>
    <t>1040105060000000000</t>
  </si>
  <si>
    <t>毯子</t>
  </si>
  <si>
    <t>包括棉制毯、毛制毯、麻制毯、其他毯子</t>
  </si>
  <si>
    <t>846</t>
  </si>
  <si>
    <t>1040105070000000000</t>
  </si>
  <si>
    <t>寝具及类似填充用品</t>
  </si>
  <si>
    <t>指以各种纺织材料作为面料（不论是否包面），用丝棉、化纤棉、兽毛等填充的棉被、枕头、靠垫、座垫等寝具及类似用品。包括羽绒（毛）、兽毛制寝具及类似填充制品、棉制寝具及类似填充制品、丝制寝具及类似填充制品、其他寝具及类似填充用品</t>
  </si>
  <si>
    <t>847</t>
  </si>
  <si>
    <t>1040105080000000000</t>
  </si>
  <si>
    <t>毛巾被</t>
  </si>
  <si>
    <t>包括棉制毛巾被、化纤制毛巾被、麻制毛巾被、丝及绢丝制毛巾被，花式品种分单色、多色、条格、印花、喷花、提花毛巾被等</t>
  </si>
  <si>
    <t>848</t>
  </si>
  <si>
    <t>1040105090000000000</t>
  </si>
  <si>
    <t>枕巾</t>
  </si>
  <si>
    <t>包括棉制枕巾、化纤制枕巾、麻制枕巾、丝制枕巾、其他枕巾</t>
  </si>
  <si>
    <t>849</t>
  </si>
  <si>
    <t>1040105990000000000</t>
  </si>
  <si>
    <t>其他床上用织物制品</t>
  </si>
  <si>
    <t>850</t>
  </si>
  <si>
    <t>1040106010000000000</t>
  </si>
  <si>
    <t>台布（桌布）</t>
  </si>
  <si>
    <t>包括棉制台布、化学纤维制台布、毛制台布、丝制台布、麻制台布、其他纺织材料制台布。不包括针织或钩编台布（详见104011303）。</t>
  </si>
  <si>
    <t>851</t>
  </si>
  <si>
    <t>1040106020000000000</t>
  </si>
  <si>
    <t>毛巾</t>
  </si>
  <si>
    <t>包括面巾、方巾、浴巾、其他毛巾</t>
  </si>
  <si>
    <t>852</t>
  </si>
  <si>
    <t>1040106030000000000</t>
  </si>
  <si>
    <t>餐桌、盥洗及厨房用织物制品</t>
  </si>
  <si>
    <t>包括棉制餐桌、盥洗织物制品、化学纤维制餐桌、盥洗织物制品、亚麻制餐桌、盥洗用织物制品、丝制盥洗及厨房织物制品、其他餐桌、盥洗及厨房用织物制品。不包括针织或钩编相关餐桌用制品（详见104011304）。</t>
  </si>
  <si>
    <t>853</t>
  </si>
  <si>
    <t>1040106040000000000</t>
  </si>
  <si>
    <t>窗帘及类似品</t>
  </si>
  <si>
    <t>包括棉制窗帘及类似品、合成纤维制窗帘及类似品、丝制非针织非钩编窗帘、毛制窗帘及类似品、其他纺织材料制窗帘及类似品。不包括针织或钩编窗帘及类似品（详见104011305）。</t>
  </si>
  <si>
    <t>854</t>
  </si>
  <si>
    <t>1040106050000000000</t>
  </si>
  <si>
    <t>垫子套</t>
  </si>
  <si>
    <t>包括棉制垫子套、丝制垫子套、合成纤维制垫子套、其他垫子套。不包括针织或钩编制品（详见1040113）。</t>
  </si>
  <si>
    <t>855</t>
  </si>
  <si>
    <t>1040106060000000000</t>
  </si>
  <si>
    <t>安全用织物制品</t>
  </si>
  <si>
    <t>救生衣、安全带、其他安全用织物制品</t>
  </si>
  <si>
    <t>856</t>
  </si>
  <si>
    <t>1040106990000000000</t>
  </si>
  <si>
    <t>其他纺织制品</t>
  </si>
  <si>
    <t>包括擦地布、抹布及类似擦拭用布、其他未列明纺织制品</t>
  </si>
  <si>
    <t>857</t>
  </si>
  <si>
    <t>1040107010000000000</t>
  </si>
  <si>
    <t>毡呢</t>
  </si>
  <si>
    <t>包括毛制毡呢、其他毡呢，不论是否浸渍、涂布、包覆或层压</t>
  </si>
  <si>
    <t>858</t>
  </si>
  <si>
    <t>1040107020000000000</t>
  </si>
  <si>
    <t>包装用织物制品</t>
  </si>
  <si>
    <t>指主要包括散装货物的棉及化学纤维材料制，具有不同尺寸及形状的物品储运袋；也包括邮袋和邮寄货样用的小袋子，以及袋泡茶袋，包括棉制包装袋、化学纤维制包装袋、麻袋</t>
  </si>
  <si>
    <t>859</t>
  </si>
  <si>
    <t>1040108010000000000</t>
  </si>
  <si>
    <t>油苫布</t>
  </si>
  <si>
    <t>包括棉制油苫布、合成纤维制油苫布、其他油苫布</t>
  </si>
  <si>
    <t>860</t>
  </si>
  <si>
    <t>1040108020000000000</t>
  </si>
  <si>
    <t>天篷</t>
  </si>
  <si>
    <t>包括棉制天篷、合成纤维制天篷、其他天篷</t>
  </si>
  <si>
    <t>861</t>
  </si>
  <si>
    <t>1040108030000000000</t>
  </si>
  <si>
    <t>遮阳篷</t>
  </si>
  <si>
    <t>包括棉制遮阳篷、合成纤维制遮阳篷、其他遮阳篷</t>
  </si>
  <si>
    <t>862</t>
  </si>
  <si>
    <t>1040108040000000000</t>
  </si>
  <si>
    <t>帐篷</t>
  </si>
  <si>
    <t>包括棉制帐篷、合成纤维制帐篷、其他帐篷</t>
  </si>
  <si>
    <t>863</t>
  </si>
  <si>
    <t>1040108050000000000</t>
  </si>
  <si>
    <t>篷房</t>
  </si>
  <si>
    <t>包括棉制篷房、合成纤维制篷房、其他篷房</t>
  </si>
  <si>
    <t>864</t>
  </si>
  <si>
    <t>1040108060000000000</t>
  </si>
  <si>
    <t>风帆</t>
  </si>
  <si>
    <t>包括棉制风帆、合成纤维制风帆、其他风帆</t>
  </si>
  <si>
    <t>865</t>
  </si>
  <si>
    <t>1040108070000000000</t>
  </si>
  <si>
    <t>充气褥垫</t>
  </si>
  <si>
    <t>包括棉制充气褥垫、化纤制充气褥垫、其他充气褥垫</t>
  </si>
  <si>
    <t>866</t>
  </si>
  <si>
    <t>1040108080000000000</t>
  </si>
  <si>
    <t>野营用织物制品</t>
  </si>
  <si>
    <t>包括棉制野营用织物制品、化纤制野营用织物制品、其他野营用织物制品。不包括背包、背囊及类似容器（详见104030302），装有衬垫的睡袋及填充褥垫、枕头及座垫等（详见104010507），野营用帐篷（详见104010804）。</t>
  </si>
  <si>
    <t>867</t>
  </si>
  <si>
    <t>1040108090000000000</t>
  </si>
  <si>
    <t>降落伞、旗帜及类似品</t>
  </si>
  <si>
    <t>包括旋翼降落伞及其零件、附件、锦旗、三角旗、横幅及其他娱乐或节日用旗布</t>
  </si>
  <si>
    <t>868</t>
  </si>
  <si>
    <t>1040109010000000000</t>
  </si>
  <si>
    <t>纤维纺制绳、缆</t>
  </si>
  <si>
    <t>包括麻纤维纺制绳、缆、合成纤维纺制绳、缆、龙舌兰类纤维纺制绳、缆、蕉麻等硬质（叶）纤维纺绳、缆、其他合成纤维纺制绳、缆</t>
  </si>
  <si>
    <t>869</t>
  </si>
  <si>
    <t>1040109020000000000</t>
  </si>
  <si>
    <t>网类制品</t>
  </si>
  <si>
    <t>包括渔网、安全网、体育项目用网（兜）、网料、其他网类制品</t>
  </si>
  <si>
    <t>870</t>
  </si>
  <si>
    <t>1040109030000000000</t>
  </si>
  <si>
    <t>吊装绳索具</t>
  </si>
  <si>
    <t>包括吊装绳、安全保险绳、吊带、汽车牵引带、石油管道专用带、其他吊装绳索具。不包括钢丝绳索具（详见108041201）。</t>
  </si>
  <si>
    <t>871</t>
  </si>
  <si>
    <t>1040109040000000000</t>
  </si>
  <si>
    <t>绳梯类制品</t>
  </si>
  <si>
    <t>包括尼龙绳梯、其他绳梯类制品。不包括钢丝绳梯（详见108041299）。</t>
  </si>
  <si>
    <t>872</t>
  </si>
  <si>
    <t>1040109990000000000</t>
  </si>
  <si>
    <t>其他纤维纺制线、绳、索、缆</t>
  </si>
  <si>
    <t>873</t>
  </si>
  <si>
    <t>1040110010000000000</t>
  </si>
  <si>
    <t>帘子布</t>
  </si>
  <si>
    <t>包括聚酰胺高强力纱制帘子布、聚酯高强力纱制帘子布、粘胶纤维高强力纱制帘子布、其他帘子布</t>
  </si>
  <si>
    <t>874</t>
  </si>
  <si>
    <t>1040110020000000000</t>
  </si>
  <si>
    <t>纺织材料制传输带</t>
  </si>
  <si>
    <t>包括棉制传输带、化学纤维制传输带、毛制传输带、其他纺织材料制传输带</t>
  </si>
  <si>
    <t>875</t>
  </si>
  <si>
    <t>1040110030000000000</t>
  </si>
  <si>
    <t>用塑料处理纺织物</t>
  </si>
  <si>
    <t>包括聚氯乙烯处理纺织物、聚氨基甲酸酯处理纺织物、其他塑料处理纺织物</t>
  </si>
  <si>
    <t>876</t>
  </si>
  <si>
    <t>1040110040000000000</t>
  </si>
  <si>
    <t>涂胶或淀粉纺织物</t>
  </si>
  <si>
    <t>包括涂胶或淀粉棉织物、涂胶或淀粉化纤纺织物、涂胶或淀粉麻织物、其他涂胶或淀粉纺织物</t>
  </si>
  <si>
    <t>877</t>
  </si>
  <si>
    <t>1040110050000000000</t>
  </si>
  <si>
    <t>涂焦油、蜡、沥青或类似产品纺织物</t>
  </si>
  <si>
    <t>指经浸渍、涂布或包覆处理的纺织物；包括涂焦油、蜡、沥青，或用天然树脂和樟脑、油或干性油作为基料的制剂涂布或浸渍的织物。包括涂焦油、蜡、沥青绝缘布或带、涂焦油、蜡、沥青舞台用画布、其他材料处理纺织物</t>
  </si>
  <si>
    <t>878</t>
  </si>
  <si>
    <t>1040110060000000000</t>
  </si>
  <si>
    <t>硬挺纺织物</t>
  </si>
  <si>
    <t>包括油画布、描图布、硬衬布及类似纺织物、其他硬挺纺织物</t>
  </si>
  <si>
    <t>879</t>
  </si>
  <si>
    <t>1040110070000000000</t>
  </si>
  <si>
    <t>狭幅机织物</t>
  </si>
  <si>
    <t>指幅宽不超过30厘米狭条织物（带子及带状织物），从宽幅经纬织物剪成的狭条，或压平宽度不超过30厘米的无缝管筒经纬织物。包括狭幅起绒、绳绒机织物、松紧带、其他狭幅机织物</t>
  </si>
  <si>
    <t>880</t>
  </si>
  <si>
    <t>1040111010000000000</t>
  </si>
  <si>
    <t>无纺布（无纺织物）</t>
  </si>
  <si>
    <t>也称非织造布，指以化学纤维为基本原料（主要是涤纶、腈纶、维纶、丙纶、粘胶纤维，也可用棉、毛、麻天然纤维的下脚料或再生纤维以及高科技用的碳素纤维、硼素纤维等）经化学粘合、热熔粘合、针刺、水刺、缝编高频等工艺制作的产品。包括化学纤维长丝制非织造布（无纺织物）、短纤维制非织造布（无纺织物）、其他无纺织物制品</t>
  </si>
  <si>
    <t>881</t>
  </si>
  <si>
    <t>1040111020000000000</t>
  </si>
  <si>
    <t>无纺织物制品</t>
  </si>
  <si>
    <t>除无纺布（详见104011101）以外的无纺织物制品。</t>
  </si>
  <si>
    <t>882</t>
  </si>
  <si>
    <t>1040112010000000000</t>
  </si>
  <si>
    <t>经编织物</t>
  </si>
  <si>
    <t>包括棉制经编、织物、合成纤维制经编织物、人造纤维制经编织物、毛制经编织物、丝及绢丝制经编织物、其他经编织物。不包括针织或钩编的起绒织物（详见1040112）、弹性或橡胶线≥5%的针织钩编织物（详见1040112）。</t>
  </si>
  <si>
    <t>883</t>
  </si>
  <si>
    <t>1040112020000000000</t>
  </si>
  <si>
    <t>纬编制物</t>
  </si>
  <si>
    <t>包括棉制纬编织物、合成纤维制纬编织物、人造纤维制纬编织物、毛制纬编织物、丝及绢丝制纬编织物、其他纬编织物</t>
  </si>
  <si>
    <t>884</t>
  </si>
  <si>
    <t>1040112030000000000</t>
  </si>
  <si>
    <t>针织或钩编起绒织物</t>
  </si>
  <si>
    <t>包括棉针织钩编物、合成纤维针织钩编物、丝针织钩编物</t>
  </si>
  <si>
    <t>885</t>
  </si>
  <si>
    <t>1040112040000000000</t>
  </si>
  <si>
    <t>针织钩编织物（针织坯布）</t>
  </si>
  <si>
    <t>包括合成纤维针织钩编物、毛针织钩编织物、人造纤维针织钩编物、丝针织钩编物</t>
  </si>
  <si>
    <t>886</t>
  </si>
  <si>
    <t>1040113010000000000</t>
  </si>
  <si>
    <t>针织或钩编床罩</t>
  </si>
  <si>
    <t>包括针织床罩、钩编床罩</t>
  </si>
  <si>
    <t>887</t>
  </si>
  <si>
    <t>1040113020000000000</t>
  </si>
  <si>
    <t>针织或钩编相关床上制品</t>
  </si>
  <si>
    <t>包括棉针织床上用织物制品、化纤针织床上用织物制品、丝制针织床上用织物制品、麻针织床上用织物制品、其他针织或钩编相关床上制品</t>
  </si>
  <si>
    <t>888</t>
  </si>
  <si>
    <t>1040113030000000000</t>
  </si>
  <si>
    <t>针织或钩编台布</t>
  </si>
  <si>
    <t>包括针织台布、钩编台布</t>
  </si>
  <si>
    <t>889</t>
  </si>
  <si>
    <t>1040113040000000000</t>
  </si>
  <si>
    <t>针织或钩编相关餐桌用制品</t>
  </si>
  <si>
    <t>包括针织相关餐桌用制品、钩编相关餐桌用制品</t>
  </si>
  <si>
    <t>890</t>
  </si>
  <si>
    <t>1040113050000000000</t>
  </si>
  <si>
    <t>针织或钩编窗帘及类似品</t>
  </si>
  <si>
    <t>包括棉针织或钩编窗帘及类似品、合成纤维针织或钩编窗帘及类似品、其他针织或钩编窗帘及类似品</t>
  </si>
  <si>
    <t>891</t>
  </si>
  <si>
    <t>1040113060000000000</t>
  </si>
  <si>
    <t>针织袜</t>
  </si>
  <si>
    <t>包括连裤及紧身裤袜、长统袜及中统袜、短针织袜</t>
  </si>
  <si>
    <t>892</t>
  </si>
  <si>
    <t>1040113070000000000</t>
  </si>
  <si>
    <t>针织手套</t>
  </si>
  <si>
    <t>包括棉制针织手套、合成纤维制针织手套、毛针织手套、丝制针织手套</t>
  </si>
  <si>
    <t>893</t>
  </si>
  <si>
    <t>1040114010000000000</t>
  </si>
  <si>
    <t>围巾类</t>
  </si>
  <si>
    <t>包括针织围巾、钩编围巾、非针织或钩编围巾类</t>
  </si>
  <si>
    <t>894</t>
  </si>
  <si>
    <t>1040114020000000000</t>
  </si>
  <si>
    <t>领带</t>
  </si>
  <si>
    <t>包括针织领带、非针织领带</t>
  </si>
  <si>
    <t>895</t>
  </si>
  <si>
    <t>1040114030000000000</t>
  </si>
  <si>
    <t>手帕</t>
  </si>
  <si>
    <t>包括丝制手帕、棉制手帕、化纤制手帕</t>
  </si>
  <si>
    <t>896</t>
  </si>
  <si>
    <t>1040199010000000000</t>
  </si>
  <si>
    <t>纺织材料絮胎及其制品</t>
  </si>
  <si>
    <t>包括纺织材料絮胎制卫生用品、纤维制絮胎及其制品</t>
  </si>
  <si>
    <t>897</t>
  </si>
  <si>
    <t>1040199020000000000</t>
  </si>
  <si>
    <t>纺织材料制标签、徽章及类似品</t>
  </si>
  <si>
    <t>指非绣制的纺织材料制标签、徽章及类似品，包括机织标签、徽章及类似品、非机织标签、徽章及类似品</t>
  </si>
  <si>
    <t>898</t>
  </si>
  <si>
    <t>1040199030000000000</t>
  </si>
  <si>
    <t>成匹编带、装饰带及类似品</t>
  </si>
  <si>
    <t>包括成匹编带、流苏、绒球、其他成匹装饰带</t>
  </si>
  <si>
    <t>899</t>
  </si>
  <si>
    <t>1040199040000000000</t>
  </si>
  <si>
    <t>网眼薄纱，相关网眼织物</t>
  </si>
  <si>
    <t>丝及绢丝制网眼薄纱，相关网眼织物、棉制网眼薄纱，相关网眼织物、化纤制网眼薄纱，相关网眼织物、其他网眼薄纱及网眼织物</t>
  </si>
  <si>
    <t>900</t>
  </si>
  <si>
    <t>1040199050000000000</t>
  </si>
  <si>
    <t>图案花边</t>
  </si>
  <si>
    <t>包括机制花边、手工制花边</t>
  </si>
  <si>
    <t>901</t>
  </si>
  <si>
    <t>1040199060000000000</t>
  </si>
  <si>
    <t>供技术用途纺织品</t>
  </si>
  <si>
    <t>包括纺织材料包覆橡胶线、橡塑浸涂纺织纱线及类似品、含金属纱线、纺织材料制软管、筛布、滤布、机械用联接物织物、纸纱线机织物</t>
  </si>
  <si>
    <t>902</t>
  </si>
  <si>
    <t>1040199990000000000</t>
  </si>
  <si>
    <t>其他未列明纺织产品</t>
  </si>
  <si>
    <t>903</t>
  </si>
  <si>
    <t>服装、鞋、帽</t>
  </si>
  <si>
    <t>服装</t>
  </si>
  <si>
    <t>1040201010000000000</t>
  </si>
  <si>
    <t>女内衣</t>
  </si>
  <si>
    <t>包括针织女内衣、胸罩（乳罩）、束腰带及腹带、紧身胸衣、吊裤带及类似品</t>
  </si>
  <si>
    <t>904</t>
  </si>
  <si>
    <t>1040201020000000000</t>
  </si>
  <si>
    <t>男内衣</t>
  </si>
  <si>
    <t>包括针织男内衣</t>
  </si>
  <si>
    <t>905</t>
  </si>
  <si>
    <t>1040201030000000000</t>
  </si>
  <si>
    <t>女睡衣</t>
  </si>
  <si>
    <t>包括女式针织睡衣裤、女式梭织睡衣裤、棉制女式睡衣裤、化纤制女式睡衣裤、丝制女式睡衣裤、其他女式睡衣裤</t>
  </si>
  <si>
    <t>906</t>
  </si>
  <si>
    <t>1040201040000000000</t>
  </si>
  <si>
    <t>男睡衣</t>
  </si>
  <si>
    <t>包括男式针织睡衣裤、男式梭织睡衣裤、棉制男式睡衣裤、化纤制男式睡衣裤、丝制男式睡衣裤、其他男式睡衣裤</t>
  </si>
  <si>
    <t>907</t>
  </si>
  <si>
    <t>1040201050000000000</t>
  </si>
  <si>
    <t>女浴衣</t>
  </si>
  <si>
    <t>包括女式针织浴衣及类似服装、女式梭织浴衣及类似服装、棉制女浴衣及类似品、化纤制女浴衣及类似品、丝制女浴衣及类似品、其他女浴衣及类似品</t>
  </si>
  <si>
    <t>908</t>
  </si>
  <si>
    <t>1040201060000000000</t>
  </si>
  <si>
    <t>男浴衣</t>
  </si>
  <si>
    <t>包括男式针织浴衣及类似服装、男式梭织浴衣及类似服装、棉制男浴衣及类似品、化纤制男浴衣及类似品、丝制男浴衣及类似品、其他男浴衣及类似品</t>
  </si>
  <si>
    <t>909</t>
  </si>
  <si>
    <t>1040201070000000000</t>
  </si>
  <si>
    <t>女衬衫</t>
  </si>
  <si>
    <t>包括针织女衬衫、梭织女衬衫、毛制女衬衫、棉制女衬衫、化纤制女衬衫、丝制女衬衫、其他女衬衫</t>
  </si>
  <si>
    <t>910</t>
  </si>
  <si>
    <t>1040201080000000000</t>
  </si>
  <si>
    <t>男衬衫</t>
  </si>
  <si>
    <t>包括毛制男衬衫、棉制男衬衫、化纤制男衬衫、丝制男衬衫（含丝或绢丝50%及以上）、其他男衬衫</t>
  </si>
  <si>
    <t>911</t>
  </si>
  <si>
    <t>1040201090000000000</t>
  </si>
  <si>
    <t>女Ｔ恤衫</t>
  </si>
  <si>
    <t>包括各类棉针织Ｔ恤衫、化学纤维针织Ｔ恤衫、丝针织Ｔ恤衫、其他针织Ｔ恤衫</t>
  </si>
  <si>
    <t>912</t>
  </si>
  <si>
    <t>1040201100000000000</t>
  </si>
  <si>
    <t>男Ｔ恤衫</t>
  </si>
  <si>
    <t>913</t>
  </si>
  <si>
    <t>1040201110000000000</t>
  </si>
  <si>
    <t>女上衣</t>
  </si>
  <si>
    <t>包括马甲、背心、坎肩、夹克，包括防风衣</t>
  </si>
  <si>
    <t>914</t>
  </si>
  <si>
    <t>1040201120000000000</t>
  </si>
  <si>
    <t>男上衣</t>
  </si>
  <si>
    <t>915</t>
  </si>
  <si>
    <t>1040201130000000000</t>
  </si>
  <si>
    <t>女裤子</t>
  </si>
  <si>
    <t>不包括内衣裤（详见104020101、104020102）、睡衣裤（详见104020103、104020104）。</t>
  </si>
  <si>
    <t>916</t>
  </si>
  <si>
    <t>1040201140000000000</t>
  </si>
  <si>
    <t>男裤子</t>
  </si>
  <si>
    <t>917</t>
  </si>
  <si>
    <t>1040201150000000000</t>
  </si>
  <si>
    <t>裙子</t>
  </si>
  <si>
    <t>918</t>
  </si>
  <si>
    <t>1040201160000000000</t>
  </si>
  <si>
    <t>女大衣、女风衣</t>
  </si>
  <si>
    <t>包括女式毛大衣。不包括羽绒服（详见104020122）。</t>
  </si>
  <si>
    <t>919</t>
  </si>
  <si>
    <t>1040201170000000000</t>
  </si>
  <si>
    <t>男大衣、男风衣</t>
  </si>
  <si>
    <t>包括男式毛大衣。不包括羽绒服（详见104020122）。</t>
  </si>
  <si>
    <t>920</t>
  </si>
  <si>
    <t>1040201180000000000</t>
  </si>
  <si>
    <t>便服套装</t>
  </si>
  <si>
    <t>指各种针织和非针织的男女便服套装，包括牛仔套装、休闲服套装、时装套装、中式套装、中山服套装、其他便服套装。不包括西服套装（详见104020119）、运动服装（详见104020123）。</t>
  </si>
  <si>
    <t>921</t>
  </si>
  <si>
    <t>1040201190000000000</t>
  </si>
  <si>
    <t>西服套装</t>
  </si>
  <si>
    <t>指各种针织和非针织的男女西服套装，包括套裙。。男西服套装包括上衣、裤子、西服背心（两件套、三件套、四件套），男晚礼服（燕尾服）、男无燕尾套装、夜礼服、西服套装背心，女式非针织西服套装包括上衣、背心、西服裙、裤子（两件套、三件套、四件套）。</t>
  </si>
  <si>
    <t>922</t>
  </si>
  <si>
    <t>1040201200000000000</t>
  </si>
  <si>
    <t>女毛衣</t>
  </si>
  <si>
    <t>923</t>
  </si>
  <si>
    <t>1040201210000000000</t>
  </si>
  <si>
    <t>男毛衣</t>
  </si>
  <si>
    <t>924</t>
  </si>
  <si>
    <t>1040201220000000000</t>
  </si>
  <si>
    <t>防寒服</t>
  </si>
  <si>
    <t>指以羽绒、化纤棉、丝棉、棉花、鸵绒、羊绒絮片、人造毛皮、针织棉等为填充物或内胎制作的各式服装。</t>
  </si>
  <si>
    <t>925</t>
  </si>
  <si>
    <t>1040201230000000000</t>
  </si>
  <si>
    <t>运动服装</t>
  </si>
  <si>
    <t>包括田径服、击剑服、跆拳道服、滑雪服及游泳服、舞裙、体操或练功紧身衣、非针织的体操用特种服装等类似服装。不包括戏装（详见104020199）。</t>
  </si>
  <si>
    <t>926</t>
  </si>
  <si>
    <t>1040201240000000000</t>
  </si>
  <si>
    <t>婴幼儿服装</t>
  </si>
  <si>
    <t>指以各种服装材料制成的婴儿服装和儿童服装。包括儿童服装、婴儿紧身衣裤、连脚裤、游戏服、小丑服、背心连裤童装外衣、婴儿围涎、分指手套、连指手套、露指手套、紧身衣裤及婴儿连袜鞋、婴儿尿布。</t>
  </si>
  <si>
    <t>927</t>
  </si>
  <si>
    <t>1040201250000000000</t>
  </si>
  <si>
    <t>特种服装</t>
  </si>
  <si>
    <t>指有特殊功能或特殊用途的服装，包括迷彩服、航天服、潜水服、阻燃服、均压服、防弹衣、防酸服、防火服、抗油拒水服、焊接防护服、防电弧服等。</t>
  </si>
  <si>
    <t>928</t>
  </si>
  <si>
    <t>1040201990000000000</t>
  </si>
  <si>
    <t>其他服装</t>
  </si>
  <si>
    <t>929</t>
  </si>
  <si>
    <t>1040202010000000000</t>
  </si>
  <si>
    <t>天然皮革服装</t>
  </si>
  <si>
    <t>指用猪、牛、羊以及其他动物等天然皮革（包括头层和剖层革）制作的服装,包括天然皮革大衣、天然皮革上衣、天然皮革裤、天然皮革背心、其他天然皮革服装。</t>
  </si>
  <si>
    <t>930</t>
  </si>
  <si>
    <t>1040202020000000000</t>
  </si>
  <si>
    <t>非天然皮革服装</t>
  </si>
  <si>
    <t>指用人造革、合成革、再生革等非天然皮革制作的服装,包括非天然皮革大衣、非天然皮革上衣、非天然皮革裤、非天然皮革背心、其他非天然皮革服装。</t>
  </si>
  <si>
    <t>931</t>
  </si>
  <si>
    <t>1040203010000000000</t>
  </si>
  <si>
    <t>毛皮服装</t>
  </si>
  <si>
    <t>指以各种毛皮为原料生产的服装。包括天然毛皮服装和人造毛皮服装。</t>
  </si>
  <si>
    <t>932</t>
  </si>
  <si>
    <t>1040203020000000000</t>
  </si>
  <si>
    <t>毛皮服装附件</t>
  </si>
  <si>
    <t>包括天然毛皮服装附件和人造毛皮服装附件。</t>
  </si>
  <si>
    <t>933</t>
  </si>
  <si>
    <t>鞋</t>
  </si>
  <si>
    <t>1040204010000000000</t>
  </si>
  <si>
    <t>皮革鞋靴</t>
  </si>
  <si>
    <t>指以天然皮革（头层、二层）、合成革、人造革和再生皮革作面的鞋靴；包括皮革面普通鞋靴、皮革面旅游（运动）鞋靴、皮革面凉鞋或拖鞋、皮革面劳保专用鞋靴、其他皮革面鞋靴、竞技用运动鞋靴。</t>
  </si>
  <si>
    <t>934</t>
  </si>
  <si>
    <t>1040204020000000000</t>
  </si>
  <si>
    <t>纺织面鞋</t>
  </si>
  <si>
    <t>指以纺织织物作为面料制作的鞋，包括纺织面单鞋、纺织面棉鞋、纺织面凉鞋、纺织面拖鞋、纺织面运动鞋、纺织面其他鞋。</t>
  </si>
  <si>
    <t>935</t>
  </si>
  <si>
    <t>1040204030000000000</t>
  </si>
  <si>
    <t>胶鞋</t>
  </si>
  <si>
    <t>以橡胶为鞋底或鞋帮制成的鞋靴，包括胶面胶鞋、橡胶凉鞋或拖鞋、橡塑防护鞋、其他胶鞋。</t>
  </si>
  <si>
    <t>936</t>
  </si>
  <si>
    <t>1040204040000000000</t>
  </si>
  <si>
    <t>塑料鞋</t>
  </si>
  <si>
    <t>指以合成树脂为主要原料加工成型的鞋，包括全塑凉鞋或拖鞋、其他塑料鞋。</t>
  </si>
  <si>
    <t>937</t>
  </si>
  <si>
    <t>1040204050000000000</t>
  </si>
  <si>
    <t>木制鞋</t>
  </si>
  <si>
    <t>指木制的鞋，包括木屐、其他木制鞋。</t>
  </si>
  <si>
    <t>938</t>
  </si>
  <si>
    <t>1040204060000000000</t>
  </si>
  <si>
    <t>舞蹈、戏剧用靴鞋</t>
  </si>
  <si>
    <t>指舞蹈、戏剧专用的靴鞋，包括皮制舞蹈或戏剧用靴鞋、纺织材料鞋面制舞蹈或戏剧用靴鞋。</t>
  </si>
  <si>
    <t>939</t>
  </si>
  <si>
    <t>1040204070000000000</t>
  </si>
  <si>
    <t>靴鞋零件、护腿及类似品</t>
  </si>
  <si>
    <t>包括靴鞋零件、护腿或裹腿及类似品。</t>
  </si>
  <si>
    <t>940</t>
  </si>
  <si>
    <t>1040204990000000000</t>
  </si>
  <si>
    <t>其他鞋</t>
  </si>
  <si>
    <t>941</t>
  </si>
  <si>
    <t>帽子</t>
  </si>
  <si>
    <t>1040205010000000000</t>
  </si>
  <si>
    <t>包括普通帽、有边帽、贝雷帽、制服帽、民族帽、学生帽、学位帽、职业帽、工作帽（厨师帽及类似帽、海员用的防水帽）、运动帽、旅游帽、大礼帽及夜礼帽、兜帽等</t>
  </si>
  <si>
    <t>942</t>
  </si>
  <si>
    <t>1040205020000000000</t>
  </si>
  <si>
    <t>帽子附件</t>
  </si>
  <si>
    <t>包括帽圈、衬、套、帮、骨架、舌及颏带等</t>
  </si>
  <si>
    <t>943</t>
  </si>
  <si>
    <t>皮革、毛皮及其制品</t>
  </si>
  <si>
    <t>皮革毛皮制品</t>
  </si>
  <si>
    <t>1040302010000000000</t>
  </si>
  <si>
    <t>成品革</t>
  </si>
  <si>
    <t>指经脱毛和鞣制等物理、化学加工所得到的已经变性不易腐烂的动物皮，包括重革、轻革、油鞣革。</t>
  </si>
  <si>
    <t>944</t>
  </si>
  <si>
    <t>1040302020000000000</t>
  </si>
  <si>
    <t>再生皮革</t>
  </si>
  <si>
    <t>指以皮革或皮革纤维为基本成分的再生皮革。</t>
  </si>
  <si>
    <t>945</t>
  </si>
  <si>
    <t>1040303010000000000</t>
  </si>
  <si>
    <t>衣箱、提箱及类似容器</t>
  </si>
  <si>
    <t>946</t>
  </si>
  <si>
    <t>1040303020000000000</t>
  </si>
  <si>
    <t>手提包（袋）、背包</t>
  </si>
  <si>
    <t>不包括高尔夫球包（袋）（详见10604060209）。</t>
  </si>
  <si>
    <t>947</t>
  </si>
  <si>
    <t>1040303030000000000</t>
  </si>
  <si>
    <t>皮革作面类似箱、包容器</t>
  </si>
  <si>
    <t>包括再生皮革或漆皮作面的其他类似容器，不包括高尔夫球包（袋）（详见10604060209）。</t>
  </si>
  <si>
    <t>948</t>
  </si>
  <si>
    <t>1040303040000000000</t>
  </si>
  <si>
    <t>塑料作面类似箱、包容器</t>
  </si>
  <si>
    <t>949</t>
  </si>
  <si>
    <t>1040303050000000000</t>
  </si>
  <si>
    <t>纺织材料作面类似箱、包容器</t>
  </si>
  <si>
    <t>950</t>
  </si>
  <si>
    <t>1040303990000000000</t>
  </si>
  <si>
    <t>其他箱、包及类似容器</t>
  </si>
  <si>
    <t>951</t>
  </si>
  <si>
    <t>1040304010000000000</t>
  </si>
  <si>
    <t>皮革手套</t>
  </si>
  <si>
    <t>指皮革及再生皮革制手套，包括日常用皮革制手套、劳保用皮革制手套、其他皮革手套，不包括运动专用手套运动防护用具（详见106040606）。</t>
  </si>
  <si>
    <t>952</t>
  </si>
  <si>
    <t>1040304020000000000</t>
  </si>
  <si>
    <t>毛皮手套</t>
  </si>
  <si>
    <t>包括动物毛皮手套、人造毛皮手套。</t>
  </si>
  <si>
    <t>953</t>
  </si>
  <si>
    <t>1040304030000000000</t>
  </si>
  <si>
    <t>皮革制衣着附件</t>
  </si>
  <si>
    <t>包括皮革腰带、皮领带、皮革制子弹带、其他皮革制衣着附件</t>
  </si>
  <si>
    <t>954</t>
  </si>
  <si>
    <t>1040305010000000000</t>
  </si>
  <si>
    <t>钱包及类似物品</t>
  </si>
  <si>
    <t>指用各种材料制作的通常置于口袋或手提包内的物品，包括钱包、皮夹、钥匙包及类似物品。</t>
  </si>
  <si>
    <t>955</t>
  </si>
  <si>
    <t>1040305020000000000</t>
  </si>
  <si>
    <t>皮革制座套</t>
  </si>
  <si>
    <t>包括天然皮革、合成革、人造革、再生皮革制沙发座套、汽车座套及类似制品。</t>
  </si>
  <si>
    <t>956</t>
  </si>
  <si>
    <t>1040305030000000000</t>
  </si>
  <si>
    <t>专门技术用途皮革制品</t>
  </si>
  <si>
    <t>指机器等专门技术用途的皮革或再生皮革制品，包括机器任何部位的皮革制传动带或输送带、皮革制输送吊斗、纺织机械用肚档皮带、清棉皮带、精梳皮革、综丝皮条及其他皮革制品、生皮锤等</t>
  </si>
  <si>
    <t>957</t>
  </si>
  <si>
    <t>1040305040000000000</t>
  </si>
  <si>
    <t>鞍具及挽具</t>
  </si>
  <si>
    <t>指各种材料制成适合各种动物用的鞍具及挽具。</t>
  </si>
  <si>
    <t>958</t>
  </si>
  <si>
    <t>1040305990000000000</t>
  </si>
  <si>
    <t>其他相关皮革制品</t>
  </si>
  <si>
    <t>包括皮革制行李标签、磨剃刀的皮带、靴带、书籍封皮等未列明的皮革制品</t>
  </si>
  <si>
    <t>959</t>
  </si>
  <si>
    <t>1040306010000000000</t>
  </si>
  <si>
    <t>鞣制毛皮</t>
  </si>
  <si>
    <t>指已鞣制或硝制的毛皮（包括未缝制和已缝制的），包括未缝制整张毛皮、未缝制头或尾或爪及其块或片。</t>
  </si>
  <si>
    <t>960</t>
  </si>
  <si>
    <t>1040306020000000000</t>
  </si>
  <si>
    <t>已缝制整张毛皮及其块、片</t>
  </si>
  <si>
    <t>包括已缝制的已鞣制或硝制的毛皮。</t>
  </si>
  <si>
    <t>961</t>
  </si>
  <si>
    <t>1040306030000000000</t>
  </si>
  <si>
    <t>天然毛皮制品</t>
  </si>
  <si>
    <t>包括毛皮小地毯、毛皮床罩、毛皮坐垫、毛皮狩猎袋、供机器或机械器具用的毛皮制品。不包括天然毛皮服装(详见1040203)。</t>
  </si>
  <si>
    <t>962</t>
  </si>
  <si>
    <t>1040306040000000000</t>
  </si>
  <si>
    <t>人造毛皮</t>
  </si>
  <si>
    <t>指外观类似动物毛皮的长毛绒型织物。</t>
  </si>
  <si>
    <t>963</t>
  </si>
  <si>
    <t>1040306050000000000</t>
  </si>
  <si>
    <t>人造毛皮制品</t>
  </si>
  <si>
    <t>包括人造兽尾制品,不包括人造毛皮服装(详见104020302)。</t>
  </si>
  <si>
    <t>964</t>
  </si>
  <si>
    <t>1040307010000000000</t>
  </si>
  <si>
    <t>加工填充用羽毛</t>
  </si>
  <si>
    <t>965</t>
  </si>
  <si>
    <t>1040307020000000000</t>
  </si>
  <si>
    <t>加工填充用羽绒</t>
  </si>
  <si>
    <t>966</t>
  </si>
  <si>
    <t>木制品、家具类产品</t>
  </si>
  <si>
    <t>木材及木、竹、藤、棕、草制品</t>
  </si>
  <si>
    <t>木制品</t>
  </si>
  <si>
    <t>1050101010000000000</t>
  </si>
  <si>
    <t>普通锯材</t>
  </si>
  <si>
    <t>不包括铁路货车锯材、载重汽车锯材、船用锯材、罐道木、包装箱锯材、机台木（详见105010102）</t>
  </si>
  <si>
    <t>967</t>
  </si>
  <si>
    <t>1050101020000000000</t>
  </si>
  <si>
    <t>特种锯材</t>
  </si>
  <si>
    <t>包括铁路货车锯材、载重汽车锯材、船用锯材、罐道木、包装箱锯材、机台木</t>
  </si>
  <si>
    <t>968</t>
  </si>
  <si>
    <t>1050101030000000000</t>
  </si>
  <si>
    <t>枕木</t>
  </si>
  <si>
    <t>是用于铁路、专用轨道走行设备铺设和承载设备铺垫的材料。</t>
  </si>
  <si>
    <t>969</t>
  </si>
  <si>
    <t>1050101990000000000</t>
  </si>
  <si>
    <t>其他锯材</t>
  </si>
  <si>
    <t>970</t>
  </si>
  <si>
    <t>1050102010000000000</t>
  </si>
  <si>
    <t>木片、木粒</t>
  </si>
  <si>
    <t>指用机械方法将木材制成小片（扁平刚硬且粗制成方形）或小粒（细小且有柔性），用于机械法、化学法或机械-化学法制纤维素浆，或制造纤维板或木质碎料板</t>
  </si>
  <si>
    <t>971</t>
  </si>
  <si>
    <t>1050102020000000000</t>
  </si>
  <si>
    <t>木丝、木粉</t>
  </si>
  <si>
    <t>972</t>
  </si>
  <si>
    <t>1050102030000000000</t>
  </si>
  <si>
    <t>锯末、木废料及碎片</t>
  </si>
  <si>
    <t>973</t>
  </si>
  <si>
    <t>1050103010000000000</t>
  </si>
  <si>
    <t>胶合板</t>
  </si>
  <si>
    <t>是由木段旋切成单板或由木方刨切成薄木，再用胶粘剂胶合而成的三层或多层的板状材料</t>
  </si>
  <si>
    <t>974</t>
  </si>
  <si>
    <t>1050103020000000000</t>
  </si>
  <si>
    <t>纤维板</t>
  </si>
  <si>
    <t>由木质纤维素纤维交织成型并利用其固有胶粘性能制成的人造板。</t>
  </si>
  <si>
    <t>975</t>
  </si>
  <si>
    <t>1050103030000000000</t>
  </si>
  <si>
    <t>刨花板</t>
  </si>
  <si>
    <t>也称碎料板</t>
  </si>
  <si>
    <t>976</t>
  </si>
  <si>
    <t>1050103040000000000</t>
  </si>
  <si>
    <t>细木工板</t>
  </si>
  <si>
    <t>指单板饰面板</t>
  </si>
  <si>
    <t>977</t>
  </si>
  <si>
    <t>1050103990000000000</t>
  </si>
  <si>
    <t>其他人造板</t>
  </si>
  <si>
    <t>978</t>
  </si>
  <si>
    <t>1050104010000000000</t>
  </si>
  <si>
    <t>单板</t>
  </si>
  <si>
    <t>是指原木通过旋切或刨切获得的，厚度在1mm左右，用于制造胶合板等人造板材的木质材料。</t>
  </si>
  <si>
    <t>979</t>
  </si>
  <si>
    <t>1050104020000000000</t>
  </si>
  <si>
    <t>强化木</t>
  </si>
  <si>
    <t>980</t>
  </si>
  <si>
    <t>1050104030000000000</t>
  </si>
  <si>
    <t>指接材</t>
  </si>
  <si>
    <t>由多块木板端面采用锯齿状接口,类似两手手指交叉对接,纵向拼接而成。</t>
  </si>
  <si>
    <t>981</t>
  </si>
  <si>
    <t>1050104040000000000</t>
  </si>
  <si>
    <t>人造板表面装饰板</t>
  </si>
  <si>
    <t>指单板贴面板</t>
  </si>
  <si>
    <t>982</t>
  </si>
  <si>
    <t>1050104050000000000</t>
  </si>
  <si>
    <t>热固性树脂装饰层压板</t>
  </si>
  <si>
    <t>983</t>
  </si>
  <si>
    <t>1050105010000000000</t>
  </si>
  <si>
    <t>木制门及其框架和门槛</t>
  </si>
  <si>
    <t>984</t>
  </si>
  <si>
    <t>1050105020000000000</t>
  </si>
  <si>
    <t>木制窗及其木制框架</t>
  </si>
  <si>
    <t>985</t>
  </si>
  <si>
    <t>1050105030000000000</t>
  </si>
  <si>
    <t>木模</t>
  </si>
  <si>
    <t>指木制水泥构件的模板</t>
  </si>
  <si>
    <t>986</t>
  </si>
  <si>
    <t>1050105040100000000</t>
  </si>
  <si>
    <t>实木地板</t>
  </si>
  <si>
    <t>以木材为原料，通过一定的工艺将木材刨切加工成单板（刨切薄木）或旋切加工成单板，然后将多层单板经过胶压复合等工艺生产的实木地板。</t>
  </si>
  <si>
    <t>987</t>
  </si>
  <si>
    <t>1050105049900000000</t>
  </si>
  <si>
    <t>其他木制地板</t>
  </si>
  <si>
    <t>988</t>
  </si>
  <si>
    <t>1050105050000000000</t>
  </si>
  <si>
    <t>木瓦</t>
  </si>
  <si>
    <t>989</t>
  </si>
  <si>
    <t>1050105060000000000</t>
  </si>
  <si>
    <t>木制盖屋板</t>
  </si>
  <si>
    <t>990</t>
  </si>
  <si>
    <t>1050105070000000000</t>
  </si>
  <si>
    <t>木制梁、椽、屋顶支梁</t>
  </si>
  <si>
    <t>991</t>
  </si>
  <si>
    <t>1050105080000000000</t>
  </si>
  <si>
    <t>木制楼梯</t>
  </si>
  <si>
    <t>992</t>
  </si>
  <si>
    <t>1050105090000000000</t>
  </si>
  <si>
    <t>木制栏杆</t>
  </si>
  <si>
    <t>993</t>
  </si>
  <si>
    <t>1050105990000000000</t>
  </si>
  <si>
    <t>其他建筑用木料及加工木材组件</t>
  </si>
  <si>
    <t>994</t>
  </si>
  <si>
    <t>1050106010000000000</t>
  </si>
  <si>
    <t>木制桶、槽、盆及类似容器</t>
  </si>
  <si>
    <t>995</t>
  </si>
  <si>
    <t>1050106020000000000</t>
  </si>
  <si>
    <t>包装用木容器</t>
  </si>
  <si>
    <t>包括包装用木箱、木盒、板条箱及类似包装容器</t>
  </si>
  <si>
    <t>996</t>
  </si>
  <si>
    <t>1050106030000000000</t>
  </si>
  <si>
    <t>木质保温容器</t>
  </si>
  <si>
    <t>997</t>
  </si>
  <si>
    <t>1050106040000000000</t>
  </si>
  <si>
    <t>木托板、箱形托盘及类似装载木板</t>
  </si>
  <si>
    <t>998</t>
  </si>
  <si>
    <t>1050107010000000000</t>
  </si>
  <si>
    <t>天然软木</t>
  </si>
  <si>
    <t>植物木栓层非常发达的树种的外皮产物</t>
  </si>
  <si>
    <t>999</t>
  </si>
  <si>
    <t>1050107020000000000</t>
  </si>
  <si>
    <t>软木制品</t>
  </si>
  <si>
    <t>由软木加工后制成的产品，不包括压制软木及其制品（详见105010703）</t>
  </si>
  <si>
    <t>1000</t>
  </si>
  <si>
    <t>1050107030000000000</t>
  </si>
  <si>
    <t>压制软木及其制品</t>
  </si>
  <si>
    <t>压制软木通常是将软木碎、软木粒或软木粉用加入粘合物质，或不加粘合物质的方法高温加压制得</t>
  </si>
  <si>
    <t>1001</t>
  </si>
  <si>
    <t>1050108010000000000</t>
  </si>
  <si>
    <t>木制餐具及厨房用具</t>
  </si>
  <si>
    <t>不包括木制一次性筷子（详见105010802）。</t>
  </si>
  <si>
    <t>1002</t>
  </si>
  <si>
    <t>1050108020000000000</t>
  </si>
  <si>
    <t>木制一次性筷子</t>
  </si>
  <si>
    <t>1003</t>
  </si>
  <si>
    <t>1050108030000000000</t>
  </si>
  <si>
    <t>木质框架，相关木制品</t>
  </si>
  <si>
    <t>1004</t>
  </si>
  <si>
    <t>竹制品</t>
  </si>
  <si>
    <t>1050109010000000000</t>
  </si>
  <si>
    <t>竹制工业、建筑用品</t>
  </si>
  <si>
    <t>指工业及建筑生产用竹制品</t>
  </si>
  <si>
    <t>1005</t>
  </si>
  <si>
    <t>1050109020000000000</t>
  </si>
  <si>
    <t>竹制包装用品</t>
  </si>
  <si>
    <t>指包装用竹制品</t>
  </si>
  <si>
    <t>1006</t>
  </si>
  <si>
    <t>1050109030000000000</t>
  </si>
  <si>
    <t>竹制炊事用具</t>
  </si>
  <si>
    <t>指炊事用竹制品</t>
  </si>
  <si>
    <t>1007</t>
  </si>
  <si>
    <t>1050109040000000000</t>
  </si>
  <si>
    <t>竹编结制品，相关竹制品</t>
  </si>
  <si>
    <t>采用编结方法制成的竹制品</t>
  </si>
  <si>
    <t>1008</t>
  </si>
  <si>
    <t>棕藤草制品</t>
  </si>
  <si>
    <t>1050110010000000000</t>
  </si>
  <si>
    <t>棕制品</t>
  </si>
  <si>
    <t>由山棕的粽叶、棕丝、棕骨等制成的产品</t>
  </si>
  <si>
    <t>1009</t>
  </si>
  <si>
    <t>1050110020000000000</t>
  </si>
  <si>
    <t>藤制品</t>
  </si>
  <si>
    <t>藤条经加工处理后制成的产品</t>
  </si>
  <si>
    <t>1010</t>
  </si>
  <si>
    <t>1050110030000000000</t>
  </si>
  <si>
    <t>柳（荆）条制品</t>
  </si>
  <si>
    <t>柳（荆）条经加工处理后制成的产品</t>
  </si>
  <si>
    <t>1011</t>
  </si>
  <si>
    <t>1050110040000000000</t>
  </si>
  <si>
    <t>苇制品</t>
  </si>
  <si>
    <t>芦苇经加工处理后制成的产品</t>
  </si>
  <si>
    <t>1012</t>
  </si>
  <si>
    <t>1050110050000000000</t>
  </si>
  <si>
    <t>草制品</t>
  </si>
  <si>
    <t>草经加工处理后制成的产品，不包括草帽（详见104020501）、草鞋（详见104020499）</t>
  </si>
  <si>
    <t>1013</t>
  </si>
  <si>
    <t>1050110060000000000</t>
  </si>
  <si>
    <t>玉米皮制篮筐，类似编结品</t>
  </si>
  <si>
    <t>1014</t>
  </si>
  <si>
    <t>1050110990000000000</t>
  </si>
  <si>
    <t>其他棕、藤、草及类似制品</t>
  </si>
  <si>
    <t>1015</t>
  </si>
  <si>
    <t>家具及配件</t>
  </si>
  <si>
    <t>家具</t>
  </si>
  <si>
    <t>1050201010000000000</t>
  </si>
  <si>
    <t>木质家具</t>
  </si>
  <si>
    <t>指以天然木材和木质人造板为主要材料制作的家具，包括木质普通家具和木质工艺家具</t>
  </si>
  <si>
    <t>1016</t>
  </si>
  <si>
    <t>1050201020000000000</t>
  </si>
  <si>
    <t>竹家具</t>
  </si>
  <si>
    <t>指以天然竹材和人造竹材为主要材料制作的家具，包括竹材普通家具和竹材工艺家具</t>
  </si>
  <si>
    <t>1017</t>
  </si>
  <si>
    <t>1050201030000000000</t>
  </si>
  <si>
    <t>藤家具</t>
  </si>
  <si>
    <t>1018</t>
  </si>
  <si>
    <t>1050201040000000000</t>
  </si>
  <si>
    <t>金属家具</t>
  </si>
  <si>
    <t>指主要结构是金属的家具</t>
  </si>
  <si>
    <t>1019</t>
  </si>
  <si>
    <t>1050201050000000000</t>
  </si>
  <si>
    <t>塑料家具</t>
  </si>
  <si>
    <t>指主要结构是塑料的家具</t>
  </si>
  <si>
    <t>1020</t>
  </si>
  <si>
    <t>1050201060000000000</t>
  </si>
  <si>
    <t>软体家具</t>
  </si>
  <si>
    <t>指的是以海绵、织物为主体的家具。例如沙发、床等家具。</t>
  </si>
  <si>
    <t>1021</t>
  </si>
  <si>
    <t>1050201070000000000</t>
  </si>
  <si>
    <t>玻璃、玻璃纤维增强塑料家具</t>
  </si>
  <si>
    <t>指主要结构是玻璃、玻璃纤维增强塑料的家具</t>
  </si>
  <si>
    <t>1022</t>
  </si>
  <si>
    <t>1050201080000000000</t>
  </si>
  <si>
    <t>石头、陶瓷制家具</t>
  </si>
  <si>
    <t>指主要结构是石头、陶瓷的家具</t>
  </si>
  <si>
    <t>1023</t>
  </si>
  <si>
    <t>1050201990000000000</t>
  </si>
  <si>
    <t>其他家具</t>
  </si>
  <si>
    <t>1024</t>
  </si>
  <si>
    <t>家具配件</t>
  </si>
  <si>
    <t>1050202010000000000</t>
  </si>
  <si>
    <t>木质家具零配件</t>
  </si>
  <si>
    <t>不包括坐具零配件（详见105020208）</t>
  </si>
  <si>
    <t>1025</t>
  </si>
  <si>
    <t>1050202020000000000</t>
  </si>
  <si>
    <t>竹家具零配件</t>
  </si>
  <si>
    <t>1026</t>
  </si>
  <si>
    <t>1050202030000000000</t>
  </si>
  <si>
    <t>藤家具零配件</t>
  </si>
  <si>
    <t>1027</t>
  </si>
  <si>
    <t>1050202040000000000</t>
  </si>
  <si>
    <t>金属家具零配件</t>
  </si>
  <si>
    <t>1028</t>
  </si>
  <si>
    <t>1050202050000000000</t>
  </si>
  <si>
    <t>塑料家具零配件</t>
  </si>
  <si>
    <t>1029</t>
  </si>
  <si>
    <t>1050202060000000000</t>
  </si>
  <si>
    <t>软体家具零配件</t>
  </si>
  <si>
    <t>1030</t>
  </si>
  <si>
    <t>1050202070000000000</t>
  </si>
  <si>
    <t>玻璃家具零配件</t>
  </si>
  <si>
    <t>1031</t>
  </si>
  <si>
    <t>1050202080000000000</t>
  </si>
  <si>
    <t>坐具零配件</t>
  </si>
  <si>
    <t>1032</t>
  </si>
  <si>
    <t>1050202990000000000</t>
  </si>
  <si>
    <t>其他家具配件</t>
  </si>
  <si>
    <t>1033</t>
  </si>
  <si>
    <t>纸、印刷品、软件、文教、工艺品类产品</t>
  </si>
  <si>
    <t>纸及纸制品</t>
  </si>
  <si>
    <t>纸制品</t>
  </si>
  <si>
    <t>1060101010000000000</t>
  </si>
  <si>
    <t>木浆</t>
  </si>
  <si>
    <t>包括磨石磨木浆、木片磨木浆、漂白化学木浆、未漂白化学木浆、化学机械木浆等。</t>
  </si>
  <si>
    <t>1034</t>
  </si>
  <si>
    <t>1060101020000000000</t>
  </si>
  <si>
    <t>非木材纤维纸浆</t>
  </si>
  <si>
    <t>不包括秸秆浆（详见106010105）。</t>
  </si>
  <si>
    <t>1035</t>
  </si>
  <si>
    <t>1060101030000000000</t>
  </si>
  <si>
    <t>废纸纸浆</t>
  </si>
  <si>
    <t>指采用回收纸和纸制品制造的纸浆。</t>
  </si>
  <si>
    <t>1036</t>
  </si>
  <si>
    <t>1060101040000000000</t>
  </si>
  <si>
    <t>化学溶解浆</t>
  </si>
  <si>
    <t>指在制浆过程中除去了木素和半纤维素,只保留纤维素的高纯度精制化学浆。</t>
  </si>
  <si>
    <t>1037</t>
  </si>
  <si>
    <t>1060101050000000000</t>
  </si>
  <si>
    <t>秸秆浆</t>
  </si>
  <si>
    <t>含蔗渣浆、麦草浆、稻草浆（禾草浆）、麻浆。</t>
  </si>
  <si>
    <t>1038</t>
  </si>
  <si>
    <t>1060101060000000000</t>
  </si>
  <si>
    <t>再生纸浆</t>
  </si>
  <si>
    <t>废铝塑（纸铝、纸塑）复合纸包装材料生产的纸浆。</t>
  </si>
  <si>
    <t>1039</t>
  </si>
  <si>
    <t>1060101990000000000</t>
  </si>
  <si>
    <t>其他纸浆</t>
  </si>
  <si>
    <t>1040</t>
  </si>
  <si>
    <t>1060102010000000000</t>
  </si>
  <si>
    <t>未涂布印刷书写用纸</t>
  </si>
  <si>
    <t>包括新闻纸、书写印刷纸、其他未涂布印刷书写用纸，不包括外购原纸加工（详见1060103）。</t>
  </si>
  <si>
    <t>1041</t>
  </si>
  <si>
    <t>1060102020000000000</t>
  </si>
  <si>
    <t>涂布类印刷用纸</t>
  </si>
  <si>
    <t>指涂有高岭土或其他无机物质的纸和纸板，包括铜版纸、轻量涂布纸、其他涂布类印刷用纸。</t>
  </si>
  <si>
    <t>1042</t>
  </si>
  <si>
    <t>1060102030000000000</t>
  </si>
  <si>
    <t>卫生用纸原纸</t>
  </si>
  <si>
    <t>指成卷或成张的卫生纸、面巾纸、餐巾纸等卫生用纸的原纸，包括卫生纸原纸、面巾纸原纸、餐巾纸原纸、其他卫生用纸原纸。</t>
  </si>
  <si>
    <t>1043</t>
  </si>
  <si>
    <t>1060102040000000000</t>
  </si>
  <si>
    <t>包装用纸及纸板</t>
  </si>
  <si>
    <t>包括包装纸、箱纸板、白纸板、瓦楞原纸、工业技术配套用纸、其他包装用纸及纸板，无论是否涂布均属此类。</t>
  </si>
  <si>
    <t>1044</t>
  </si>
  <si>
    <t>1060102050000000000</t>
  </si>
  <si>
    <t>感应纸及纸板</t>
  </si>
  <si>
    <t>包括光敏、热敏、压敏及其他感应纸及纸板的原纸和原纸板。</t>
  </si>
  <si>
    <t>1045</t>
  </si>
  <si>
    <t>1060102060000000000</t>
  </si>
  <si>
    <t>纤维类过滤纸及纸板</t>
  </si>
  <si>
    <t>包括油滤纸及纸板、空气过滤纸及纸板、液体过滤纸及纸板、其他纤维类过滤纸及纸板。</t>
  </si>
  <si>
    <t>1046</t>
  </si>
  <si>
    <t>1060102990000000000</t>
  </si>
  <si>
    <t>其他机制纸及纸板</t>
  </si>
  <si>
    <t>1047</t>
  </si>
  <si>
    <t>1060103010000000000</t>
  </si>
  <si>
    <t>美纹、穿孔纸及纸板</t>
  </si>
  <si>
    <t>包括美纹纸及纸板、穿孔纸及纸板。</t>
  </si>
  <si>
    <t>1048</t>
  </si>
  <si>
    <t>1060103020000000000</t>
  </si>
  <si>
    <t>转印纸</t>
  </si>
  <si>
    <t>包括静电复印纸、复写纸、热敏纸（即热成像纸）、工业转移印刷纸、其他转印纸。</t>
  </si>
  <si>
    <t>1049</t>
  </si>
  <si>
    <t>1060103030000000000</t>
  </si>
  <si>
    <t>油印蜡纸或胶印版纸</t>
  </si>
  <si>
    <t>包括油印蜡纸、胶印版纸。</t>
  </si>
  <si>
    <t>1050</t>
  </si>
  <si>
    <t>1060103040000000000</t>
  </si>
  <si>
    <t>涂布浸渍覆盖纸</t>
  </si>
  <si>
    <t>指涂有蜡、树脂、胶、塑料等涂布的成卷成张矩形涂布浸渍覆盖染面饰面或印花纸，包括焦油纸及纸板、沥青纸及纸板、胶粘纸及纸板、塑料涂布或浸渍或覆盖纸及纸板、用蜡或石蜡浸涂纸、用硬脂精或油或甘油浸涂纸、其他涂布浸渍覆盖纸。</t>
  </si>
  <si>
    <t>1051</t>
  </si>
  <si>
    <t>1060103050000000000</t>
  </si>
  <si>
    <t>瓦楞纸板</t>
  </si>
  <si>
    <t>指由至少一层瓦楞纸和一层箱板纸(也叫箱纸板)粘合而成的纸板。</t>
  </si>
  <si>
    <t>1052</t>
  </si>
  <si>
    <t>1060103990000000000</t>
  </si>
  <si>
    <t>其他加工纸</t>
  </si>
  <si>
    <t>1053</t>
  </si>
  <si>
    <t>1060104010000000000</t>
  </si>
  <si>
    <t>手工纸</t>
  </si>
  <si>
    <t>包括宣纸、国画纸、其他手工纸。</t>
  </si>
  <si>
    <t>1054</t>
  </si>
  <si>
    <t>1060104020000000000</t>
  </si>
  <si>
    <t>手工纸板</t>
  </si>
  <si>
    <t>1055</t>
  </si>
  <si>
    <t>1060105010000000000</t>
  </si>
  <si>
    <t>纸和纸板制容器</t>
  </si>
  <si>
    <t>指用纸或纸板制的各种容器，包括瓦楞纸及纸板容器、非瓦楞纸及纸板容器、纸袋、纸制餐具、其他纸和纸板制容器。不包括纸制文具及办公用品（详见106010502）。</t>
  </si>
  <si>
    <t>1056</t>
  </si>
  <si>
    <t>1060105020000000000</t>
  </si>
  <si>
    <t>纸制文具及用品</t>
  </si>
  <si>
    <t>指用纸或纸板为原料进一步加工而成的纸制文具及办公用品。包括纸制卷宗盒、信件盘、存储盒、文件袋（夹）、信封、明信片类制品等。不包括练习本、账册、集邮簿等本册（详见1060202）</t>
  </si>
  <si>
    <t>1057</t>
  </si>
  <si>
    <t>1060105030000000000</t>
  </si>
  <si>
    <t>纸浆模制品</t>
  </si>
  <si>
    <t>指压制或模制纸浆制品，包括一次性纸浆模餐具、方便面碗、纸浆模制超市托盒（盘）、医用一次性托盘和用具、精密工业品包装纸浆模制品、其他纸浆模制品。</t>
  </si>
  <si>
    <t>1058</t>
  </si>
  <si>
    <t>1060105040000000000</t>
  </si>
  <si>
    <t>卫生用纸制品</t>
  </si>
  <si>
    <t>指用成卷或成张的卫生用纸原纸为原料,进一步加工而成的卫生用纸制品（含一次性卫生制品），包括卫生纸、纸手帕及面巾纸、纸餐巾、纸台布、纸卫生巾、纸止血塞、纸尿布、尿布衬里、纸浆或纸或纤维素絮制服装、卫生用纸制品。</t>
  </si>
  <si>
    <t>1059</t>
  </si>
  <si>
    <t>1060105050000000000</t>
  </si>
  <si>
    <t>纸制壁纸、窗纸、铺地制品及类似品</t>
  </si>
  <si>
    <t>包括壁纸及类似品、纸制窗纸及类似品、纸制铺地制品及类似品。</t>
  </si>
  <si>
    <t>1060</t>
  </si>
  <si>
    <t>1060105060000000000</t>
  </si>
  <si>
    <t>纸浆制滤块、滤板及滤片</t>
  </si>
  <si>
    <t>包括纸浆制滤块、纸浆制滤板及滤片。</t>
  </si>
  <si>
    <t>1061</t>
  </si>
  <si>
    <t>1060105070000000000</t>
  </si>
  <si>
    <t>纸或纸板制标签</t>
  </si>
  <si>
    <t>包括印有文字图画纸制标签、未印文字图画纸制标签，不论是否印制均属此项。</t>
  </si>
  <si>
    <t>1062</t>
  </si>
  <si>
    <t>1060105080000000000</t>
  </si>
  <si>
    <t>纸制筒管、卷轴、纡子及类似品</t>
  </si>
  <si>
    <t>指纸浆、纸或纸板制的筒管、卷轴、纡子等物品，包括纸制纺织纱线用筒管、纸制纺织纱线用卷轴、其他纸制纡子及类似品。</t>
  </si>
  <si>
    <t>1063</t>
  </si>
  <si>
    <t>1060105090000000000</t>
  </si>
  <si>
    <t>神纸及类似用品</t>
  </si>
  <si>
    <t>指祭祀用纸及类似品。</t>
  </si>
  <si>
    <t>1064</t>
  </si>
  <si>
    <t>1060105100000000000</t>
  </si>
  <si>
    <t>纸扇</t>
  </si>
  <si>
    <t>1065</t>
  </si>
  <si>
    <t>1060105110000000000</t>
  </si>
  <si>
    <t>箱板纸</t>
  </si>
  <si>
    <t>指纸箱用纸，又称牛皮纸、牛卡纸。</t>
  </si>
  <si>
    <t>1066</t>
  </si>
  <si>
    <t>1060105990000000000</t>
  </si>
  <si>
    <t>其他纸制品</t>
  </si>
  <si>
    <t>1067</t>
  </si>
  <si>
    <t>印刷品、记录媒介复制品</t>
  </si>
  <si>
    <t>印刷品</t>
  </si>
  <si>
    <t>1060201010100000000</t>
  </si>
  <si>
    <t>党报</t>
  </si>
  <si>
    <t>包括单色、多色，不包括邮政部门报刊发行服务（详见3020103）</t>
  </si>
  <si>
    <t>1068</t>
  </si>
  <si>
    <t>1060201010200000000</t>
  </si>
  <si>
    <t>党刊</t>
  </si>
  <si>
    <t>1069</t>
  </si>
  <si>
    <t>1060201010300000000</t>
  </si>
  <si>
    <t>机关报刊、机关期刊</t>
  </si>
  <si>
    <t>指中国共产党和各民主党派的各级组织的机关报纸和机关期刊，各级人大、政协、政府、工会、共青团、妇联、残联、科协的机关报纸和机关期刊，新华社的机关报纸和机关期刊，军事部门的机关报纸和机关期刊</t>
  </si>
  <si>
    <t>1070</t>
  </si>
  <si>
    <t>1060201010400000000</t>
  </si>
  <si>
    <t>盲文图书和盲文期刊</t>
  </si>
  <si>
    <t>不包括党报（详见10602010101）、期刊（详见10602010102）</t>
  </si>
  <si>
    <t>1071</t>
  </si>
  <si>
    <t>1060201010500000000</t>
  </si>
  <si>
    <t>少数民族文字出版物</t>
  </si>
  <si>
    <t>1072</t>
  </si>
  <si>
    <t>1060201010600000000</t>
  </si>
  <si>
    <t>特定地区出版物</t>
  </si>
  <si>
    <t>指经批准在内蒙古、广西、西藏、宁夏、新疆五个自治区内注册的出版单位出版的出版物。</t>
  </si>
  <si>
    <t>1073</t>
  </si>
  <si>
    <t>1060201010700000000</t>
  </si>
  <si>
    <t>特定图书、报纸和期刊</t>
  </si>
  <si>
    <t>指《财政部国家税务总局关于延续宣传文化增值税和营业税优惠政策的通知》（财税〔2013〕87号）附件1所列图书、报纸和期刊</t>
  </si>
  <si>
    <t>1074</t>
  </si>
  <si>
    <t>1060201010800000000</t>
  </si>
  <si>
    <t>少年儿童报刊及课本</t>
  </si>
  <si>
    <t>指专为初中及初中以下少年儿童出版发行的报纸和期刊，普通中小学学生课本和中等职业教育课本。</t>
  </si>
  <si>
    <t>1075</t>
  </si>
  <si>
    <t>1060201010900000000</t>
  </si>
  <si>
    <t>老年报刊</t>
  </si>
  <si>
    <t>指专为老年人出版发行的报纸和期刊</t>
  </si>
  <si>
    <t>1076</t>
  </si>
  <si>
    <t>1060201019900000000</t>
  </si>
  <si>
    <t>其他有刊号图书、报纸、期刊类印刷品</t>
  </si>
  <si>
    <t>1077</t>
  </si>
  <si>
    <t>1060201020000000000</t>
  </si>
  <si>
    <t>无刊号图书、报纸、期刊类印刷品</t>
  </si>
  <si>
    <t>1078</t>
  </si>
  <si>
    <t>1060201030000000000</t>
  </si>
  <si>
    <t>广告宣传印刷品</t>
  </si>
  <si>
    <t>1079</t>
  </si>
  <si>
    <t>1060201040000000000</t>
  </si>
  <si>
    <t>地图、地图册</t>
  </si>
  <si>
    <t>1080</t>
  </si>
  <si>
    <t>1060201050000000000</t>
  </si>
  <si>
    <t>图片、设计图样及照片</t>
  </si>
  <si>
    <t>1081</t>
  </si>
  <si>
    <t>1060201060000000000</t>
  </si>
  <si>
    <t>票证</t>
  </si>
  <si>
    <t>1082</t>
  </si>
  <si>
    <t>1060201070000000000</t>
  </si>
  <si>
    <t>明信片、卡片、日历、挂历</t>
  </si>
  <si>
    <t>1083</t>
  </si>
  <si>
    <t>1060201990000000000</t>
  </si>
  <si>
    <t>其他印刷品</t>
  </si>
  <si>
    <t>1084</t>
  </si>
  <si>
    <t>1060202010000000000</t>
  </si>
  <si>
    <t>用于书写本册</t>
  </si>
  <si>
    <t>包括练习簿、学生簿（课业簿册）、笔记簿、日记簿、效率手册、螺旋本、收据本</t>
  </si>
  <si>
    <t>1085</t>
  </si>
  <si>
    <t>1060202990000000000</t>
  </si>
  <si>
    <t>其他本册</t>
  </si>
  <si>
    <t>1086</t>
  </si>
  <si>
    <t>1060203000000000000</t>
  </si>
  <si>
    <t>印刷用附件</t>
  </si>
  <si>
    <t>包括排版用活字、印版、滚筒</t>
  </si>
  <si>
    <t>1087</t>
  </si>
  <si>
    <t>磁介质复制品</t>
  </si>
  <si>
    <t>1060204010000000000</t>
  </si>
  <si>
    <t>录音带复制品</t>
  </si>
  <si>
    <t>包括已录制录音带，宽≤4mm、已录制教学用录音带、已录制非教学用录音带、已录制录音带，4mm＜宽≤6.5mm、已录制教学用录音带、已录制非教学用录音带、已录制录音带，宽＞6.5mm、已录制教学用录音带、已录制非教学用录音带</t>
  </si>
  <si>
    <t>1088</t>
  </si>
  <si>
    <t>1060204020000000000</t>
  </si>
  <si>
    <t>录像带复制品</t>
  </si>
  <si>
    <t>包括已录制录像带，宽≤4mm、已录制教学用录像带、已录制非教学用录像、已录制录像带，4mm＜宽≤6.5mm、已录制教学用录像带、已录制非教学用录像带、已录制录像带，宽＞6.5mm、已录制教学用录像带、已录制非教学用录像带</t>
  </si>
  <si>
    <t>1089</t>
  </si>
  <si>
    <t>1060204030000000000</t>
  </si>
  <si>
    <t>软磁盘复制品</t>
  </si>
  <si>
    <t>包括教学用磁盘、非教学用磁盘</t>
  </si>
  <si>
    <t>1090</t>
  </si>
  <si>
    <t>1060204990000000000</t>
  </si>
  <si>
    <t>其他磁介质复制品</t>
  </si>
  <si>
    <t>1091</t>
  </si>
  <si>
    <t>非磁介质复制品</t>
  </si>
  <si>
    <t>1060205010000000000</t>
  </si>
  <si>
    <t>唱片复制品</t>
  </si>
  <si>
    <t>指已灌（录）信息的唱片，不包括电子出版物（详见1060302）</t>
  </si>
  <si>
    <t>1092</t>
  </si>
  <si>
    <t>1060205020000000000</t>
  </si>
  <si>
    <t>光盘复制品</t>
  </si>
  <si>
    <t>指已灌（录）音的光盘，不包括电子出版物（详见1060302）</t>
  </si>
  <si>
    <t>1093</t>
  </si>
  <si>
    <t>1060205030000000000</t>
  </si>
  <si>
    <t>非音像复制品</t>
  </si>
  <si>
    <t>指已录制声音或图像以外信息的其他媒体不包括电子出版物（详见1060302）</t>
  </si>
  <si>
    <t>1094</t>
  </si>
  <si>
    <t>1060205040000000000</t>
  </si>
  <si>
    <t>电影胶片拷贝</t>
  </si>
  <si>
    <t>1095</t>
  </si>
  <si>
    <t>1060205990000000000</t>
  </si>
  <si>
    <t>其他非磁介质复制品</t>
  </si>
  <si>
    <t>指其他记录媒介复制品</t>
  </si>
  <si>
    <t>1096</t>
  </si>
  <si>
    <t>软件、电子出版物</t>
  </si>
  <si>
    <t>软件</t>
  </si>
  <si>
    <t>1060301010100000000</t>
  </si>
  <si>
    <t>系统软件产品</t>
  </si>
  <si>
    <t>指属于独立完成一项应用的软件系统</t>
  </si>
  <si>
    <t>1097</t>
  </si>
  <si>
    <t>1060301010200000000</t>
  </si>
  <si>
    <t>数据库软件产品</t>
  </si>
  <si>
    <t>1098</t>
  </si>
  <si>
    <t>1060301010300000000</t>
  </si>
  <si>
    <t>中间件软件产品</t>
  </si>
  <si>
    <t>1099</t>
  </si>
  <si>
    <t>1060301019900000000</t>
  </si>
  <si>
    <t>其他基础软件产品</t>
  </si>
  <si>
    <t>1100</t>
  </si>
  <si>
    <t>1060301020100000000</t>
  </si>
  <si>
    <t>通用应用软件</t>
  </si>
  <si>
    <t>1101</t>
  </si>
  <si>
    <t>1060301020200000000</t>
  </si>
  <si>
    <t>行业应用软件产品</t>
  </si>
  <si>
    <t>1102</t>
  </si>
  <si>
    <t>1060301020300000000</t>
  </si>
  <si>
    <t>游戏软件产品</t>
  </si>
  <si>
    <t>1103</t>
  </si>
  <si>
    <t>1060301020400000000</t>
  </si>
  <si>
    <t>动漫软件产品</t>
  </si>
  <si>
    <t>1104</t>
  </si>
  <si>
    <t>1060301020500000000</t>
  </si>
  <si>
    <t>地理信息软件产品</t>
  </si>
  <si>
    <t>1105</t>
  </si>
  <si>
    <t>1060301020600000000</t>
  </si>
  <si>
    <t>语言处理软件产品</t>
  </si>
  <si>
    <t>1106</t>
  </si>
  <si>
    <t>1060301029900000000</t>
  </si>
  <si>
    <t>其他应用软件产品</t>
  </si>
  <si>
    <t>1107</t>
  </si>
  <si>
    <t>1060301030100000000</t>
  </si>
  <si>
    <t>通信设备嵌入式软件</t>
  </si>
  <si>
    <t>电子废弃物（WEEE）</t>
  </si>
  <si>
    <t>1108</t>
  </si>
  <si>
    <t>1060301030200000000</t>
  </si>
  <si>
    <t>网络设备嵌入式软件</t>
  </si>
  <si>
    <t>1109</t>
  </si>
  <si>
    <t>1060301030300000000</t>
  </si>
  <si>
    <t>数字装备设备嵌入式软件</t>
  </si>
  <si>
    <t>包括智能识别装置、安全防卫系统嵌入式软件</t>
  </si>
  <si>
    <t>1110</t>
  </si>
  <si>
    <t>1060301030400000000</t>
  </si>
  <si>
    <t>数字视频产品嵌入式软件</t>
  </si>
  <si>
    <t>包括数字电视机顶盒、其他数字视频产品嵌入式软件</t>
  </si>
  <si>
    <t>1111</t>
  </si>
  <si>
    <t>1060301030500000000</t>
  </si>
  <si>
    <t>自动控制产品嵌入式软件</t>
  </si>
  <si>
    <t>包括集散控制系统、过程控制系统、智能传感器智能机器人嵌入式软件</t>
  </si>
  <si>
    <t>1112</t>
  </si>
  <si>
    <t>1060301030600000000</t>
  </si>
  <si>
    <t>汽车电子嵌入式软件</t>
  </si>
  <si>
    <t>包括通信系统、自动控制系统嵌入式软件</t>
  </si>
  <si>
    <t>1113</t>
  </si>
  <si>
    <t>1060301039900000000</t>
  </si>
  <si>
    <t>其他嵌入式软件</t>
  </si>
  <si>
    <t>1114</t>
  </si>
  <si>
    <t>电子出版物</t>
  </si>
  <si>
    <t>1060302000000000000</t>
  </si>
  <si>
    <t>是指以数字代码方式，使用计算机应用程序，将图文声像等内容信息编辑加工后存储在具有确定的物理形态的磁、光、电等介质上，通过内嵌在计算机、手机、电子阅读设备、电子显示设备、数字音／视频播放设备、电子游戏机、导航仪以及其他具有类似功能的设备上读取使用，具有交互功能，用以表达思想、普及知识和积累文化的大众传播媒体。</t>
  </si>
  <si>
    <t>1115</t>
  </si>
  <si>
    <t>文教体育用品</t>
  </si>
  <si>
    <t>文具</t>
  </si>
  <si>
    <t>1060401010000000000</t>
  </si>
  <si>
    <t>文具盒（袋）</t>
  </si>
  <si>
    <t>包括塑料、金属以及其他材质制的文具盒（铅笔盒）和文具袋（即笔袋）</t>
  </si>
  <si>
    <t>1116</t>
  </si>
  <si>
    <t>1060401020000000000</t>
  </si>
  <si>
    <t>文件夹</t>
  </si>
  <si>
    <t>包括非纸制的资料册、管理夹、整理夹、文件袋（套）、文件盒、文件包等文件夹类文具；不包括纸制文件夹（详见106010502），塑料磁带盒（详见107060109）。</t>
  </si>
  <si>
    <t>1117</t>
  </si>
  <si>
    <t>1060401030000000000</t>
  </si>
  <si>
    <t>文件架</t>
  </si>
  <si>
    <t>指主要用于存放文件等文化办公用品的架、柜、筐类物品，包括金属或塑料制成的。</t>
  </si>
  <si>
    <t>1118</t>
  </si>
  <si>
    <t>1060401040000000000</t>
  </si>
  <si>
    <t>装订类文具</t>
  </si>
  <si>
    <t>1119</t>
  </si>
  <si>
    <t>1060401050000000000</t>
  </si>
  <si>
    <t>夹具类文具</t>
  </si>
  <si>
    <t>1120</t>
  </si>
  <si>
    <t>1060401060000000000</t>
  </si>
  <si>
    <t>修正液</t>
  </si>
  <si>
    <t>修正液（又称涂改液、立可白、改写液）是一种普通文具。内含白色不透明颜料，涂在纸上以遮盖错字，干涸后可于其上重新书写。</t>
  </si>
  <si>
    <t>1121</t>
  </si>
  <si>
    <t>1060401070000000000</t>
  </si>
  <si>
    <t>橡皮</t>
  </si>
  <si>
    <t>包括橡皮擦、绘图橡皮等</t>
  </si>
  <si>
    <t>1122</t>
  </si>
  <si>
    <t>1060401080000000000</t>
  </si>
  <si>
    <t>浆糊</t>
  </si>
  <si>
    <t>将面粉或淀粉加水熬制为糊状。</t>
  </si>
  <si>
    <t>1123</t>
  </si>
  <si>
    <t>1060401090000000000</t>
  </si>
  <si>
    <t>胶水</t>
  </si>
  <si>
    <t>连接两种材料的中间体，多以水剂出现，属精细化工类，种类繁多，主要以粘料、物理形态、硬化方法和被粘物材质的分类方法。</t>
  </si>
  <si>
    <t>1124</t>
  </si>
  <si>
    <t>1060401100000000000</t>
  </si>
  <si>
    <t>固体胶</t>
  </si>
  <si>
    <t>固体胶又称固体胶棒、固体浆糊、唇膏式浆糊等。系以胶料、香精和水等为原料，经合理配制而成。</t>
  </si>
  <si>
    <t>1125</t>
  </si>
  <si>
    <t>1060401110000000000</t>
  </si>
  <si>
    <t>文印类用品</t>
  </si>
  <si>
    <t>包括印泥、印油、印章、印台</t>
  </si>
  <si>
    <t>1126</t>
  </si>
  <si>
    <t>1060401120000000000</t>
  </si>
  <si>
    <t>画具及类似用品</t>
  </si>
  <si>
    <t>不包括油画布（详见104011006）</t>
  </si>
  <si>
    <t>1127</t>
  </si>
  <si>
    <t>1060401990000000000</t>
  </si>
  <si>
    <t>其他文具及类似用品</t>
  </si>
  <si>
    <t>包括学生书袋及类似品（按照学生的使用需求设计的书袋及类似品）和其他文具</t>
  </si>
  <si>
    <t>1128</t>
  </si>
  <si>
    <t>1060402010100000000</t>
  </si>
  <si>
    <t>自来水笔</t>
  </si>
  <si>
    <t>1129</t>
  </si>
  <si>
    <t>1060402010200000000</t>
  </si>
  <si>
    <t>圆珠笔</t>
  </si>
  <si>
    <t>包括中性圆珠笔、水性圆珠笔（滚珠笔）、油性圆珠笔、中油圆珠笔、可擦圆珠笔、其他圆珠笔</t>
  </si>
  <si>
    <t>1130</t>
  </si>
  <si>
    <t>1060402010300000000</t>
  </si>
  <si>
    <t>铅笔</t>
  </si>
  <si>
    <t>包括木杆铅笔、活动铅笔、纸杆铅笔、塑料铅笔、其他铅笔</t>
  </si>
  <si>
    <t>1131</t>
  </si>
  <si>
    <t>1060402010400000000</t>
  </si>
  <si>
    <t>绘画笔</t>
  </si>
  <si>
    <t>包括毛笔、油画笔、油画棒、粉笔、木炭笔、蜡笔、其他绘画用笔</t>
  </si>
  <si>
    <t>1132</t>
  </si>
  <si>
    <t>1060402010500000000</t>
  </si>
  <si>
    <t>记号笔</t>
  </si>
  <si>
    <t>彩色水笔、荧光笔、荧光笔、白板笔、微孔墨水笔（签字笔）、油性记号笔、其他记号笔</t>
  </si>
  <si>
    <t>1133</t>
  </si>
  <si>
    <t>1060402010600000000</t>
  </si>
  <si>
    <t>专业用笔</t>
  </si>
  <si>
    <t>机器用笔、仪器用笔、蜡纸铁笔、其他专业用笔、其他笔</t>
  </si>
  <si>
    <t>1134</t>
  </si>
  <si>
    <t>1060402020000000000</t>
  </si>
  <si>
    <t>笔配件和零件</t>
  </si>
  <si>
    <t>铅笔芯、圆珠笔芯、自来水笔笔尖、笔杆、圆珠笔笔头、纤维笔笔头、其他笔配件和零件</t>
  </si>
  <si>
    <t>1135</t>
  </si>
  <si>
    <t>教具</t>
  </si>
  <si>
    <t>1060403010000000000</t>
  </si>
  <si>
    <t>教学用模型</t>
  </si>
  <si>
    <t>包括数学用模型、液压机模型、化学化工用模型、动物模型、植物模型、微生物模型、人体模型、医学模型、语文教学用模型、历史教学用模型、人物模型、地理模型、天文模型、气象模型、美术模型、交通模型、建筑模型、制图模型、机械模型、电器模型、输变电模型、其他教学用模型</t>
  </si>
  <si>
    <t>1136</t>
  </si>
  <si>
    <t>1060403020000000000</t>
  </si>
  <si>
    <t>教学用标本</t>
  </si>
  <si>
    <t>包括人体解剖浸制标本、人体干制标本、塑化标本、全身骨骼标本、人体封埋标本、人体组织显微标本、动物整体浸制标本、动物解剖浸制标本、动物干制标本、动物骨骼标本、动物封埋标本（化石）、动物表皮细胞装片、动物解剖（塑化）干制标本、植物浸制标本、植物干制标本、植物封埋覆膜标本（化石）、植物根尖纵切、黑根霉装片、岩石标本、结晶矿物标本、土壤实物标本、玻璃标本、原材料标本（金相）、石油、化工、煤炭产品标本、机械产品标本、其他教学用标本</t>
  </si>
  <si>
    <t>1137</t>
  </si>
  <si>
    <t>1060403030000000000</t>
  </si>
  <si>
    <t>具有书写或绘画面板类教具</t>
  </si>
  <si>
    <t>包括可书写石板、黑板、白板、电子白板、其他具有书写或绘画面板类教具</t>
  </si>
  <si>
    <t>1138</t>
  </si>
  <si>
    <t>1060403040000000000</t>
  </si>
  <si>
    <t>教学或学生绘图用具、量具及类似器具</t>
  </si>
  <si>
    <t>包括教学或学生绘图用具、学生圆规、分规、其他教学或学生用绘图用具</t>
  </si>
  <si>
    <t>1139</t>
  </si>
  <si>
    <t>1060403990000000000</t>
  </si>
  <si>
    <t>其他教具及类似用具</t>
  </si>
  <si>
    <t>1140</t>
  </si>
  <si>
    <t>墨水</t>
  </si>
  <si>
    <t>1060404010000000000</t>
  </si>
  <si>
    <t>普通墨水</t>
  </si>
  <si>
    <t>普通用于书写的墨水</t>
  </si>
  <si>
    <t>1141</t>
  </si>
  <si>
    <t>1060404020000000000</t>
  </si>
  <si>
    <t>专用墨水</t>
  </si>
  <si>
    <t>1142</t>
  </si>
  <si>
    <t>1060405010000000000</t>
  </si>
  <si>
    <t>墨汁</t>
  </si>
  <si>
    <t>包括瓶装墨汁、其他墨汁、</t>
  </si>
  <si>
    <t>1143</t>
  </si>
  <si>
    <t>1060405020000000000</t>
  </si>
  <si>
    <t>墨汁类似品</t>
  </si>
  <si>
    <t>包括方便墨、其他墨汁类似品</t>
  </si>
  <si>
    <t>1144</t>
  </si>
  <si>
    <t>体育用品</t>
  </si>
  <si>
    <t>1060406010000000000</t>
  </si>
  <si>
    <t>运动用球</t>
  </si>
  <si>
    <t>包括可充气或不可充气运动用球以及其他运动用球；不包括高尔夫球（详见10604060208），艺术体操用球、台球、沙狐球、保龄球等休闲娱乐活动用球(详见106040608)。</t>
  </si>
  <si>
    <t>1145</t>
  </si>
  <si>
    <t>1060406020100000000</t>
  </si>
  <si>
    <t>乒乓球拍</t>
  </si>
  <si>
    <t>1146</t>
  </si>
  <si>
    <t>1060406020200000000</t>
  </si>
  <si>
    <t>网球拍</t>
  </si>
  <si>
    <t>包括软式网球拍</t>
  </si>
  <si>
    <t>1147</t>
  </si>
  <si>
    <t>1060406020300000000</t>
  </si>
  <si>
    <t>羽毛球拍</t>
  </si>
  <si>
    <t>1148</t>
  </si>
  <si>
    <t>1060406020400000000</t>
  </si>
  <si>
    <t>球棒</t>
  </si>
  <si>
    <t>包括棒、垒球球棒</t>
  </si>
  <si>
    <t>1149</t>
  </si>
  <si>
    <t>1060406020500000000</t>
  </si>
  <si>
    <t>壁球拍</t>
  </si>
  <si>
    <t>1150</t>
  </si>
  <si>
    <t>1060406020600000000</t>
  </si>
  <si>
    <t>柔力球拍</t>
  </si>
  <si>
    <t>1151</t>
  </si>
  <si>
    <t>1060406020700000000</t>
  </si>
  <si>
    <t>高尔夫球杆</t>
  </si>
  <si>
    <t>指完整的高尔夫球杆</t>
  </si>
  <si>
    <t>1152</t>
  </si>
  <si>
    <t>1060406020800000000</t>
  </si>
  <si>
    <t>高尔夫球</t>
  </si>
  <si>
    <t>1153</t>
  </si>
  <si>
    <t>1060406020900000000</t>
  </si>
  <si>
    <t>高尔夫球包</t>
  </si>
  <si>
    <t>1154</t>
  </si>
  <si>
    <t>1060406021000000000</t>
  </si>
  <si>
    <t>其他高尔夫球器械及配件</t>
  </si>
  <si>
    <t>包括高尔夫球球座（支架）、沙耙、果岭叉、球道补沙机、开洞机、高尔夫球模拟器等</t>
  </si>
  <si>
    <t>1155</t>
  </si>
  <si>
    <t>1060406029900000000</t>
  </si>
  <si>
    <t>其他球拍、棍</t>
  </si>
  <si>
    <t>包括曲棍球、板球、长曲棍球、冰球等球类使用的棍和拍、柳条勺、回力球勺</t>
  </si>
  <si>
    <t>1156</t>
  </si>
  <si>
    <t>1060406030000000000</t>
  </si>
  <si>
    <t>体育器材及配件</t>
  </si>
  <si>
    <t>包括体操及蹦床器械、田径器械、举重、拳击及摔跤器械、冰雪运动用器械和用品、运动用船、水上运动器械和用品、射击器械及器材、射箭器材、击剑器材及零件、武术器械和用品、登山器材、龙狮运动器材及配件、拔河器材及配件、风筝器材及配件、</t>
  </si>
  <si>
    <t>1157</t>
  </si>
  <si>
    <t>1060406040000000000</t>
  </si>
  <si>
    <t>室内训练健身器材</t>
  </si>
  <si>
    <t>包括力量型训练器材、力量型举重训练床、健身车、跑步机、划船训练器、椭圆训练器材、踏步机、阶梯机、攀登机、带固定轮或无飞轮健身车、一般体疗康复健身器材、其他室内训练健身器材。</t>
  </si>
  <si>
    <t>1158</t>
  </si>
  <si>
    <t>1060406050000000000</t>
  </si>
  <si>
    <t>室外健身器材</t>
  </si>
  <si>
    <t>1159</t>
  </si>
  <si>
    <t>1060406060000000000</t>
  </si>
  <si>
    <t>运动防护用具</t>
  </si>
  <si>
    <t>包括运动专用手套、运动专用帽、运动专用鞋靴、运动专用护具。</t>
  </si>
  <si>
    <t>1160</t>
  </si>
  <si>
    <t>1060406070000000000</t>
  </si>
  <si>
    <t>钓鱼用品和器材</t>
  </si>
  <si>
    <t>包括钓鱼竿、钓鱼钩（不论有无系钩丝，包括带有单倒钩或多倒钩的鱼钩）、鱼线轮（包括绕线架）、钓鱼线、钓鱼饵（不论是金属、非金属、高分子化合物拟饵、鱼漂）、其他钓鱼用品和器材（包括鱼护、抄网、架竿、轮座；装好的线及投掷器、钓鱼浮子、装配好的钓鱼环、坠子及钓杆铃）等。</t>
  </si>
  <si>
    <t>1161</t>
  </si>
  <si>
    <t>1060406080000000000</t>
  </si>
  <si>
    <t>休闲运动器材和用品</t>
  </si>
  <si>
    <t>包括狩猎休闲用品、狩猎专用防护用品及用具（包括专业狩猎服、喷雾剂、防护靴、导航设备等）、狩猎工具及装备（包括狩猎专用驽、弓、陷井、捕兽器、爬树架、隐蔽篷等）、狩猎培训设备（包括狩猎培训专用靶场等、其他狩猎休闲用品）、马术休闲用品、马附具（包括马护胸、马护肘、马护腿、马被、马汗垫、马刺等）、马术骑手用品（包括骑士服、骑士帽、骑士附具等、其他马术休闲用品）、艺术体操用球、台球、台球桌、沙狐球、保龄球、其他休闲运动器材和用品。</t>
  </si>
  <si>
    <t>1162</t>
  </si>
  <si>
    <t>1060406990000000000</t>
  </si>
  <si>
    <t>其他体育用品</t>
  </si>
  <si>
    <t>1163</t>
  </si>
  <si>
    <t>乐器</t>
  </si>
  <si>
    <t>1060407010000000000</t>
  </si>
  <si>
    <t>中乐器</t>
  </si>
  <si>
    <t>包括中乐器、中乐弦乐器、二胡、京胡、板胡、其他中乐弦乐器、中乐弹拨乐器、古筝、三弦、琵琶、月琴、柳琴、其他中乐弹拨乐、中乐吹管乐器、竹笛、箫笙、唢呐、其他中乐吹管乐器、中乐打击乐器、扬琴、鼓（中乐）、锣、响板、响铜乐器、其他中乐打击乐器、其他中乐器</t>
  </si>
  <si>
    <t>1164</t>
  </si>
  <si>
    <t>1060407020000000000</t>
  </si>
  <si>
    <t>西乐器</t>
  </si>
  <si>
    <t>小提琴、大提琴、竖琴、吉他、其他西弦乐器、号、笛、双簧管、单簧管（黑管）、萨克斯、其他西管乐器、鼓（西乐）、镲、木琴、沙槌、其他西乐打击乐器、钢琴、手风琴、其他西乐键盘乐器、口琴、其他西乐器。</t>
  </si>
  <si>
    <t>1165</t>
  </si>
  <si>
    <t>1060407030000000000</t>
  </si>
  <si>
    <t>电子乐器</t>
  </si>
  <si>
    <t>指通过电产生或扩大声音的乐器</t>
  </si>
  <si>
    <t>1166</t>
  </si>
  <si>
    <t>1060407040000000000</t>
  </si>
  <si>
    <t>媒诱音响器，相关乐器</t>
  </si>
  <si>
    <t>包括百音盒、哨子、其他相关乐器</t>
  </si>
  <si>
    <t>1167</t>
  </si>
  <si>
    <t>1060407050000000000</t>
  </si>
  <si>
    <t>乐器辅助用品及零件</t>
  </si>
  <si>
    <t>包括节拍器、音叉、定音管、百音盒机械装置、乐器用弦、其他乐器零件</t>
  </si>
  <si>
    <t>1168</t>
  </si>
  <si>
    <t>玩具</t>
  </si>
  <si>
    <t>1060408010000000000</t>
  </si>
  <si>
    <t>供儿童乘骑带轮玩具</t>
  </si>
  <si>
    <t>不包括拖拉类带轮玩具和玩偶车（详见106040899）</t>
  </si>
  <si>
    <t>1169</t>
  </si>
  <si>
    <t>1060408020000000000</t>
  </si>
  <si>
    <t>填充类玩具</t>
  </si>
  <si>
    <t>包括PP棉填充的布绒玩具和其他填充类的布绒玩具及其附属品</t>
  </si>
  <si>
    <t>1170</t>
  </si>
  <si>
    <t>1060408030000000000</t>
  </si>
  <si>
    <t>玩偶及其零配件和装饰品</t>
  </si>
  <si>
    <t>不包括填充类玩具（详见106040802）</t>
  </si>
  <si>
    <t>1171</t>
  </si>
  <si>
    <t>1060408040000000000</t>
  </si>
  <si>
    <t>仿真模型及其附件</t>
  </si>
  <si>
    <t>指缩小（按比例缩小）的无动力装置或带动力装置的全套仿真模型组件及其附件</t>
  </si>
  <si>
    <t>1172</t>
  </si>
  <si>
    <t>1060408050000000000</t>
  </si>
  <si>
    <t>木制玩具</t>
  </si>
  <si>
    <t>指木制的各类玩具；不包括供儿童乘骑的带轮玩具玩偶（详见106040801），仿真模型（详见106040804）。</t>
  </si>
  <si>
    <t>1173</t>
  </si>
  <si>
    <t>1060408060000000000</t>
  </si>
  <si>
    <t>塑胶玩具</t>
  </si>
  <si>
    <t>指塑胶制的各类玩具；不包括供儿童乘骑的带轮玩具（详见106040801），填充类玩具玩偶（详见106040802），仿真模型（详见106040804）。</t>
  </si>
  <si>
    <t>1174</t>
  </si>
  <si>
    <t>1060408070000000000</t>
  </si>
  <si>
    <t>玩具乐器</t>
  </si>
  <si>
    <t>包括玩具电子琴、喇叭、鼓等</t>
  </si>
  <si>
    <t>1175</t>
  </si>
  <si>
    <t>1060408080000000000</t>
  </si>
  <si>
    <t>儿童娱乐塑形用膏、泥</t>
  </si>
  <si>
    <t>1176</t>
  </si>
  <si>
    <t>1060408990000000000</t>
  </si>
  <si>
    <t>其他玩具</t>
  </si>
  <si>
    <t>包括玩偶车</t>
  </si>
  <si>
    <t>1177</t>
  </si>
  <si>
    <t>游乐场设备</t>
  </si>
  <si>
    <t>1060409010000000000</t>
  </si>
  <si>
    <t>电动游乐设备</t>
  </si>
  <si>
    <t>包括大型电动游乐设备，如观缆车、过山车、电动小飞船、电动转车、碰碰车、卡丁车、转伞、旋转木马</t>
  </si>
  <si>
    <t>1178</t>
  </si>
  <si>
    <t>1060409020000000000</t>
  </si>
  <si>
    <t>非电动游乐设备</t>
  </si>
  <si>
    <t>包括转椅、滑轮车、滑梯、秋千、秋千船、压板、悬梯、幸运转轮机</t>
  </si>
  <si>
    <t>1179</t>
  </si>
  <si>
    <t>1060409990000000000</t>
  </si>
  <si>
    <t>其他游乐场设备</t>
  </si>
  <si>
    <t>1180</t>
  </si>
  <si>
    <t>游艺器材</t>
  </si>
  <si>
    <t>1060410010000000000</t>
  </si>
  <si>
    <t>电子游戏机</t>
  </si>
  <si>
    <t>包括自身装荧光屏电子游戏机、投币式电子游戏机</t>
  </si>
  <si>
    <t>1181</t>
  </si>
  <si>
    <t>1060410020000000000</t>
  </si>
  <si>
    <t>投币式游戏机</t>
  </si>
  <si>
    <t>指使用硬币、钞票及类似品的游戏用品，如弹球机、旋转机</t>
  </si>
  <si>
    <t>1182</t>
  </si>
  <si>
    <t>1060410030000000000</t>
  </si>
  <si>
    <t>台球器材及配件</t>
  </si>
  <si>
    <t>包括8球台球、9球台球、斯诺克台球、开伦台球、比利台球用球、台球杆、球杆盒、球杆皮头、擦粉、摆球器、定位器、开杆器</t>
  </si>
  <si>
    <t>1183</t>
  </si>
  <si>
    <t>1060410040000000000</t>
  </si>
  <si>
    <t>保龄球设备及器材</t>
  </si>
  <si>
    <t>包括保龄球自动分瓶机、保龄球、保龄球瓶、保龄球自动球道设备、指套、指贴、下油机及配件、测油机、球检仪、球秤</t>
  </si>
  <si>
    <t>1184</t>
  </si>
  <si>
    <t>1060410050000000000</t>
  </si>
  <si>
    <t>沙狐球桌及其配套器材</t>
  </si>
  <si>
    <t>1185</t>
  </si>
  <si>
    <t>1060410060000000000</t>
  </si>
  <si>
    <t>桌式足球器材及配件</t>
  </si>
  <si>
    <t>1186</t>
  </si>
  <si>
    <t>1060410070000000000</t>
  </si>
  <si>
    <t>飞镖器材及配件</t>
  </si>
  <si>
    <t>1187</t>
  </si>
  <si>
    <t>1060410080000000000</t>
  </si>
  <si>
    <t>棋类娱乐用品</t>
  </si>
  <si>
    <t>1188</t>
  </si>
  <si>
    <t>1060410090000000000</t>
  </si>
  <si>
    <t>牌类娱乐用品</t>
  </si>
  <si>
    <t>1189</t>
  </si>
  <si>
    <t>1060410100000000000</t>
  </si>
  <si>
    <t>专供游戏用家具式桌子</t>
  </si>
  <si>
    <t>包括麻将桌</t>
  </si>
  <si>
    <t>1190</t>
  </si>
  <si>
    <t>1060410990000000000</t>
  </si>
  <si>
    <t>其他游艺用品及室内游艺器材</t>
  </si>
  <si>
    <t>包括桌上游戏用品，如骰子、骰子盘、计数器、纸牌花色显示器、专供游戏用的特制布等</t>
  </si>
  <si>
    <t>1191</t>
  </si>
  <si>
    <t>工艺品及其他制造产品</t>
  </si>
  <si>
    <t>工艺品</t>
  </si>
  <si>
    <t>1060501010000000000</t>
  </si>
  <si>
    <t>雕刻工艺品</t>
  </si>
  <si>
    <t>指用玉石、宝石、彩石、象牙、角、骨、贝壳等天然或人造硬质材料，以及木、竹、果壳（核）等天然植物材料为原料，经雕、刻、琢、磨等艺术加工而制成的各种供欣赏和实用的工艺品</t>
  </si>
  <si>
    <t>1192</t>
  </si>
  <si>
    <t>1060501020000000000</t>
  </si>
  <si>
    <t>塑造工艺品</t>
  </si>
  <si>
    <t>指用石膏、泥、面、蜡、树脂、糖、酥油、塑料等可塑性材料为原料，经捏或塑等艺术加工而制成的各种供欣赏和实用的工艺品（包括庭园用喷泉等装饰品）</t>
  </si>
  <si>
    <t>1193</t>
  </si>
  <si>
    <t>1060501990000000000</t>
  </si>
  <si>
    <t>其他雕塑工艺品</t>
  </si>
  <si>
    <t>1194</t>
  </si>
  <si>
    <t>1060502010000000000</t>
  </si>
  <si>
    <t>景泰蓝工艺品</t>
  </si>
  <si>
    <t>亦称铜胎掐丝珐琅，包括铜胎掐丝珐琅、掐丝景泰蓝、机制景泰蓝、画珐琅（烧瓷）</t>
  </si>
  <si>
    <t>1195</t>
  </si>
  <si>
    <t>1060502020000000000</t>
  </si>
  <si>
    <t>珐琅珀晶工艺品</t>
  </si>
  <si>
    <t>指借鉴景泰蓝工艺，在胎上掐丝、点蓝，经涂饰后制成的金属工艺品</t>
  </si>
  <si>
    <t>1196</t>
  </si>
  <si>
    <t>1060502030000000000</t>
  </si>
  <si>
    <t>银蓝工艺品</t>
  </si>
  <si>
    <t>1197</t>
  </si>
  <si>
    <t>1060502040000000000</t>
  </si>
  <si>
    <t>贵金属摆件</t>
  </si>
  <si>
    <t>指用金、铂、银、钯等贵金属及其合金，经镶嵌或未镶嵌工艺而制成的盘、碗、碟等各类器皿及工艺陈设摆件</t>
  </si>
  <si>
    <t>1198</t>
  </si>
  <si>
    <t>1060502050000000000</t>
  </si>
  <si>
    <t>铜制工艺品</t>
  </si>
  <si>
    <t>包括斑铜工艺品、仿古铜工艺品、铸铜、镀铜、煅铜工艺品等；不包括铜制刀剑工艺品（详见106050208）</t>
  </si>
  <si>
    <t>1199</t>
  </si>
  <si>
    <t>1060502060000000000</t>
  </si>
  <si>
    <t>铁制工艺品</t>
  </si>
  <si>
    <t>包括铁制的各种室内外陈列工艺品包括铁画、藤铁制品；不包括铸铁的艺术门窗（详见108040201），铁制刀剑工艺品（详见106050206）。</t>
  </si>
  <si>
    <t>1200</t>
  </si>
  <si>
    <t>1060502070000000000</t>
  </si>
  <si>
    <t>锡制工艺品</t>
  </si>
  <si>
    <t>包括锡烛台，不包括锡制刀剑工艺品（详见106050207）</t>
  </si>
  <si>
    <t>1201</t>
  </si>
  <si>
    <t>1060502080000000000</t>
  </si>
  <si>
    <t>金属制民间刀剑工艺品</t>
  </si>
  <si>
    <t>包括用各种金属材料制作的民族工艺刀剑（如龙泉宝剑、蒙古刀、藏刀等）</t>
  </si>
  <si>
    <t>1202</t>
  </si>
  <si>
    <t>1060502090000000000</t>
  </si>
  <si>
    <t>金属丝编织工艺品</t>
  </si>
  <si>
    <t>1203</t>
  </si>
  <si>
    <t>1060502100000000000</t>
  </si>
  <si>
    <t>金属制艺术标牌及类似品</t>
  </si>
  <si>
    <t>包括用各种金属材料制作的艺术徽章、纪念章、标牌、挂牌、奖杯、奖章及类似品</t>
  </si>
  <si>
    <t>1204</t>
  </si>
  <si>
    <t>1060502110000000000</t>
  </si>
  <si>
    <t>蒙镶工艺品</t>
  </si>
  <si>
    <t>包括蒙镶炉、鼎等和蒙镶动物等</t>
  </si>
  <si>
    <t>1205</t>
  </si>
  <si>
    <t>1060502120000000000</t>
  </si>
  <si>
    <t>金属制工艺框架类制品</t>
  </si>
  <si>
    <t>包括金属制工艺画框、相框等</t>
  </si>
  <si>
    <t>1206</t>
  </si>
  <si>
    <t>1060502990000000000</t>
  </si>
  <si>
    <t>其他金属工艺品</t>
  </si>
  <si>
    <t>包括用于家居、商业空间及类似场所的金属装饰品</t>
  </si>
  <si>
    <t>1207</t>
  </si>
  <si>
    <t>1060503010000000000</t>
  </si>
  <si>
    <t>镶嵌漆器工艺品</t>
  </si>
  <si>
    <t>包括牙玉镶嵌漆器、骨石镶嵌漆器（金漆镶嵌）、螺钿镶嵌漆器、点螺镶嵌漆器</t>
  </si>
  <si>
    <t>1208</t>
  </si>
  <si>
    <t>1060503020000000000</t>
  </si>
  <si>
    <t>雕漆漆器工艺品</t>
  </si>
  <si>
    <t>1209</t>
  </si>
  <si>
    <t>1060503030000000000</t>
  </si>
  <si>
    <t>脱胎漆器工艺品</t>
  </si>
  <si>
    <t>1210</t>
  </si>
  <si>
    <t>1060503040000000000</t>
  </si>
  <si>
    <t>彩绘雕填漆器工艺品</t>
  </si>
  <si>
    <t>1211</t>
  </si>
  <si>
    <t>1060503050000000000</t>
  </si>
  <si>
    <t>漆线雕工艺品</t>
  </si>
  <si>
    <t>1212</t>
  </si>
  <si>
    <t>1060503060000000000</t>
  </si>
  <si>
    <t>刻灰漆器工艺品</t>
  </si>
  <si>
    <t>1213</t>
  </si>
  <si>
    <t>1060503070000000000</t>
  </si>
  <si>
    <t>漆画工艺品</t>
  </si>
  <si>
    <t>1214</t>
  </si>
  <si>
    <t>1060503080000000000</t>
  </si>
  <si>
    <t>漆器工艺框架类制品</t>
  </si>
  <si>
    <t>包括漆器工艺画框、相框等</t>
  </si>
  <si>
    <t>1215</t>
  </si>
  <si>
    <t>1060503990000000000</t>
  </si>
  <si>
    <t>其他漆器工艺品</t>
  </si>
  <si>
    <t>1216</t>
  </si>
  <si>
    <t>1060504010000000000</t>
  </si>
  <si>
    <t>人造花类工艺品</t>
  </si>
  <si>
    <t>指以绢、丝、绒、纸、涤纶、塑料、羽毛、通草以及鲜花草等为原料，经造型设计、压模、剪贴、干燥等工艺制成的人造植物、叶、花、果实、盆景等花类艺术制品（包括人造花类工艺品的零件）</t>
  </si>
  <si>
    <t>1217</t>
  </si>
  <si>
    <t>1060504020000000000</t>
  </si>
  <si>
    <t>画类工艺品</t>
  </si>
  <si>
    <t>指以画面出现、可以挂或摆的具有欣赏性、装饰性的画，包括国画、西洋画、皮革画、油画、粉画、手绘画、雕版画、印制画、石印画、拼贴画及类似装饰板、版画、邮票画等画类工艺品</t>
  </si>
  <si>
    <t>1218</t>
  </si>
  <si>
    <t>1060505010000000000</t>
  </si>
  <si>
    <t>天然植物纤维编织工艺品</t>
  </si>
  <si>
    <t>指以竹、藤、棕、草、柳、葵、麻等天然植物纤维为材料，经编织或镶嵌而成具有造型艺术或图案花纹，以欣赏为主的工艺陈列品以及实用工艺品</t>
  </si>
  <si>
    <t>1219</t>
  </si>
  <si>
    <t>1060505020000000000</t>
  </si>
  <si>
    <t>人造纤维编织工艺品</t>
  </si>
  <si>
    <t>指以人造纤维为材料，经编织或镶嵌而成，具有造型艺术或图案花纹，以欣赏为主的工艺陈列品以及实用工艺品</t>
  </si>
  <si>
    <t>1220</t>
  </si>
  <si>
    <t>1060506010000000000</t>
  </si>
  <si>
    <t>刺绣工艺品</t>
  </si>
  <si>
    <t>指以绣针引彩线（丝、绒线），按设计的花样在织物（丝绸、布帛）上刺缀运针，以绣迹构成纹样或文字而制成的工艺品</t>
  </si>
  <si>
    <t>1221</t>
  </si>
  <si>
    <t>1060506020000000000</t>
  </si>
  <si>
    <t>抽纱工艺品</t>
  </si>
  <si>
    <t>指根据图案设计，将花纹部分的经线或纬线抽去后加以连缀，形成透空的装饰花纹的日用工艺品；或运用雕平绣、彩平绣、十字花绣、挑花绣、补花绣等工艺手法制成的各种日用工艺品</t>
  </si>
  <si>
    <t>1222</t>
  </si>
  <si>
    <t>1060506030000000000</t>
  </si>
  <si>
    <t>手工编结工艺品</t>
  </si>
  <si>
    <t>包括万缕丝、万缕丝镶边、镶拼制品、网扣、花边等</t>
  </si>
  <si>
    <t>1223</t>
  </si>
  <si>
    <t>1060506040000000000</t>
  </si>
  <si>
    <t>手工染织工艺品及机织工艺品</t>
  </si>
  <si>
    <t>指手工印花布，如蜡染、扎染、拔染、手绘、烧花制品、缂丝</t>
  </si>
  <si>
    <t>1224</t>
  </si>
  <si>
    <t>1060506050000000000</t>
  </si>
  <si>
    <t>工艺织锦</t>
  </si>
  <si>
    <t>包括云锦、宋锦、蜀锦以及其他民族织锦和工艺织锦</t>
  </si>
  <si>
    <t>1225</t>
  </si>
  <si>
    <t>1060506990000000000</t>
  </si>
  <si>
    <t>其他抽纱刺绣工艺品</t>
  </si>
  <si>
    <t>1226</t>
  </si>
  <si>
    <t>1060507010000000000</t>
  </si>
  <si>
    <t>手工地毯、挂毯</t>
  </si>
  <si>
    <t>1227</t>
  </si>
  <si>
    <t>1060507020000000000</t>
  </si>
  <si>
    <t>机制地毯、挂毯</t>
  </si>
  <si>
    <t>包括威尔顿地毯或挂毯、阿克明斯地毯或挂毯、机制簇绒地毯或挂毯、羊毛簇绒地毯或挂毯、化纤簇绒地毯或挂毯、混纺簇绒地毯或挂毯、机织地毯或挂毯、机制地毯或挂毯、针刺地毯或挂毯、化纤针刺地毯或挂毯、羊毛针刺地毯或挂毯、化纤浴室毯、化纤浴室垫、化纤门前毯、化纤门前垫、羊毛浴室毯、羊毛浴室垫、羊毛门前毯、羊毛门前垫、棉浴室毯、棉浴室垫、人造草坪毯、运动草坪毯、休闲草坪毯</t>
  </si>
  <si>
    <t>1228</t>
  </si>
  <si>
    <t>1060508010000000000</t>
  </si>
  <si>
    <t>室内陈设艺术陶瓷制品</t>
  </si>
  <si>
    <t>包括陶瓷制人物、动物、静物等的摆件或挂件，艺术花瓶、茶具、酒具等</t>
  </si>
  <si>
    <t>1229</t>
  </si>
  <si>
    <t>1060508020000000000</t>
  </si>
  <si>
    <t>工艺陶瓷制品</t>
  </si>
  <si>
    <t>包括陶瓷制人物、动物小雕塑、圣诞节小礼品，各类陶瓷饰物等</t>
  </si>
  <si>
    <t>1230</t>
  </si>
  <si>
    <t>1060508030000000000</t>
  </si>
  <si>
    <t>陶瓷壁画</t>
  </si>
  <si>
    <t>包括室内壁画和户外壁画</t>
  </si>
  <si>
    <t>1231</t>
  </si>
  <si>
    <t>1060508040000000000</t>
  </si>
  <si>
    <t>陶瓷制塑像</t>
  </si>
  <si>
    <t>包括瓷质、陶质及类似材料制作的人物、动物等塑像（不论建在园林或类似场所的室内或室外）</t>
  </si>
  <si>
    <t>1232</t>
  </si>
  <si>
    <t>1060508990000000000</t>
  </si>
  <si>
    <t>其他陈设艺术陶瓷制品</t>
  </si>
  <si>
    <t>1233</t>
  </si>
  <si>
    <t>珠宝首饰</t>
  </si>
  <si>
    <t>1060509010000000000</t>
  </si>
  <si>
    <t>金银珠宝首饰</t>
  </si>
  <si>
    <t>以金、银、白金、宝石、珍珠、钻石、翡翠、珊瑚、玛瑙等高贵稀有物质以及其他金属、人造宝石等制作的各种纯金银首饰及镶嵌首饰，包括铂首饰。</t>
  </si>
  <si>
    <t>1234</t>
  </si>
  <si>
    <t>1060509020100000000</t>
  </si>
  <si>
    <t>已加工钻石</t>
  </si>
  <si>
    <t>成品钻</t>
  </si>
  <si>
    <t>1235</t>
  </si>
  <si>
    <t>1060509020200000000</t>
  </si>
  <si>
    <t>未加工钻石</t>
  </si>
  <si>
    <t>毛钻</t>
  </si>
  <si>
    <t>1236</t>
  </si>
  <si>
    <t>1060509029900000000</t>
  </si>
  <si>
    <t>其他珠宝玉石</t>
  </si>
  <si>
    <t>1237</t>
  </si>
  <si>
    <t>1060509990000000000</t>
  </si>
  <si>
    <t>其他珠宝首饰</t>
  </si>
  <si>
    <t>1238</t>
  </si>
  <si>
    <t>1060510010000000000</t>
  </si>
  <si>
    <t>剧装、道具</t>
  </si>
  <si>
    <t>1239</t>
  </si>
  <si>
    <t>1060510020100000000</t>
  </si>
  <si>
    <t>合成纺织材料制假发</t>
  </si>
  <si>
    <t>包括合成纺织材料制整头假发</t>
  </si>
  <si>
    <t>1240</t>
  </si>
  <si>
    <t>1060510020200000000</t>
  </si>
  <si>
    <t>档发</t>
  </si>
  <si>
    <t>假发的一种，由辫发或削发加工而成，两端处理的较平整，多个人的头发，同样的长度整理在一起。档发分为单档，双档，双拐档。</t>
  </si>
  <si>
    <t>1241</t>
  </si>
  <si>
    <t>1060510020300000000</t>
  </si>
  <si>
    <t>人发制假发</t>
  </si>
  <si>
    <t>1242</t>
  </si>
  <si>
    <t>1060510020400000000</t>
  </si>
  <si>
    <t>人体毛发装饰用品</t>
  </si>
  <si>
    <t>不包括合成纺织材料制假发（详见10605100201）、档发（详见10605100202）、人发制假发（详见10605100203）</t>
  </si>
  <si>
    <t>1243</t>
  </si>
  <si>
    <t>1060510020500000000</t>
  </si>
  <si>
    <t>发制品及类似品专用原料</t>
  </si>
  <si>
    <t>包括经梳理等加工的人发，以及制作假发用的纺织材料、羊毛原料等</t>
  </si>
  <si>
    <t>1244</t>
  </si>
  <si>
    <t>1060510030000000000</t>
  </si>
  <si>
    <t>民间工艺品</t>
  </si>
  <si>
    <t>包括风筝、皮影、剪纸、鼻烟壶等</t>
  </si>
  <si>
    <t>1245</t>
  </si>
  <si>
    <t>1060510040000000000</t>
  </si>
  <si>
    <t>工艺扇</t>
  </si>
  <si>
    <t>包括象牙扇、檀香扇、羽毛扇、绢折扇等</t>
  </si>
  <si>
    <t>1246</t>
  </si>
  <si>
    <t>1060510050000000000</t>
  </si>
  <si>
    <t>工艺伞</t>
  </si>
  <si>
    <t>包括绢伞、绸伞等</t>
  </si>
  <si>
    <t>1247</t>
  </si>
  <si>
    <t>1060510060000000000</t>
  </si>
  <si>
    <t>灯彩</t>
  </si>
  <si>
    <t>包括木雕工艺灯、宫灯、纱灯、走马灯、彩灯等</t>
  </si>
  <si>
    <t>1248</t>
  </si>
  <si>
    <t>1060510070000000000</t>
  </si>
  <si>
    <t>料器</t>
  </si>
  <si>
    <t>指用加颜料的玻璃原料制成的器皿或手工艺品</t>
  </si>
  <si>
    <t>1249</t>
  </si>
  <si>
    <t>1060510080000000000</t>
  </si>
  <si>
    <t>美术人形</t>
  </si>
  <si>
    <t>包括美术人偶</t>
  </si>
  <si>
    <t>1250</t>
  </si>
  <si>
    <t>1060510090000000000</t>
  </si>
  <si>
    <t>节庆庆典用品及相关娱乐用品</t>
  </si>
  <si>
    <t>包括中西式节庆庆典娱乐活动用品，如魔术道具、花彩、花环等，以及用纸、金属箔、玻璃纤维等制成的人造雪、彩球、铃，化装舞会或中式节庆用面具及服装等各种节日用品</t>
  </si>
  <si>
    <t>1251</t>
  </si>
  <si>
    <t>1060510990000000000</t>
  </si>
  <si>
    <t>其他相关工艺美术品</t>
  </si>
  <si>
    <t>1252</t>
  </si>
  <si>
    <t>保健休闲用品</t>
  </si>
  <si>
    <t>1060511010000000000</t>
  </si>
  <si>
    <t>桑拿浴箱</t>
  </si>
  <si>
    <t>1253</t>
  </si>
  <si>
    <t>1060511020000000000</t>
  </si>
  <si>
    <t>排汗活动机</t>
  </si>
  <si>
    <t>1254</t>
  </si>
  <si>
    <t>1060511030000000000</t>
  </si>
  <si>
    <t>熏蒸足道机</t>
  </si>
  <si>
    <t>1255</t>
  </si>
  <si>
    <t>1060511040000000000</t>
  </si>
  <si>
    <t>养生桑拿蒸汽机</t>
  </si>
  <si>
    <t>1256</t>
  </si>
  <si>
    <t>1060511050000000000</t>
  </si>
  <si>
    <t>养生美体美容仪</t>
  </si>
  <si>
    <t>1257</t>
  </si>
  <si>
    <t>1060511060000000000</t>
  </si>
  <si>
    <t>养生理疗枕</t>
  </si>
  <si>
    <t>1258</t>
  </si>
  <si>
    <t>1060511070000000000</t>
  </si>
  <si>
    <t>养生塑身机</t>
  </si>
  <si>
    <t>1259</t>
  </si>
  <si>
    <t>1060511080000000000</t>
  </si>
  <si>
    <t>养生制氧机</t>
  </si>
  <si>
    <t>1260</t>
  </si>
  <si>
    <t>1060511090000000000</t>
  </si>
  <si>
    <t>养生水氧吧</t>
  </si>
  <si>
    <t>1261</t>
  </si>
  <si>
    <t>1060511100000000000</t>
  </si>
  <si>
    <t>Spa水疗机</t>
  </si>
  <si>
    <t>1262</t>
  </si>
  <si>
    <t>1060511110000000000</t>
  </si>
  <si>
    <t>Spa气泡按摩机</t>
  </si>
  <si>
    <t>1263</t>
  </si>
  <si>
    <t>1060511120000000000</t>
  </si>
  <si>
    <t>Spa精油温灸仪</t>
  </si>
  <si>
    <t>1264</t>
  </si>
  <si>
    <t>1060511130000000000</t>
  </si>
  <si>
    <t>高温竹炭制品</t>
  </si>
  <si>
    <t>包括可食用竹炭、净化竹炭、养生竹炭、家居竹炭、杀菌竹炭、美容竹炭、高温竹炭等</t>
  </si>
  <si>
    <t>1265</t>
  </si>
  <si>
    <t>1060511990000000000</t>
  </si>
  <si>
    <t>其他保健休闲用品</t>
  </si>
  <si>
    <t>1266</t>
  </si>
  <si>
    <t>日用杂品</t>
  </si>
  <si>
    <t>1060512010000000000</t>
  </si>
  <si>
    <t>镜子类制品及零配件</t>
  </si>
  <si>
    <t>包括民用镜、专用镜及其他镜类制品和配件</t>
  </si>
  <si>
    <t>1267</t>
  </si>
  <si>
    <t>1060512020000000000</t>
  </si>
  <si>
    <t>刷子类制品</t>
  </si>
  <si>
    <t>包括用原毛、成品毛、棕、金属丝、塑料丝等材料制成的各种用途的刷子及类似品，如牙刷、发刷、剔须刷、指甲刷、睫毛刷、眉笔刷、施敷化妆品用刷、衣刷、鞋刷、洗涤用刷、漆刷、金属丝刷、非金属丝刷、油漆块垫、滚筒</t>
  </si>
  <si>
    <t>1268</t>
  </si>
  <si>
    <t>1060512030000000000</t>
  </si>
  <si>
    <t>已加工刷类制品材料</t>
  </si>
  <si>
    <t>指用原毛、棕、金属丝、塑料丝等加工的，用于制作各种刷子的专用材料或半成品</t>
  </si>
  <si>
    <t>1269</t>
  </si>
  <si>
    <t>1060512040000000000</t>
  </si>
  <si>
    <t>清洁清扫类工具及其已加工材料</t>
  </si>
  <si>
    <t>除刷子类制品(详见106051202)和已加工的刷类制品（详见106051203）以外的清洁清扫类工具及其已加工材料。</t>
  </si>
  <si>
    <t>1270</t>
  </si>
  <si>
    <t>1060512050000000000</t>
  </si>
  <si>
    <t>伞、手杖、鞭子、马鞭及其零件</t>
  </si>
  <si>
    <t>包括手杖、鞭子、马鞭、晴雨伞、太阳伞、带座手杖、助步杖、登山杖、鞭子、鞭、把柄、伞骨，及其零件</t>
  </si>
  <si>
    <t>1271</t>
  </si>
  <si>
    <t>1060512060000000000</t>
  </si>
  <si>
    <t>拉链及其零件</t>
  </si>
  <si>
    <t>包括金属齿拉链、尼龙齿拉链、树脂齿拉链、拉链零件</t>
  </si>
  <si>
    <t>1272</t>
  </si>
  <si>
    <t>1060512070000000000</t>
  </si>
  <si>
    <t>扣类制品及其零件</t>
  </si>
  <si>
    <t>1273</t>
  </si>
  <si>
    <t>1060512080000000000</t>
  </si>
  <si>
    <t>打火机及其零件</t>
  </si>
  <si>
    <t>1274</t>
  </si>
  <si>
    <t>1060512090000000000</t>
  </si>
  <si>
    <t>烟具</t>
  </si>
  <si>
    <t>包括烟斗、烟斗头、烟嘴</t>
  </si>
  <si>
    <t>1275</t>
  </si>
  <si>
    <t>1060512100000000000</t>
  </si>
  <si>
    <t>头发装饰用物品</t>
  </si>
  <si>
    <t>包括梳子、橡胶梳、塑料梳、金属梳、牛角梳、木梳、发夹</t>
  </si>
  <si>
    <t>1276</t>
  </si>
  <si>
    <t>1060512110000000000</t>
  </si>
  <si>
    <t>香水喷射器、粉扑及粉拍</t>
  </si>
  <si>
    <t>1277</t>
  </si>
  <si>
    <t>1060512120000000000</t>
  </si>
  <si>
    <t>礼仪电子用品</t>
  </si>
  <si>
    <t>指带有半导体和播放功能的礼仪用品，包括电子画框、电子相框、电子问候卡、电子广告卡</t>
  </si>
  <si>
    <t>1278</t>
  </si>
  <si>
    <t>1060512130000000000</t>
  </si>
  <si>
    <t>棉胎</t>
  </si>
  <si>
    <t>指纺织材料与胎料组合制被褥状纺织品，通常用于生产绗缝外套、被褥、床罩、褥垫、衣服、窗帘、座垫、台布内垫等</t>
  </si>
  <si>
    <t>1279</t>
  </si>
  <si>
    <t>1060512140000000000</t>
  </si>
  <si>
    <t>居民用煤制品</t>
  </si>
  <si>
    <t>包括型煤、蜂窝煤、煤砖、煤球、煤饼、引火炭</t>
  </si>
  <si>
    <t>1280</t>
  </si>
  <si>
    <t>1060512990000000000</t>
  </si>
  <si>
    <t>其他日用杂品</t>
  </si>
  <si>
    <t>1281</t>
  </si>
  <si>
    <t>宠物用品</t>
  </si>
  <si>
    <t>1060513010000000000</t>
  </si>
  <si>
    <t>宠物玩具</t>
  </si>
  <si>
    <t>1282</t>
  </si>
  <si>
    <t>1060513020000000000</t>
  </si>
  <si>
    <t>宠物服装</t>
  </si>
  <si>
    <t>1283</t>
  </si>
  <si>
    <t>1060513030000000000</t>
  </si>
  <si>
    <t>宠物消毒用品</t>
  </si>
  <si>
    <t>1284</t>
  </si>
  <si>
    <t>1060513040000000000</t>
  </si>
  <si>
    <t>宠物专用品</t>
  </si>
  <si>
    <t>包括窝垫、笼、牵绳、项圈、咬胶、猫砂、食具、美容用具、亚克利水族缸、水族缸过滤器、水族缸潜水泵、水族缸灯、水族景观水处理、底沙、水族装饰品、喂食器、饮水器、沙杠、笼、窝、宠物护栏、宠物护网、宠物训练器材及工具、跟踪器、防丢器，及其附属装置和零件</t>
  </si>
  <si>
    <t>1285</t>
  </si>
  <si>
    <t>石油、化工、医药产品</t>
  </si>
  <si>
    <t>石油加工、炼焦及核燃料</t>
  </si>
  <si>
    <t>液体石蜡</t>
  </si>
  <si>
    <t>1070101100000000000</t>
  </si>
  <si>
    <t>包括重质液体石蜡；是从原油分馏所得到的无色无味的混合物；它可以分成轻质矿物油及一般矿物油两种；可用作软膏、搽剂和化妆品的基质</t>
  </si>
  <si>
    <t>1286</t>
  </si>
  <si>
    <t>液化气</t>
  </si>
  <si>
    <t>1070101110100000000</t>
  </si>
  <si>
    <t>液化石油气</t>
  </si>
  <si>
    <t>主要指以石油在提炼汽油、煤油、柴油、重油等油品过程中剩下的石油尾气为原料，经分离、脱硫精制而成的气体。</t>
  </si>
  <si>
    <t>1287</t>
  </si>
  <si>
    <t>石油气</t>
  </si>
  <si>
    <t>1070101119900000000</t>
  </si>
  <si>
    <t>其他石油气和相关烃类气</t>
  </si>
  <si>
    <t>1288</t>
  </si>
  <si>
    <t>矿物蜡</t>
  </si>
  <si>
    <t>1070101120000000000</t>
  </si>
  <si>
    <t>矿物蜡及合成法制类似产品</t>
  </si>
  <si>
    <t>包括凡士林、石蜡和其他合成方法制类似产品</t>
  </si>
  <si>
    <t>1289</t>
  </si>
  <si>
    <t>沥青</t>
  </si>
  <si>
    <t>1070101130100000000</t>
  </si>
  <si>
    <t>石油沥青</t>
  </si>
  <si>
    <t>符合国家标准或石油化工行业标准的沥青产品。</t>
  </si>
  <si>
    <t>1290</t>
  </si>
  <si>
    <t>非成品油石油制品</t>
  </si>
  <si>
    <t>1070101990000000000</t>
  </si>
  <si>
    <t>其他石油制品</t>
  </si>
  <si>
    <t>1291</t>
  </si>
  <si>
    <t>绝缘油</t>
  </si>
  <si>
    <t>1070101140000000000</t>
  </si>
  <si>
    <t>1292</t>
  </si>
  <si>
    <t>废润滑油</t>
  </si>
  <si>
    <t>1070101150000000000</t>
  </si>
  <si>
    <t>废矿物油</t>
  </si>
  <si>
    <t>工业生产领域机械设备及汽车、船舶等交通运输设备使用后失去或降低功效更换下来的废润滑油</t>
  </si>
  <si>
    <t>1293</t>
  </si>
  <si>
    <t>人造原油</t>
  </si>
  <si>
    <t>1070102010000000000</t>
  </si>
  <si>
    <t>页岩原油</t>
  </si>
  <si>
    <t>亦称油母页岩原油；指以油母页岩为原料生产的一种人造原油；</t>
  </si>
  <si>
    <t>1294</t>
  </si>
  <si>
    <t>沼气</t>
  </si>
  <si>
    <t>1070102020400000000</t>
  </si>
  <si>
    <t>是有机物质在厌氧条件下，经过微生物的发酵作用而生成的一种混合气体</t>
  </si>
  <si>
    <t>1295</t>
  </si>
  <si>
    <t>氢气</t>
  </si>
  <si>
    <t>1070102020500000000</t>
  </si>
  <si>
    <t>生物氢气</t>
  </si>
  <si>
    <t>1296</t>
  </si>
  <si>
    <t>固体燃料</t>
  </si>
  <si>
    <t>1070102020600000000</t>
  </si>
  <si>
    <t>生物质致密成型燃料</t>
  </si>
  <si>
    <t>1297</t>
  </si>
  <si>
    <t>生物炭</t>
  </si>
  <si>
    <t>1070102020700000000</t>
  </si>
  <si>
    <t>是生物有机材料（生物质）在缺氧或绝氧环境中，经高温热裂解后生成的固态产物</t>
  </si>
  <si>
    <t>1298</t>
  </si>
  <si>
    <t>变性燃料乙醇</t>
  </si>
  <si>
    <t>1070102020800000000</t>
  </si>
  <si>
    <t>1299</t>
  </si>
  <si>
    <t>焦炭产品</t>
  </si>
  <si>
    <t>1070103010000000000</t>
  </si>
  <si>
    <t>焦炭</t>
  </si>
  <si>
    <t>煤炭等原料在隔绝空气的条件下，加热到950℃～1050℃，经过干燥、热解、熔融、粘结、固化、收缩等阶段最终制成焦炭，用于高炉冶炼、铸造和气化；净化后的焦炉煤气既是高热值的燃料，又是重要的有机合成工业原料</t>
  </si>
  <si>
    <t>1300</t>
  </si>
  <si>
    <t>1070103020000000000</t>
  </si>
  <si>
    <t>矿物焦油</t>
  </si>
  <si>
    <t>从煤、褐煤或泥煤干馏所得的焦油等矿物焦油</t>
  </si>
  <si>
    <t>1301</t>
  </si>
  <si>
    <t>1070103030000000000</t>
  </si>
  <si>
    <t>石油焦、碳黑</t>
  </si>
  <si>
    <t>1302</t>
  </si>
  <si>
    <t>化学原料及化学制品</t>
  </si>
  <si>
    <t>无机化学原料</t>
  </si>
  <si>
    <t>1070201010100000000</t>
  </si>
  <si>
    <t>硫酸类</t>
  </si>
  <si>
    <t>包括硫酸、发烟硫酸等</t>
  </si>
  <si>
    <t>1303</t>
  </si>
  <si>
    <t>1070201010200000000</t>
  </si>
  <si>
    <t>其他无机酸</t>
  </si>
  <si>
    <t>包括硝酸类、盐酸、氯磺酸、磷酸、多磷酸、硼酸、氢氰酸（氰化氢）、氟酸、氯化酸、碘酸、氢硫酸、氢溴酸、钨酸、硅酸、硒酸、砷酸、钼酸、偏钛酸、氯铀酸、偏锡酸、溴酸、辛酸亚锡、其他无机酸</t>
  </si>
  <si>
    <t>1304</t>
  </si>
  <si>
    <t>1070201020100000000</t>
  </si>
  <si>
    <t>粉煤灰</t>
  </si>
  <si>
    <t>指从煤燃烧后的烟气中收捕下来的细灰，是燃煤电厂排出的主要固体废物。是从煤燃烧后的烟气中收捕下来的细灰，粉煤灰是燃煤电厂排出的主要固体废物。</t>
  </si>
  <si>
    <t>1305</t>
  </si>
  <si>
    <t>1070201029900000000</t>
  </si>
  <si>
    <t>其他非金属无机氧化物</t>
  </si>
  <si>
    <t>1306</t>
  </si>
  <si>
    <t>1070201030000000000</t>
  </si>
  <si>
    <t>过氧化氢（双氧水）</t>
  </si>
  <si>
    <t>由硫酸作用于过氧化钡，或由电解氧化硫酸成过硫酸或硫酸盐成过硫酸盐再经水解，或由2-乙基蒽醌经氢化再经氧化而制得过氧化氢电解制取</t>
  </si>
  <si>
    <t>1307</t>
  </si>
  <si>
    <t>1070201040000000000</t>
  </si>
  <si>
    <t>非金属卤化物及硫化物</t>
  </si>
  <si>
    <t>包括非金属卤化物、非金属氯氧化物、非金属硫化物</t>
  </si>
  <si>
    <t>1308</t>
  </si>
  <si>
    <t>1070201050000000000</t>
  </si>
  <si>
    <t>烧碱</t>
  </si>
  <si>
    <t>包括由盐水电解法或由纯碱（或天然碱）苛化法等方法生产的固体和液体的氢氧化钠</t>
  </si>
  <si>
    <t>1309</t>
  </si>
  <si>
    <t>1070201060000000000</t>
  </si>
  <si>
    <t>纯碱类</t>
  </si>
  <si>
    <t>包括纯碱（碳酸钠）、碳酸氢钠（小苏打）、碳酸钾、碳酸氢钾（重碳酸钾）等</t>
  </si>
  <si>
    <t>1310</t>
  </si>
  <si>
    <t>1070201070000000000</t>
  </si>
  <si>
    <t>金属氢氧化物</t>
  </si>
  <si>
    <t>包括氢氧化钾（苛性钾）、氢氧化铝、氢氧化镁、氢氧化锶、氢氧化钡、氢氧化铬、氢氧化铁、氢氧化钴、氢氧化锂、氢氧化镍、氢氧化铜、氢氧化钼、氢氧化钨、氢氧化钙、氢氧化锌、氢氧化锆、氢氧化铵、其他金属氢氧化物，不包括镍钴锰氢氧化物（详见107020233）</t>
  </si>
  <si>
    <t>1311</t>
  </si>
  <si>
    <t>1070201080000000000</t>
  </si>
  <si>
    <t>金属氧化物</t>
  </si>
  <si>
    <t>包括氧化锌、氧化锶、氧化钡、铬氧化物、锰氧化物、氧化钽、钴氧化物、钛氧化物、铅氧化物、氧化锂、钒氧化物、镍氧化物、氧化铜、锗氧化物、钼氧化物、锑氧化物、氧化钨、锡氧化物、其他金属氧化物，不包括氧化铝（详见108030601）、氧化铁（详见107020123）</t>
  </si>
  <si>
    <t>1312</t>
  </si>
  <si>
    <t>1070201090000000000</t>
  </si>
  <si>
    <t>金属过氧化物、超氧化物</t>
  </si>
  <si>
    <t>包括过氧化钠、过氧化钾、过氧化镁、过氧化锶、过氧化钡、过氧化锌、过氧化钙、超氧化钠、超氧化钾、其他金属超氧化物、其他金属过氧化物</t>
  </si>
  <si>
    <t>1313</t>
  </si>
  <si>
    <t>1070201100000000000</t>
  </si>
  <si>
    <t>金属硫化物及硫酸盐</t>
  </si>
  <si>
    <t>包括金属硫化物、金属多硫化物、金属硫酸盐、金属亚硫酸盐、次亚硫酸钠、硫代硫酸盐、过硫酸盐等</t>
  </si>
  <si>
    <t>1314</t>
  </si>
  <si>
    <t>1070201110000000000</t>
  </si>
  <si>
    <t>金属硝酸盐、亚硝酸盐</t>
  </si>
  <si>
    <t>包括硝酸盐、亚硝酸盐</t>
  </si>
  <si>
    <t>1315</t>
  </si>
  <si>
    <t>1070201120000000000</t>
  </si>
  <si>
    <t>金属氧化物酸盐、金属过氧化物酸盐</t>
  </si>
  <si>
    <t>包括铝酸盐、铬酸盐及重铬酸盐、锰酸盐、高锰酸盐、钼酸盐、钨酸盐、钛酸盐、钒酸盐、高铁酸盐及铁酸盐、锌酸盐、锡酸盐、锑酸盐、锆酸盐、铼酸盐、高铅酸盐、其他金属氧化物酸盐、其他金属过氧化物酸盐，不包括铝酸钠（详见107020124）、铝酸三钙（详见107020125）。</t>
  </si>
  <si>
    <t>1316</t>
  </si>
  <si>
    <t>1070201130000000000</t>
  </si>
  <si>
    <t>磷化物、金属磷酸盐</t>
  </si>
  <si>
    <t>包括磷化物、次磷酸盐及亚磷酸盐、磷酸盐、焦磷酸盐、偏磷酸盐、缩聚磷酸盐、磷酸复盐等</t>
  </si>
  <si>
    <t>1317</t>
  </si>
  <si>
    <t>1070201140000000000</t>
  </si>
  <si>
    <t>氟化物及其盐</t>
  </si>
  <si>
    <t>包括氟化物、氟硅酸盐、氟铝酸盐及相关复合氟盐等</t>
  </si>
  <si>
    <t>1318</t>
  </si>
  <si>
    <t>1070201150000000000</t>
  </si>
  <si>
    <t>氯化物及其盐</t>
  </si>
  <si>
    <t>包括氯化物、氯酸盐、高氯酸盐、亚氯酸盐、次氯酸盐、其他亚氯酸盐、其他次氯酸盐，不包括氯化钴（详见107020236）</t>
  </si>
  <si>
    <t>1319</t>
  </si>
  <si>
    <t>1070201160000000000</t>
  </si>
  <si>
    <t>氯氧化物及氢氧基氯化物</t>
  </si>
  <si>
    <t>包括氯氧化铜、氢氧基氯化铜、氢氧基氯化铝、氯氧化锆、氯氧化铬、氯氧化锡、氯氧化锑、氯氧化铅、氢氧基氯化铅、其他氯氧化物及氢氧基氯化物</t>
  </si>
  <si>
    <t>1320</t>
  </si>
  <si>
    <t>1070201170000000000</t>
  </si>
  <si>
    <t>溴化物及其盐</t>
  </si>
  <si>
    <t>包括溴化物及溴氧化物、溴酸盐及过溴酸盐</t>
  </si>
  <si>
    <t>1321</t>
  </si>
  <si>
    <t>1070201180000000000</t>
  </si>
  <si>
    <t>碘化物及其盐</t>
  </si>
  <si>
    <t>包括碘化物、碘酸盐</t>
  </si>
  <si>
    <t>1322</t>
  </si>
  <si>
    <t>1070201190000000000</t>
  </si>
  <si>
    <t>氰化物、氧氰化物及氰络合物</t>
  </si>
  <si>
    <t>包括氰化物、氰氧化物及氰络合物</t>
  </si>
  <si>
    <t>1323</t>
  </si>
  <si>
    <t>1070201200000000000</t>
  </si>
  <si>
    <t>硅化物及硅酸盐</t>
  </si>
  <si>
    <t>包括硅化物、硅酸盐</t>
  </si>
  <si>
    <t>1324</t>
  </si>
  <si>
    <t>1070201210000000000</t>
  </si>
  <si>
    <t>硼化物、硼酸盐和过硼酸盐</t>
  </si>
  <si>
    <t>包括硼化物、硼酸盐、过硼酸盐</t>
  </si>
  <si>
    <t>1325</t>
  </si>
  <si>
    <t>1070201220000000000</t>
  </si>
  <si>
    <t>碳化物及碳酸盐</t>
  </si>
  <si>
    <t>包括碳化物、碳酸盐、过碳酸盐</t>
  </si>
  <si>
    <t>1326</t>
  </si>
  <si>
    <t>1070201230000000000</t>
  </si>
  <si>
    <t>氧化铁</t>
  </si>
  <si>
    <t>1327</t>
  </si>
  <si>
    <t>1070201240000000000</t>
  </si>
  <si>
    <t>铝酸钠</t>
  </si>
  <si>
    <t>1328</t>
  </si>
  <si>
    <t>1070201250000000000</t>
  </si>
  <si>
    <t>铝酸三钙</t>
  </si>
  <si>
    <t>1329</t>
  </si>
  <si>
    <t>有机化学原料</t>
  </si>
  <si>
    <t>1070202010100000000</t>
  </si>
  <si>
    <t>甲烷</t>
  </si>
  <si>
    <t>是最简单的有机化合物，也是最简单的脂肪族烷烃</t>
  </si>
  <si>
    <t>1330</t>
  </si>
  <si>
    <t>1070202010200000000</t>
  </si>
  <si>
    <t>乙烯</t>
  </si>
  <si>
    <t>乙烯产品通常以液态形态在压力下储存于乙烯厂内，纯度可达到99.95%</t>
  </si>
  <si>
    <t>1331</t>
  </si>
  <si>
    <t>1070202010300000000</t>
  </si>
  <si>
    <t>丙烯</t>
  </si>
  <si>
    <t>1332</t>
  </si>
  <si>
    <t>1070202010400000000</t>
  </si>
  <si>
    <t>丁二烯</t>
  </si>
  <si>
    <t>1333</t>
  </si>
  <si>
    <t>1070202019900000000</t>
  </si>
  <si>
    <t>其他无环烃</t>
  </si>
  <si>
    <t>1334</t>
  </si>
  <si>
    <t>1070202020100000000</t>
  </si>
  <si>
    <t>芳香烃</t>
  </si>
  <si>
    <t>包括粗苯、纯苯、粗甲苯、甲苯、粗二甲苯、邻二甲苯、间二甲苯、对二甲苯、混合二甲苯、苯乙烯、乙苯（乙基苯）、异丙基苯、联苯、三甲苯、重质苯、二乙苯、甲基苯乙烯、二乙烯苯、烷基苯、重烷基苯、甲基萘、二甲基萘、四氢萘、萘、十二烷基苯、粗蒽、精蒽、其他芳香烃</t>
  </si>
  <si>
    <t>1335</t>
  </si>
  <si>
    <t>1070202020101000000</t>
  </si>
  <si>
    <t>纯苯</t>
  </si>
  <si>
    <t>1336</t>
  </si>
  <si>
    <t>1070202020102000000</t>
  </si>
  <si>
    <t>甲苯</t>
  </si>
  <si>
    <t>符合国家标准的甲苯</t>
  </si>
  <si>
    <t>1337</t>
  </si>
  <si>
    <t>1070202020103000000</t>
  </si>
  <si>
    <t>邻二甲苯、间二甲苯、对二甲苯、混合二甲苯</t>
  </si>
  <si>
    <t>符合国家标准的二甲苯、间二甲苯、对二甲苯、混合二甲苯</t>
  </si>
  <si>
    <t>1338</t>
  </si>
  <si>
    <t>1070202020199000000</t>
  </si>
  <si>
    <t>其他芳香烃</t>
  </si>
  <si>
    <t>1339</t>
  </si>
  <si>
    <t>1070202029900000000</t>
  </si>
  <si>
    <t>其他环烃</t>
  </si>
  <si>
    <t>包括环氧乙烷、环氧丁烷、环氧丙烷、环丙烷、环戊烷、环己烷、环十二烷、环戊烯、环己烯、二聚环戊二烯、茨烯等</t>
  </si>
  <si>
    <t>1340</t>
  </si>
  <si>
    <t>1070202030000000000</t>
  </si>
  <si>
    <t>无环烃饱和氯化衍生物</t>
  </si>
  <si>
    <t>包括一氯甲烷、二氯甲烷、三氯甲烷（氯仿）、四氯化碳、氯乙烷、二氯乙烷、三氯乙烷、四氯乙烷、六氯乙烷、其他无环烃饱和氯化衍生物</t>
  </si>
  <si>
    <t>1341</t>
  </si>
  <si>
    <t>1070202040000000000</t>
  </si>
  <si>
    <t>无环烃不饱和氯化衍生物</t>
  </si>
  <si>
    <t>包括氯乙烯、三氯乙烯、四氯乙烯、二氯乙烯、氯丙烯、三氯丙烯、其他无环烃不饱和氯化衍生物</t>
  </si>
  <si>
    <t>1342</t>
  </si>
  <si>
    <t>1070202050000000000</t>
  </si>
  <si>
    <t>无环烃氟化、溴化或碘化衍生物</t>
  </si>
  <si>
    <t>包括溴甲烷（甲基溴）、溴乙烷、溴丙烷、碘乙烷、三氟溴甲烷、四氟乙烯、1-氯丁烷、1-溴丁烷、四溴丁烷、二溴戊烷、二碘代甲烷、三碘代甲烷、其他无环烃氟化、溴化或碘化衍生物</t>
  </si>
  <si>
    <t>1343</t>
  </si>
  <si>
    <t>1070202060000000000</t>
  </si>
  <si>
    <t>含不同卤素无环烃卤化衍生物</t>
  </si>
  <si>
    <t>含两种不同卤素的无环烃卤化衍生物，包括三氯氟甲烷、二氯二氟甲烷、三氯三氟乙烷、二氯四氟乙烷、二氯五氟乙烷、氯三氟甲烷、五氯氟乙烷、四氯二氟乙烷、七氯氟丙烷、六氯二氟丙烷、五氯三氟丙烷、四氯四氟丙烷、三氯五氟丙烷、二氯六氟丙烷、二氯七氟丙烷、一氟三氯甲烷、二氟一氯甲烷（氟利昂-22）、二氟一氯乙烷（氟利昂-142）、其他含不同卤素无环烃卤化衍生物</t>
  </si>
  <si>
    <t>1344</t>
  </si>
  <si>
    <t>1070202070000000000</t>
  </si>
  <si>
    <t>芳香烃卤化衍生物</t>
  </si>
  <si>
    <t>包括氯化苯、邻二氯苯、对二氯苯、六氯苯、对氯甲苯、3，4-二氯三氟甲苯、三氯乙醛、其他芳香烃卤化衍生物</t>
  </si>
  <si>
    <t>1345</t>
  </si>
  <si>
    <t>1070202080000000000</t>
  </si>
  <si>
    <t>烃磺化、硝化或亚硝化衍生物</t>
  </si>
  <si>
    <t>包括苯磺酸、苯磺酰氯、烷基苯磺酸、对氨基苯磺酰氯、甲苯磺酸、二甲苯磺酸、苯二磺酸、萘磺酸、硝基苯、硝基甲苯、二硝基甲苯、三硝基甲苯（TNT）、硝基氯化苯、二硝基氯化苯、三氯硝基甲烷（氯化苦；硝基氯仿）、一硝基甲烷、邻硝基甲苯、对硝基甲苯、邻硝基氯苯、对硝基氯苯、二硝基氯苯、硝化棉、其他烃磺化、硝化或亚硝化衍生物</t>
  </si>
  <si>
    <t>1346</t>
  </si>
  <si>
    <t>1070202090000000000</t>
  </si>
  <si>
    <t>无环醇及其衍生物</t>
  </si>
  <si>
    <t>包括无环醇及其卤化、磺化、硝化或亚硝化衍生物</t>
  </si>
  <si>
    <t>1347</t>
  </si>
  <si>
    <t>1070202100000000000</t>
  </si>
  <si>
    <t>环醇</t>
  </si>
  <si>
    <t>包括环醇、芳香醇</t>
  </si>
  <si>
    <t>1348</t>
  </si>
  <si>
    <t>1070202110000000000</t>
  </si>
  <si>
    <t>酚</t>
  </si>
  <si>
    <t>包括一元酚、多元酚、酚醇</t>
  </si>
  <si>
    <t>1349</t>
  </si>
  <si>
    <t>1070202120000000000</t>
  </si>
  <si>
    <t>酚及酚醇衍生物</t>
  </si>
  <si>
    <t>包括酚及酚醇的卤化、磺化、硝化或亚硝化衍生物</t>
  </si>
  <si>
    <t>1350</t>
  </si>
  <si>
    <t>1070202130000000000</t>
  </si>
  <si>
    <t>羧酸及其衍生物</t>
  </si>
  <si>
    <t>包括甲酸及甲酸盐、甲酸酯、乙酸及乙酸盐、乙酸酯、氯乙酸及其盐和酯、丙酸及其盐和酯、丁酸及其盐和酯、戊酸及其盐和酯、硬脂酸及其盐、棕榈酸及其盐、丙烯酸及其盐和酯、甲基丙烯酸及其盐和酯、油酸及其盐和酯、亚油酸及其盐和酯、亚麻酸及其盐和酯、苯甲酸及其盐和酯、苯甲酸衍生物、苯乙酸及其盐和酯、草酸及其盐和酯、己二酸及其盐和酯、癸二酸及其盐和酯、壬二酸及其盐和酯、邻苯二甲酸酯、邻苯二甲酸酐、对苯二甲酸及其盐、乳酸及其盐和酯、酒石酸及其盐和酯、葡糖酸及其盐和酯、苯乙醇酸及其盐和酯、环烷酸及其水不溶性盐和酯</t>
  </si>
  <si>
    <t>1351</t>
  </si>
  <si>
    <t>1070202140000000000</t>
  </si>
  <si>
    <t>氨基化合物</t>
  </si>
  <si>
    <t>包括无环单胺、无环多胺、环单胺或多胺及其衍生物、环芳香单胺、芳香多胺、含氧基氨基化合物、腈基化合物、重氮、偶氮或氧化偶氮化合物、肼或胲有机衍生物</t>
  </si>
  <si>
    <t>1352</t>
  </si>
  <si>
    <t>1070202150000000000</t>
  </si>
  <si>
    <t>含氮基化合物</t>
  </si>
  <si>
    <t>包括异氰酸酯、环己基氨基磺酸钠（甜蜜素）、其他含氮基化合物</t>
  </si>
  <si>
    <t>1353</t>
  </si>
  <si>
    <t>1070202160000000000</t>
  </si>
  <si>
    <t>醚</t>
  </si>
  <si>
    <t>包括乙醚、二氯乙醚、二异丙醚、二丁醚、二戊醚、甲乙醚、乙基异丙基醚、乙基丁基醚、乙基戊基醚、环醚、多元醇缩水甘油醚、甘油醚、环萜烯醚、茴香醚、苯乙醚、二苯醚、1，2-二苯氧基乙烷（乙二醇二苯基醚）、茴香脑（对丙烯基茴香醚）、二苄醚、硝基苯乙醚、硝基茴香醚、2-叔丁基-5-甲基-4，6-二硝基茴香醚、β-萘甲醚、β-萘基乙醚、间甲酚甲醚、丁基间甲酚甲醚、苯基甲苯基醚、二甲苯基醚、苄基乙基醚、甲基叔丁基醚、间甲基二苯醚、其他醚，不包括二甲醚（甲醚）（详见107020240）</t>
  </si>
  <si>
    <t>1354</t>
  </si>
  <si>
    <t>1070202170000000000</t>
  </si>
  <si>
    <t>醚醇</t>
  </si>
  <si>
    <t>包括醚醇及其卤、磺、硝或亚硝化衍生物</t>
  </si>
  <si>
    <t>1355</t>
  </si>
  <si>
    <t>1070202180000000000</t>
  </si>
  <si>
    <t>醚酚及醚醇酚</t>
  </si>
  <si>
    <t>包括醚酚、醚醇酚及其卤、磺、硝或亚硝化衍生物</t>
  </si>
  <si>
    <t>1356</t>
  </si>
  <si>
    <t>1070202190000000000</t>
  </si>
  <si>
    <t>过氧化醇、过氧化醚及过氧化酮</t>
  </si>
  <si>
    <t>包括乙过醇（乙基过氧化氢）、过氧化二乙基、过氧醚、其他过氧化醇、过氧化醚及过氧化酮</t>
  </si>
  <si>
    <t>1357</t>
  </si>
  <si>
    <t>1070202200000000000</t>
  </si>
  <si>
    <t>醛</t>
  </si>
  <si>
    <t>指不含其他含氧基的无环醛</t>
  </si>
  <si>
    <t>1358</t>
  </si>
  <si>
    <t>1070202210000000000</t>
  </si>
  <si>
    <t>醛醇</t>
  </si>
  <si>
    <t>包括乙醇醛、3-羟基丁醛、羟基香茅醛、其他醛醇</t>
  </si>
  <si>
    <t>1359</t>
  </si>
  <si>
    <t>1070202220000000000</t>
  </si>
  <si>
    <t>醛醚、醛酚及含有相关含氧基醛</t>
  </si>
  <si>
    <t>包括香草醛（3-甲氧基-4-羟基苯甲醛）、乙基香草醛（3-乙氧基-4-羟基苯甲醛）、水杨醛（邻羟基苯甲醛）、3，4-二羟基苯甲醛（原儿茶醛）、茴香醛（对甲氧基苯甲醛）、其他醛醚、醛酚及含有相关含氧基醛</t>
  </si>
  <si>
    <t>1360</t>
  </si>
  <si>
    <t>1070202230000000000</t>
  </si>
  <si>
    <t>环聚醛</t>
  </si>
  <si>
    <t>包括三聚甲醛（三恶烷）、三聚乙醛（仲乙醛）、四聚乙醛、其他环聚醛</t>
  </si>
  <si>
    <t>1361</t>
  </si>
  <si>
    <t>1070202240000000000</t>
  </si>
  <si>
    <t>多聚甲醛</t>
  </si>
  <si>
    <t>包括仲甲醛、其他多聚甲醛</t>
  </si>
  <si>
    <t>1362</t>
  </si>
  <si>
    <t>1070202250000000000</t>
  </si>
  <si>
    <t>酮</t>
  </si>
  <si>
    <t>1363</t>
  </si>
  <si>
    <t>1070202260000000000</t>
  </si>
  <si>
    <t>酮醇、酮醛及酮酚</t>
  </si>
  <si>
    <t>包括酮醇、酮醛、酮酚、其他酮醇、其他酮醛、其他酮酚</t>
  </si>
  <si>
    <t>1364</t>
  </si>
  <si>
    <t>1070202270000000000</t>
  </si>
  <si>
    <t>醌基化合物</t>
  </si>
  <si>
    <t>包括蒽醌、对苯醌、1，4-萘醌、2-甲基蒽醌、二氢苊醌、菲醌、α-羟基蒽醌、醌茜、柯嗪、1-氨基蒽醌、酞菁铜、其他醌基化合物</t>
  </si>
  <si>
    <t>1365</t>
  </si>
  <si>
    <t>1070202280000000000</t>
  </si>
  <si>
    <t>无机酸酯及其盐</t>
  </si>
  <si>
    <t>包括磷酸酯及其盐、硫代磷酸酯及其盐、硫酸酯及其盐</t>
  </si>
  <si>
    <t>1366</t>
  </si>
  <si>
    <t>1070202290000000000</t>
  </si>
  <si>
    <t>亚磷酸酯</t>
  </si>
  <si>
    <t>包括亚磷酸三甲酯、亚磷酸三乙酯、亚磷酸二甲酯、亚磷酸二乙酯、其他亚磷酸酯</t>
  </si>
  <si>
    <t>1367</t>
  </si>
  <si>
    <t>1070202300000000000</t>
  </si>
  <si>
    <t>亚硝酸酯及硝酸酯</t>
  </si>
  <si>
    <t>包括亚硝酸酯、硝酸酯</t>
  </si>
  <si>
    <t>1368</t>
  </si>
  <si>
    <t>1070202310000000000</t>
  </si>
  <si>
    <t>碳酸酯、过碳酸酯及其盐</t>
  </si>
  <si>
    <t>包括碳酸二乙酯、碳酸二愈创木酯、碳酸丙烯酯、碳酸二苯酯、二甘醇双烯丙基碳酸酯、原碳酸四乙酯、过氧化二碳酸双（4-叔丁基环己）酯、其他碳酸酯、过碳酸酯及其盐</t>
  </si>
  <si>
    <t>1369</t>
  </si>
  <si>
    <t>1070202320000000000</t>
  </si>
  <si>
    <t>硅酸酯及其盐</t>
  </si>
  <si>
    <t>包括硅酸乙酯（四乙氧基硅或硅酸四乙酯）、其他硅酸酯及其盐</t>
  </si>
  <si>
    <t>1370</t>
  </si>
  <si>
    <t>1070202330000000000</t>
  </si>
  <si>
    <t>镍钴锰氢氧化物</t>
  </si>
  <si>
    <t>1371</t>
  </si>
  <si>
    <t>1070202340000000000</t>
  </si>
  <si>
    <t>镍钴锰酸锂</t>
  </si>
  <si>
    <t>1372</t>
  </si>
  <si>
    <t>1070202350000000000</t>
  </si>
  <si>
    <t>硫酸铵</t>
  </si>
  <si>
    <t>1373</t>
  </si>
  <si>
    <t>1070202360000000000</t>
  </si>
  <si>
    <t>氯化钴</t>
  </si>
  <si>
    <t>1374</t>
  </si>
  <si>
    <t>1070202370000000000</t>
  </si>
  <si>
    <t>活性硅酸钙</t>
  </si>
  <si>
    <t>1375</t>
  </si>
  <si>
    <t>1070202380000000000</t>
  </si>
  <si>
    <t>环氧环己烷</t>
  </si>
  <si>
    <t>1376</t>
  </si>
  <si>
    <t>1070202390000000000</t>
  </si>
  <si>
    <t>正戊醇</t>
  </si>
  <si>
    <t>1377</t>
  </si>
  <si>
    <t>1070202400000000000</t>
  </si>
  <si>
    <t>二甲醚</t>
  </si>
  <si>
    <t>又称甲醚，指化学分子式为CH3OCH3，常温常压下为具有轻微醚香味，易燃、无毒、无腐蚀性的气体</t>
  </si>
  <si>
    <t>1378</t>
  </si>
  <si>
    <t>基础化学品</t>
  </si>
  <si>
    <t>1070203010100000000</t>
  </si>
  <si>
    <t>活性炭</t>
  </si>
  <si>
    <t>有多孔结构和对气体、蒸汽或胶态固体有强大吸附本领的炭；木、竹、果壳、兽骨、兽血、泥煤、褐煤等都可作为制造活性炭的原料；可将炭质用过热蒸汽、氯、氨或空气共同加热至高温活化，或将未碳化原料用氯化锌、氯化铵、氯化钙、硫酸、磷等浸渍后在低温碳化，再灼烧活化而得；主要用于脱色净化、溶剂的回收、气体的吸收、分离和提纯，化学合成的催化剂和催化剂载体等</t>
  </si>
  <si>
    <t>1379</t>
  </si>
  <si>
    <t>1070203010200000000</t>
  </si>
  <si>
    <t>硫磺</t>
  </si>
  <si>
    <t>硫磺别名硫、胶体硫、硫黄块，外观为淡黄色脆性结晶或粉末，有特殊气味。主要用于制造染料、农药、火药等。</t>
  </si>
  <si>
    <t>1380</t>
  </si>
  <si>
    <t>1070203010300000000</t>
  </si>
  <si>
    <t>磷</t>
  </si>
  <si>
    <t>一种非金属元素，包括：黄磷、赤磷、其他磷</t>
  </si>
  <si>
    <t>1381</t>
  </si>
  <si>
    <t>1070203020000000000</t>
  </si>
  <si>
    <t>非金属基础化学品</t>
  </si>
  <si>
    <t>包含硅、精硅、硒、砷、硼、碲等</t>
  </si>
  <si>
    <t>1382</t>
  </si>
  <si>
    <t>1070203030000000000</t>
  </si>
  <si>
    <t>贵金属化合物</t>
  </si>
  <si>
    <t>由贵金属元素与其他一种或一种以上元素形成的化合物。包含银化合物、金化合物、胶态贵金属、其他贵金属化合物等。</t>
  </si>
  <si>
    <t>1383</t>
  </si>
  <si>
    <t>1070203050000000000</t>
  </si>
  <si>
    <t>氢化物、氮化物、叠氮化物</t>
  </si>
  <si>
    <t>氢化物是氢与其他元素形成的二元化合物。氮化物是一类氮的化合物，包括金属氮化物、非金属氮化物等。</t>
  </si>
  <si>
    <t>1384</t>
  </si>
  <si>
    <t>1070203060000000000</t>
  </si>
  <si>
    <t>气体及稀有气体</t>
  </si>
  <si>
    <t>1385</t>
  </si>
  <si>
    <t>1070203070000000000</t>
  </si>
  <si>
    <t>有机－无机化合物</t>
  </si>
  <si>
    <t>1386</t>
  </si>
  <si>
    <t>肥料</t>
  </si>
  <si>
    <t>1070204010000000000</t>
  </si>
  <si>
    <t>氨及氨水</t>
  </si>
  <si>
    <t>1387</t>
  </si>
  <si>
    <t>1070204020000000000</t>
  </si>
  <si>
    <t>氮肥</t>
  </si>
  <si>
    <t>以氮为主要养分的肥料，肥效的大小决定于其氮含量。主要品种有尿素和硫酸铵、硝酸铵、碳酸氢铵、氯化铵、石灰氨、硝酸钠等。</t>
  </si>
  <si>
    <t>1388</t>
  </si>
  <si>
    <t>1070204030000000000</t>
  </si>
  <si>
    <t>磷肥</t>
  </si>
  <si>
    <t>是指以磷矿石为主要原料，用化学方法制成的含有作物营养元素磷的化肥。包括磷矿粉、过磷酸钙（普通过磷酸钙和重过磷酸钙两种）、钙镁磷肥、钢渣磷肥等。</t>
  </si>
  <si>
    <t>1389</t>
  </si>
  <si>
    <t>1070204040000000000</t>
  </si>
  <si>
    <t>钾肥</t>
  </si>
  <si>
    <t>用天然钾盐矿经富集精加工制成的含有作物营养元素钾的化肥。主要品种有硫酸钾、氯化钾等。</t>
  </si>
  <si>
    <t>1390</t>
  </si>
  <si>
    <t>1070204050000000000</t>
  </si>
  <si>
    <t>中量元素肥料</t>
  </si>
  <si>
    <t>中量元素肥料包括非水溶钙、镁产品和水溶硅元素等产品。</t>
  </si>
  <si>
    <t>1391</t>
  </si>
  <si>
    <t>1070204060000000000</t>
  </si>
  <si>
    <t>微量元素肥料</t>
  </si>
  <si>
    <t>指含有一种或多种植物生长所必需的，但需要量又极少的营养元素的肥料，如硼肥、锰肥、锌肥、铜肥、钼肥等。</t>
  </si>
  <si>
    <t>1392</t>
  </si>
  <si>
    <t>1070204070000000000</t>
  </si>
  <si>
    <t>复合肥、复混合肥</t>
  </si>
  <si>
    <t>是用化学方法合成或混配制成含有氮、磷、钾中的两种或两种以上的营养元素的肥料。含有两种的称二元复合肥，含有三种的称三元复合肥料，也有含三种元素和某些其他元素的叫多元复合肥料。包括硝酸磷肥、磷酸铵、磷酸二氢钾肥、钙镁磷钾肥、磷酸一铵、磷粉二铵、氮磷钾复合肥等。</t>
  </si>
  <si>
    <t>1393</t>
  </si>
  <si>
    <t>1070205010000000000</t>
  </si>
  <si>
    <t>有机肥料</t>
  </si>
  <si>
    <t>指来源于植物、动物，施于土壤以提供植物养分为其主要功效的含碳物料，包括有机-无机混合肥料</t>
  </si>
  <si>
    <t>1394</t>
  </si>
  <si>
    <t>1070205020000000000</t>
  </si>
  <si>
    <t>微生物肥料</t>
  </si>
  <si>
    <t>指含有特定微生物活体的制品，通过其中所含微生物增加植物养分或者促进植物生长、改善农产品品质及农业生态环境的肥料</t>
  </si>
  <si>
    <t>1395</t>
  </si>
  <si>
    <t>1070205030000000000</t>
  </si>
  <si>
    <t>动物、植物肥料</t>
  </si>
  <si>
    <t>1396</t>
  </si>
  <si>
    <t>农药</t>
  </si>
  <si>
    <t>1070206010000000000</t>
  </si>
  <si>
    <t>化学农药原药</t>
  </si>
  <si>
    <t>指经化学合成而生产的，未经过配制、稀释加工的化学农药原料药（原药）；化学农药（原药）包括用于防治农作物病虫草害的杀虫剂、杀菌剂、除草剂以及植物生长调节剂等</t>
  </si>
  <si>
    <t>1397</t>
  </si>
  <si>
    <t>1070206020000000000</t>
  </si>
  <si>
    <t>化学农药制剂</t>
  </si>
  <si>
    <t>指用外购农药原药生产的农药制剂</t>
  </si>
  <si>
    <t>1398</t>
  </si>
  <si>
    <t>1070207010000000000</t>
  </si>
  <si>
    <t>生物农药制剂</t>
  </si>
  <si>
    <t>是指利用生物活体（真菌，细菌，昆虫病毒，转基因生物，天敌等）或其代谢产物（信息素，生长素，萘乙酸，2，4-D等）针对农业有害生物进行杀灭或抑制的制剂。包括生物除草剂制剂、生物杀虫剂制剂、生物杀菌剂制剂、生物植物生长调节剂制剂。</t>
  </si>
  <si>
    <t>1399</t>
  </si>
  <si>
    <t>1070207020000000000</t>
  </si>
  <si>
    <t>微生物农药</t>
  </si>
  <si>
    <t>包括农用抗生素和活体微生物农药。</t>
  </si>
  <si>
    <t>1400</t>
  </si>
  <si>
    <t>涂料</t>
  </si>
  <si>
    <t>1070208010000000000</t>
  </si>
  <si>
    <t>VOC含量低于420克/升（含）的涂料</t>
  </si>
  <si>
    <t>对施工状态下挥发性有机物（VOC）含量低于420克/升(含)的涂料免征消费税</t>
  </si>
  <si>
    <t>1401</t>
  </si>
  <si>
    <t>1070208020000000000</t>
  </si>
  <si>
    <t>VOC含量高于420克/升的涂料</t>
  </si>
  <si>
    <t>1402</t>
  </si>
  <si>
    <t>油墨</t>
  </si>
  <si>
    <t>1070209010000000000</t>
  </si>
  <si>
    <t>指用于印刷的有色胶状物质；由颜料微粒均匀地分散在联结料中而成；联结料用植物油、矿物油、合成树脂和挥发性溶剂等配制；分为印刷油墨和专用油墨</t>
  </si>
  <si>
    <t>1403</t>
  </si>
  <si>
    <t>1070209020000000000</t>
  </si>
  <si>
    <t>印刷用助剂和油</t>
  </si>
  <si>
    <t>在印刷中或油墨配方中为改善油墨性能而附加的一些材料。又称辅助剂、附加剂。常用的油墨助剂有催干剂、冲淡剂、减粘剂、稀薄剂、抗氧化剂、反胶化剂、消泡剂、表面活性剂、防针孔剂、爽滑剂、增塑剂、防腐剂和香料等。</t>
  </si>
  <si>
    <t>1404</t>
  </si>
  <si>
    <t>颜料</t>
  </si>
  <si>
    <t>1070210010000000000</t>
  </si>
  <si>
    <t>无机颜料</t>
  </si>
  <si>
    <t>无机颜料的化学组成为无机物，即由各种纯金属或单一元素及各种金属氧化物、金属盐（正盐、碱式盐、复盐）类等组成，不溶于水或其他介质</t>
  </si>
  <si>
    <t>1405</t>
  </si>
  <si>
    <t>1070210020000000000</t>
  </si>
  <si>
    <t>有机颜料</t>
  </si>
  <si>
    <t>指沉淀色料等有机颜料和以其为基本成分的配制品；有机颜料属于不溶性的有机化合物，一般不溶于水，也不溶于被着色物质；有机颜料常以高度分散状态加入到被着色物质中，以达到着色的目的</t>
  </si>
  <si>
    <t>1406</t>
  </si>
  <si>
    <t>1070210030000000000</t>
  </si>
  <si>
    <t>矿物颜料</t>
  </si>
  <si>
    <t>矿物颜料即是无机颜料，是无机物的一类，属于无机性质的有色颜料，它的来源主要有两类：一类是用天然矿石经选矿，粉碎，研磨，分级，精制而成，主要用于绘画，工艺品，仿古，文物修复等。无机颜料的另一个来源是有天然矿产品经过一系列化学处理加工而制成的化工合成颜料。</t>
  </si>
  <si>
    <t>1407</t>
  </si>
  <si>
    <t>1070210040000000000</t>
  </si>
  <si>
    <t>植物性着色料</t>
  </si>
  <si>
    <t>提炼自植物，耐久不退色的有色物质</t>
  </si>
  <si>
    <t>1408</t>
  </si>
  <si>
    <t>1070210050000000000</t>
  </si>
  <si>
    <t>工业用调制颜料、遮光剂和着色剂及类似颜料</t>
  </si>
  <si>
    <t>用于陶瓷、搪瓷、玻璃等工业的调制颜料、遮光剂和着色剂及其他类似颜料</t>
  </si>
  <si>
    <t>1409</t>
  </si>
  <si>
    <t>1070210060000000000</t>
  </si>
  <si>
    <t>艺术、美工用颜料、调色料</t>
  </si>
  <si>
    <t>包括艺术家、学生或美工广告用的制成色料、颜料，以及调色料、文娱颜料及类似品（水彩、树胶水彩画颜料、油涂料等），但它们必呈片状或制成管装、小罐装、瓶装、扁盒装及类似形状或包装</t>
  </si>
  <si>
    <t>1410</t>
  </si>
  <si>
    <t>1070210070000000000</t>
  </si>
  <si>
    <t>美工塑型用膏</t>
  </si>
  <si>
    <t>包括供美工、金工用以造模塑型用膏，但不包括儿童娱乐塑型用膏（详见106040806）。</t>
  </si>
  <si>
    <t>1411</t>
  </si>
  <si>
    <t>染料</t>
  </si>
  <si>
    <t>1070211010000000000</t>
  </si>
  <si>
    <t>指能将纤维或其他被染物染成各种颜色的有机化合物；染料均按最终成品、指商品化拼混后的成品染料、实物量计算产量，而不按原染料计算产量；为避免染料总计算数量重复，企业外购染料进行拼混的混合染料，一律不计算产量</t>
  </si>
  <si>
    <t>1412</t>
  </si>
  <si>
    <t>1070211020000000000</t>
  </si>
  <si>
    <t>用作发光体有机、无机产品</t>
  </si>
  <si>
    <t>指用作荧光增白剂的有机合成产品</t>
  </si>
  <si>
    <t>1413</t>
  </si>
  <si>
    <t>密封用填料</t>
  </si>
  <si>
    <t>1070212010000000000</t>
  </si>
  <si>
    <t>非定型密封材料</t>
  </si>
  <si>
    <t>建筑防水嵌缝密封材料</t>
  </si>
  <si>
    <t>1414</t>
  </si>
  <si>
    <t>1070212020000000000</t>
  </si>
  <si>
    <t>定形密封材料</t>
  </si>
  <si>
    <t>具有一定形状和尺寸的密封材料</t>
  </si>
  <si>
    <t>1415</t>
  </si>
  <si>
    <t>1070212030000000000</t>
  </si>
  <si>
    <t>密封用粘胶品</t>
  </si>
  <si>
    <t>1416</t>
  </si>
  <si>
    <t>化学合成材料</t>
  </si>
  <si>
    <t>1070213010100000000</t>
  </si>
  <si>
    <t>聚对苯二甲酸乙二醇酯、PET、树脂</t>
  </si>
  <si>
    <t>聚对苯二甲酸乙二醇酯化学式为-OCH2-CH2OCOC6H4CO-英文名：polyethyleneterephthalate，简称PET，为高聚合物，由对苯二甲酸乙二醇酯发生脱水缩合反应而来。</t>
  </si>
  <si>
    <t>1417</t>
  </si>
  <si>
    <t>1070213019900000000</t>
  </si>
  <si>
    <t>其他初级形态塑料</t>
  </si>
  <si>
    <t>1418</t>
  </si>
  <si>
    <t>1070213020000000000</t>
  </si>
  <si>
    <t>合成橡胶</t>
  </si>
  <si>
    <t>是合成的高分子弹性体，又称人造橡胶；根据化学结构的不同，分为烯烃类、二烯烃类和元素有机类等；主要品种有：丁苯橡胶、丁腈橡胶、顺丁橡胶、丁基橡胶、氯丁橡胶、SBS热塑弹性体、乙丙橡胶、氯磺化聚乙烯、聚氨酯弹性体、聚硫橡胶、硅橡胶、氟橡胶等</t>
  </si>
  <si>
    <t>1419</t>
  </si>
  <si>
    <t>1070213030000000000</t>
  </si>
  <si>
    <t>合成纤维单体</t>
  </si>
  <si>
    <t>一部分可直接生产合成纤维，一部分要聚合后生产合成纤维；主要有：己内酰胺、丙烯腈、精对苯二甲酸、PTA、对苯二甲酸二甲酯、DMT、纤维级聚丙烯、尼龙66盐、乙二醇等</t>
  </si>
  <si>
    <t>1420</t>
  </si>
  <si>
    <t>1070213040000000000</t>
  </si>
  <si>
    <t>合成纤维聚合物</t>
  </si>
  <si>
    <t>包括聚酯、半消光涤纶切片、聚乙烯醇、聚酰胺等</t>
  </si>
  <si>
    <t>1421</t>
  </si>
  <si>
    <t>1070213050000000000</t>
  </si>
  <si>
    <t>离子交换树脂</t>
  </si>
  <si>
    <t>即离子交换剂</t>
  </si>
  <si>
    <t>1422</t>
  </si>
  <si>
    <t>1070213060000000000</t>
  </si>
  <si>
    <t>油脂类高分子聚合物</t>
  </si>
  <si>
    <t>包括硅油和硅脂</t>
  </si>
  <si>
    <t>1423</t>
  </si>
  <si>
    <t>1070213070000000000</t>
  </si>
  <si>
    <t>调制粘合剂</t>
  </si>
  <si>
    <t>包括调制胶及其他调制粘合剂</t>
  </si>
  <si>
    <t>1424</t>
  </si>
  <si>
    <t>1070213080000000000</t>
  </si>
  <si>
    <t>功能高分子材料</t>
  </si>
  <si>
    <t>功能高分子材料一般指具有传递、转换或贮存物质、能量和信息作用的高分子及其复合材料，或具体地指在原有力学性能的基础上，还具有化学反应活性、光敏性、导电性、催化性、生物相容性、药理性、选择分离性、能量转换性、磁性等功能的高分子及其复合材料。</t>
  </si>
  <si>
    <t>1425</t>
  </si>
  <si>
    <t>1070213990000000000</t>
  </si>
  <si>
    <t>其他橡胶</t>
  </si>
  <si>
    <t>包括复合橡胶等</t>
  </si>
  <si>
    <t>1426</t>
  </si>
  <si>
    <t>化学试剂助剂</t>
  </si>
  <si>
    <t>1070214010000000000</t>
  </si>
  <si>
    <t>化学试剂</t>
  </si>
  <si>
    <t>指化学分析中为测定物质的成分或组成而使用的纯粹化学药品；化学试剂包括：通用试剂、高纯试剂及高纯物质、分析试剂、仪器分析用试剂及制品、生化试剂、临床诊断检查用试剂、稳定性同位素及其标记化合物、高纯气体、新兴工业用特种化学品、有机合成研究用试剂及其他化学试剂</t>
  </si>
  <si>
    <t>1427</t>
  </si>
  <si>
    <t>1070214020000000000</t>
  </si>
  <si>
    <t>催化剂</t>
  </si>
  <si>
    <t>指化学反应中能改变反应速度，而本身的组成和重量在反应后保持不变的物质；催化剂中包括石油精制催化剂、石油化工用催化剂、无机化工用催化剂、硫酸用、合成氨用、有机化工催化剂及防治公害用催化剂</t>
  </si>
  <si>
    <t>1428</t>
  </si>
  <si>
    <t>1070214030000000000</t>
  </si>
  <si>
    <t>橡胶助剂</t>
  </si>
  <si>
    <t>为提高橡胶制品的耐磨性、弹性，使其经久耐用、不老化；橡胶制品在加工过程中，需要加入各种助剂；橡胶助剂主要有橡胶促进剂、防老剂、防焦剂及增粘剂等</t>
  </si>
  <si>
    <t>1429</t>
  </si>
  <si>
    <t>1070214040000000000</t>
  </si>
  <si>
    <t>塑料助剂</t>
  </si>
  <si>
    <t>在塑料生产和加工过程中必须使用的助剂，以利充分发挥塑料的优良性能并便于加工成型；主要的助剂有：增塑剂、热稳定剂、抗紫外线剂、抗氧化剂、阻燃剂、发泡剂、固化剂、补强剂和填充剂、润滑剂等</t>
  </si>
  <si>
    <t>1430</t>
  </si>
  <si>
    <t>1070214050000000000</t>
  </si>
  <si>
    <t>农药乳化剂</t>
  </si>
  <si>
    <t>乳化剂是能够改善乳浊液中各种构成相之间的表面张力，使之形成均匀稳定的分散体系或乳浊液的物质。农药乳化剂就是是用于农药的乳化剂。</t>
  </si>
  <si>
    <t>1431</t>
  </si>
  <si>
    <t>1070214060000000000</t>
  </si>
  <si>
    <t>纺织工业用整理剂、助剂</t>
  </si>
  <si>
    <t>包括纺织及类似工业用整理剂、助剂；纺织工业用整理剂，由醚化脲醛、醚化氰醛、醚化糠醛符合制得</t>
  </si>
  <si>
    <t>1432</t>
  </si>
  <si>
    <t>1070214070000000000</t>
  </si>
  <si>
    <t>造纸工业用整理剂、助剂</t>
  </si>
  <si>
    <t>包括造纸及类似工业用整理剂、助剂</t>
  </si>
  <si>
    <t>1433</t>
  </si>
  <si>
    <t>1070214080000000000</t>
  </si>
  <si>
    <t>制革工业用整理剂、助剂</t>
  </si>
  <si>
    <t>包括制革及类似工业用整理剂、助剂</t>
  </si>
  <si>
    <t>1434</t>
  </si>
  <si>
    <t>1070214090000000000</t>
  </si>
  <si>
    <t>润滑剂及类似制品</t>
  </si>
  <si>
    <t>包括润滑剂及纺织材料、皮革等材料的油脂处理剂</t>
  </si>
  <si>
    <t>1435</t>
  </si>
  <si>
    <t>1070214100000000000</t>
  </si>
  <si>
    <t>钻井用助剂</t>
  </si>
  <si>
    <t>1436</t>
  </si>
  <si>
    <t>1070214110000000000</t>
  </si>
  <si>
    <t>建工建材用化学助剂</t>
  </si>
  <si>
    <t>包括建筑防水剂、水泥、灰泥及混凝土用添加剂、建工建材用交联剂、快速堵漏剂</t>
  </si>
  <si>
    <t>1437</t>
  </si>
  <si>
    <t>1070214120000000000</t>
  </si>
  <si>
    <t>生物化学制剂</t>
  </si>
  <si>
    <t>包括黄腐酸制剂和其他生物化学制剂</t>
  </si>
  <si>
    <t>1438</t>
  </si>
  <si>
    <t>1070214130000000000</t>
  </si>
  <si>
    <t>炭黑</t>
  </si>
  <si>
    <t>又称炉黑，包括天然气槽法炭黑、天然气半补强炭黑、混气碳黑；是轻松而极细的无定形炭粉末；是由有机物质经不完全燃烧或经热分解而成的不纯产品；广泛用作橡胶的补强剂；炭黑种类很多；可作黑色颜料，用于中国墨、油墨、油漆等工业</t>
  </si>
  <si>
    <t>1439</t>
  </si>
  <si>
    <t>1070214140000000000</t>
  </si>
  <si>
    <t>增炭剂</t>
  </si>
  <si>
    <t>以石墨化焦、电极石黑碎、煅后石油焦、煤焦为基本原料，通过选料，电炉煅烧、烘干、破碎、整料、筛分、包装等一整套工艺过程，生产出各种品质和粒级的增炭剂</t>
  </si>
  <si>
    <t>1440</t>
  </si>
  <si>
    <t>1070214150000000000</t>
  </si>
  <si>
    <t>脱硫剂</t>
  </si>
  <si>
    <t>一般指脱除燃料、原料或其他物料中的游离硫或硫化合物的药剂；在污染物的控制和处理中主要指能去除废气中硫氧化物（包括SO2和SO3）所用的药剂。</t>
  </si>
  <si>
    <t>1441</t>
  </si>
  <si>
    <t>1070214160000000000</t>
  </si>
  <si>
    <t>石墨增碳剂</t>
  </si>
  <si>
    <t>1442</t>
  </si>
  <si>
    <t>专项化学用品</t>
  </si>
  <si>
    <t>1070215010000000000</t>
  </si>
  <si>
    <t>油田用化学制剂</t>
  </si>
  <si>
    <t>供油田使用的化学制剂</t>
  </si>
  <si>
    <t>1443</t>
  </si>
  <si>
    <t>1070215020000000000</t>
  </si>
  <si>
    <t>矿物油用配制添加剂</t>
  </si>
  <si>
    <t>供矿物油等同样用途液体的配制添加剂</t>
  </si>
  <si>
    <t>1444</t>
  </si>
  <si>
    <t>1070215030000000000</t>
  </si>
  <si>
    <t>鞣料及鞣料制剂</t>
  </si>
  <si>
    <t>包括有机合成鞣料、无机鞣料及鞣料制剂</t>
  </si>
  <si>
    <t>1445</t>
  </si>
  <si>
    <t>1070215040000000000</t>
  </si>
  <si>
    <t>酶及酶制品</t>
  </si>
  <si>
    <t>酶是由活细胞合成的，对特异底物起高效催化作用的蛋白质，是机体内催化各种代谢反应的最主要的催化剂。</t>
  </si>
  <si>
    <t>1446</t>
  </si>
  <si>
    <t>1070215050000000000</t>
  </si>
  <si>
    <t>化学陶瓷</t>
  </si>
  <si>
    <t>包括氧化物陶瓷、碳化物陶、瓷氮化物陶瓷、氟化物陶瓷和其他化学陶瓷</t>
  </si>
  <si>
    <t>1447</t>
  </si>
  <si>
    <t>1070215060000000000</t>
  </si>
  <si>
    <t>特种纤维及高功能化工产品</t>
  </si>
  <si>
    <t>包括碳纤维增强复合材料、硼纤维增强复合材料、碳化硅纤维增强复合材料、氧化铝纤维增强复合材料。</t>
  </si>
  <si>
    <t>1448</t>
  </si>
  <si>
    <t>1070215070000000000</t>
  </si>
  <si>
    <t>金属表面处理剂</t>
  </si>
  <si>
    <t>金属表面处理剂指对金属表面进行各种处理的化学药剂的总称。主要包括清洗剂、防锈剂、磷化液三大类。</t>
  </si>
  <si>
    <t>1449</t>
  </si>
  <si>
    <t>1070215080000000000</t>
  </si>
  <si>
    <t>工业用脂肪醇</t>
  </si>
  <si>
    <t>1450</t>
  </si>
  <si>
    <t>1070215090000000000</t>
  </si>
  <si>
    <t>工业用脂肪酸</t>
  </si>
  <si>
    <t>1451</t>
  </si>
  <si>
    <t>1070215100000000000</t>
  </si>
  <si>
    <t>工业用脂肪胺</t>
  </si>
  <si>
    <t>1452</t>
  </si>
  <si>
    <t>1070215110000000000</t>
  </si>
  <si>
    <t>工业级混合油</t>
  </si>
  <si>
    <t>餐饮业和食品业用后的植物油与动物油的混合物，经脱水、去渣、降酸、脱色、去味处理，只被用于工业化生产，如用于生产生物柴油（脂肪酸甲酯）、油酸、环氧甲酯、甘油、植物沥青、增塑剂等；</t>
  </si>
  <si>
    <t>1453</t>
  </si>
  <si>
    <t>1070215120000000000</t>
  </si>
  <si>
    <t>脂肪酸甲酯</t>
  </si>
  <si>
    <t>脂肪酸甲酯为黄色澄清透明液体（精馏后为无色），具有一种温和的、特有的气味，结构稳定，没有腐蚀性。脂肪酸甲酯是用途广泛的表面活性剂(SAA)的原料。</t>
  </si>
  <si>
    <t>1454</t>
  </si>
  <si>
    <t>1070215990000000000</t>
  </si>
  <si>
    <t>其他专项化学用品</t>
  </si>
  <si>
    <t>1455</t>
  </si>
  <si>
    <t>林产化学产品</t>
  </si>
  <si>
    <t>1070216010000000000</t>
  </si>
  <si>
    <t>松节油类产品</t>
  </si>
  <si>
    <t>指利用松节油制成的相关产品</t>
  </si>
  <si>
    <t>1456</t>
  </si>
  <si>
    <t>1070216020000000000</t>
  </si>
  <si>
    <t>松香类产品</t>
  </si>
  <si>
    <t>指利用松香制成的相关产品</t>
  </si>
  <si>
    <t>1457</t>
  </si>
  <si>
    <t>1070216030000000000</t>
  </si>
  <si>
    <t>栲胶</t>
  </si>
  <si>
    <t>包括落叶松栲胶、桕梅栲胶、油柑栲胶、黑荆树栲胶、槲树栲胶、红根栲胶、木麻黄栲胶、橡碗栲胶、化香果栲胶、混合栲胶</t>
  </si>
  <si>
    <t>1458</t>
  </si>
  <si>
    <t>1070216040000000000</t>
  </si>
  <si>
    <t>樟脑</t>
  </si>
  <si>
    <t>樟脑为樟科植物樟的枝、干、叶及根部，经提炼制得的颗粒状结晶，包括天然樟脑和合成樟脑</t>
  </si>
  <si>
    <t>1459</t>
  </si>
  <si>
    <t>1070216050000000000</t>
  </si>
  <si>
    <t>冰片（龙脑）</t>
  </si>
  <si>
    <t>是由菊科艾纳香茎叶或樟科植物龙脑樟枝叶经水蒸汽蒸馏并重结晶而得。包括天然冰片和合成冰片。</t>
  </si>
  <si>
    <t>1460</t>
  </si>
  <si>
    <t>1070216060000000000</t>
  </si>
  <si>
    <t>五倍子单宁产品</t>
  </si>
  <si>
    <t>1461</t>
  </si>
  <si>
    <t>1070216070000000000</t>
  </si>
  <si>
    <t>紫胶类产品</t>
  </si>
  <si>
    <t>利用紫胶制成的相关产品</t>
  </si>
  <si>
    <t>1462</t>
  </si>
  <si>
    <t>1070216080000000000</t>
  </si>
  <si>
    <t>木材热解、水解产品</t>
  </si>
  <si>
    <t>利用热解、水解的化学方法将树木组织或造材剩余物加工而成的非木材的其他林、副产品</t>
  </si>
  <si>
    <t>1463</t>
  </si>
  <si>
    <t>1070216090000000000</t>
  </si>
  <si>
    <t>竹材热解产品</t>
  </si>
  <si>
    <t>利用热解的方法将竹材组织或造材剩余物加工而成的非竹材的其他林、副产品</t>
  </si>
  <si>
    <t>1464</t>
  </si>
  <si>
    <t>1070216100000000000</t>
  </si>
  <si>
    <t>林产色素（紫胶红色素）</t>
  </si>
  <si>
    <t>从豆科、桑科植物上的紫胶虫（Laccifelacca）的雌虫所分泌的树脂状物质紫胶，用稀碳酸钠水溶液萃取、精制而得。</t>
  </si>
  <si>
    <t>1465</t>
  </si>
  <si>
    <t>1070216110000000000</t>
  </si>
  <si>
    <t>林产蜡（虫白蜡）</t>
  </si>
  <si>
    <t>中药名。为介壳虫科昆虫白蜡虫的雄虫群栖于木犀科植物白蜡树、女贞或女贞属他种植物枝干上分泌的蜡，经精制而成。常作为赋形剂，制丸、片的润滑剂。</t>
  </si>
  <si>
    <t>1466</t>
  </si>
  <si>
    <t>1070216120000000000</t>
  </si>
  <si>
    <t>桃胶粉</t>
  </si>
  <si>
    <t>桃胶粉是一种无外来可见杂质、白色或乳黄色粉末的添加剂。</t>
  </si>
  <si>
    <t>1467</t>
  </si>
  <si>
    <t>1070216130000000000</t>
  </si>
  <si>
    <t>糠醛</t>
  </si>
  <si>
    <t>1468</t>
  </si>
  <si>
    <t>1070216140000000000</t>
  </si>
  <si>
    <t>阿拉伯糖</t>
  </si>
  <si>
    <t>1469</t>
  </si>
  <si>
    <t>1070216150000000000</t>
  </si>
  <si>
    <t>木质素</t>
  </si>
  <si>
    <t>1470</t>
  </si>
  <si>
    <t>1070216160000000000</t>
  </si>
  <si>
    <t>纤维素</t>
  </si>
  <si>
    <t>1471</t>
  </si>
  <si>
    <t>1070216990000000000</t>
  </si>
  <si>
    <t>其他林产化学产品</t>
  </si>
  <si>
    <t>1472</t>
  </si>
  <si>
    <t>炸药烟火</t>
  </si>
  <si>
    <t>1070217010000000000</t>
  </si>
  <si>
    <t>发射药</t>
  </si>
  <si>
    <t>指装在枪炮弹膛内用以发射弹丸的火药。</t>
  </si>
  <si>
    <t>1473</t>
  </si>
  <si>
    <t>1070217020000000000</t>
  </si>
  <si>
    <t>炸药</t>
  </si>
  <si>
    <t>指配制炸药，不包括发射药（详见107021701）。</t>
  </si>
  <si>
    <t>1474</t>
  </si>
  <si>
    <t>1070217030000000000</t>
  </si>
  <si>
    <t>火工产品</t>
  </si>
  <si>
    <t>指装有火药或炸药，受外界刺激后产生燃烧或爆炸，以引燃火药、引爆炸药或做机械功的一次性使用的元器件和装置的总称。</t>
  </si>
  <si>
    <t>1475</t>
  </si>
  <si>
    <t>1070217040000000000</t>
  </si>
  <si>
    <t>爆破器材</t>
  </si>
  <si>
    <t>用于爆破的炸药、火具、爆破器、核爆破装置、起爆器、导电线和检测仪表等的统称。包括地震勘探用爆破器材</t>
  </si>
  <si>
    <t>1476</t>
  </si>
  <si>
    <t>1070217050000000000</t>
  </si>
  <si>
    <t>烟火制品</t>
  </si>
  <si>
    <t>指供娱乐或其他用途的含有通过放热化学反应产生热、光、声、气或烟雾的物质或物质混合物的任何物品。</t>
  </si>
  <si>
    <t>1477</t>
  </si>
  <si>
    <t>1070217060100000000</t>
  </si>
  <si>
    <t>烟花</t>
  </si>
  <si>
    <t>又名焰火</t>
  </si>
  <si>
    <t>1478</t>
  </si>
  <si>
    <t>1070217060200000000</t>
  </si>
  <si>
    <t>爆竹</t>
  </si>
  <si>
    <t>又名鞭炮</t>
  </si>
  <si>
    <t>1479</t>
  </si>
  <si>
    <t>信息化学品</t>
  </si>
  <si>
    <t>1070218010000000000</t>
  </si>
  <si>
    <t>感光胶片</t>
  </si>
  <si>
    <t>指银盐感光胶片，也叫菲林。由PC/PP/PET/PVC料制作而成。现在一般是指胶卷,也可以指印刷制版中的底片。</t>
  </si>
  <si>
    <t>1480</t>
  </si>
  <si>
    <t>1070218020000000000</t>
  </si>
  <si>
    <t>摄影感光纸、纸板及纺织物</t>
  </si>
  <si>
    <t>指摄影感光纸及传真纸、照排纸、示波记录纸和其他工业技术用的感光纸。</t>
  </si>
  <si>
    <t>1481</t>
  </si>
  <si>
    <t>1070218030000000000</t>
  </si>
  <si>
    <t>片基</t>
  </si>
  <si>
    <t>感光胶片的支持体，是一种具有透明、柔软特性和一定机械强度的塑料薄膜</t>
  </si>
  <si>
    <t>1482</t>
  </si>
  <si>
    <t>1070218040000000000</t>
  </si>
  <si>
    <t>摄影、复印用化学制剂</t>
  </si>
  <si>
    <t>用于摄影、复印的化学制剂</t>
  </si>
  <si>
    <t>1483</t>
  </si>
  <si>
    <t>1070218050000000000</t>
  </si>
  <si>
    <t>空白磁带</t>
  </si>
  <si>
    <t>磁带包括录音磁带和录像磁带；折算方法：磁带（折6.3mm）产量=产品实际宽度（mm）／6.3（mm）×产品实际长度</t>
  </si>
  <si>
    <t>1484</t>
  </si>
  <si>
    <t>1070218060000000000</t>
  </si>
  <si>
    <t>空白磁盘</t>
  </si>
  <si>
    <t>一种类似磁带装置的计算机的外部存储器</t>
  </si>
  <si>
    <t>1485</t>
  </si>
  <si>
    <t>1070218070000000000</t>
  </si>
  <si>
    <t>空盘</t>
  </si>
  <si>
    <t>指空白的信息存储材料</t>
  </si>
  <si>
    <t>1486</t>
  </si>
  <si>
    <t>1070218080000000000</t>
  </si>
  <si>
    <t>未灌（录）制相关媒体</t>
  </si>
  <si>
    <t>包括磁片、磁条、金属条、蜡盘等</t>
  </si>
  <si>
    <t>1487</t>
  </si>
  <si>
    <t>1070218090000000000</t>
  </si>
  <si>
    <t>电子半导体材料</t>
  </si>
  <si>
    <t>经掺杂用于电子工业的已切片化学元素等</t>
  </si>
  <si>
    <t>1488</t>
  </si>
  <si>
    <t>1070218990000000000</t>
  </si>
  <si>
    <t>其他信息化学品</t>
  </si>
  <si>
    <t>1489</t>
  </si>
  <si>
    <t>环境污染处理剂</t>
  </si>
  <si>
    <t>1070219010000000000</t>
  </si>
  <si>
    <t>水处理剂</t>
  </si>
  <si>
    <t>指自来水净化过程中所用水处理剂。</t>
  </si>
  <si>
    <t>1490</t>
  </si>
  <si>
    <t>1070219020000000000</t>
  </si>
  <si>
    <t>污水处理化学药剂</t>
  </si>
  <si>
    <t>指污水处理过程需要使用的化学药剂。</t>
  </si>
  <si>
    <t>1491</t>
  </si>
  <si>
    <t>1070219030000000000</t>
  </si>
  <si>
    <t>污水处理生物药剂</t>
  </si>
  <si>
    <t>指污水处理过程需要使用的生物药剂。</t>
  </si>
  <si>
    <t>1492</t>
  </si>
  <si>
    <t>1070219040000000000</t>
  </si>
  <si>
    <t>污水处理材料</t>
  </si>
  <si>
    <t>指污水处理过程需要使用的材料。</t>
  </si>
  <si>
    <t>1493</t>
  </si>
  <si>
    <t>1070219050000000000</t>
  </si>
  <si>
    <t>空气污染治理材料</t>
  </si>
  <si>
    <t>指空气污染治理过程需要使用的材料。</t>
  </si>
  <si>
    <t>1494</t>
  </si>
  <si>
    <t>动物炭黑</t>
  </si>
  <si>
    <t>1070220010000000000</t>
  </si>
  <si>
    <t>动物尸体燃烧后剩下的产物炭黑</t>
  </si>
  <si>
    <t>1495</t>
  </si>
  <si>
    <t>动物胶</t>
  </si>
  <si>
    <t>1070220020000000000</t>
  </si>
  <si>
    <t>指以动物的皮、骨或筋等为原料，将其中所含的胶原经过部分水解、萃取和干燥制成的蛋白质固形物。</t>
  </si>
  <si>
    <t>1496</t>
  </si>
  <si>
    <t>明胶衍生物</t>
  </si>
  <si>
    <t>1070220030000000000</t>
  </si>
  <si>
    <t>1497</t>
  </si>
  <si>
    <t>焊接用制品</t>
  </si>
  <si>
    <t>1070221010000000000</t>
  </si>
  <si>
    <t>金属材料制焊料</t>
  </si>
  <si>
    <t>指用于填加到焊缝、堆焊层和钎缝中的金属合金材料的总称</t>
  </si>
  <si>
    <t>1498</t>
  </si>
  <si>
    <t>1070221020000000000</t>
  </si>
  <si>
    <t>焊接辅助剂</t>
  </si>
  <si>
    <t>1499</t>
  </si>
  <si>
    <t>洗涤剂</t>
  </si>
  <si>
    <t>1070222010000000000</t>
  </si>
  <si>
    <t>肥（香）皂</t>
  </si>
  <si>
    <t>包括各种形状、类型、功能，以脂肪酸钠盐为主体成分的皂类洗涤用品</t>
  </si>
  <si>
    <t>1500</t>
  </si>
  <si>
    <t>1070222020000000000</t>
  </si>
  <si>
    <t>合成洗涤剂</t>
  </si>
  <si>
    <t>以表面活性剂为主体，配制、成型的粉状、膏状、液体状产品；供家庭、工业及公共设施用清洁洗涤剂</t>
  </si>
  <si>
    <t>1501</t>
  </si>
  <si>
    <t>1070222030000000000</t>
  </si>
  <si>
    <t>表面活性剂</t>
  </si>
  <si>
    <t>有机合成的化学品，具有润湿、渗透、乳化、分散作用，系合成洗涤剂的主体成分</t>
  </si>
  <si>
    <t>1502</t>
  </si>
  <si>
    <t>美容护肤品</t>
  </si>
  <si>
    <t>1070223010000000000</t>
  </si>
  <si>
    <t>清洁类化妆品</t>
  </si>
  <si>
    <t>指个人清洁护理用品</t>
  </si>
  <si>
    <t>1503</t>
  </si>
  <si>
    <t>1070223020000000000</t>
  </si>
  <si>
    <t>护肤用化妆品</t>
  </si>
  <si>
    <t>指个人护肤护理用品</t>
  </si>
  <si>
    <t>1504</t>
  </si>
  <si>
    <t>1070223030000000000</t>
  </si>
  <si>
    <t>护发用化妆品</t>
  </si>
  <si>
    <t>指个人护发护理用品</t>
  </si>
  <si>
    <t>1505</t>
  </si>
  <si>
    <t>1070223040000000000</t>
  </si>
  <si>
    <t>美容、修饰类化妆品</t>
  </si>
  <si>
    <t>包括口红、唇膏、唇彩、唇线笔及其他唇用化妆品，香水及其他美容、修饰类化妆品</t>
  </si>
  <si>
    <t>1506</t>
  </si>
  <si>
    <t>1070223050000000000</t>
  </si>
  <si>
    <t>高档护肤类化妆品</t>
  </si>
  <si>
    <t>指生产（进口）环节销售（完税）价格（不含增值税）在10元/毫升（克）或15元/片（张）及以上的个人护肤护理用品。</t>
  </si>
  <si>
    <t>1507</t>
  </si>
  <si>
    <t>1070223060000000000</t>
  </si>
  <si>
    <t>高档美容、修饰类化妆品</t>
  </si>
  <si>
    <t>指生产（进口）环节销售（完税）价格（不含增值税）在10元/毫升（克）或15元/片（张）及以上的美容、修饰类化妆品。包括口红、唇膏、唇彩、唇线笔及其他唇用化妆品，香水及其他美容、修饰类化妆品</t>
  </si>
  <si>
    <t>1508</t>
  </si>
  <si>
    <t>口腔清洁护理品</t>
  </si>
  <si>
    <t>1070224010000000000</t>
  </si>
  <si>
    <t>牙膏、漱口液</t>
  </si>
  <si>
    <t>1509</t>
  </si>
  <si>
    <t>1070224990000000000</t>
  </si>
  <si>
    <t>其他口腔清洁护理用品</t>
  </si>
  <si>
    <t>1510</t>
  </si>
  <si>
    <t>香料</t>
  </si>
  <si>
    <t>1070225000000000000</t>
  </si>
  <si>
    <t>含天然及合成，指具有香气和（或）香味的、用于调配各类香精的香原料；包括天然香料、生物技术香料和合成香料产品</t>
  </si>
  <si>
    <t>1511</t>
  </si>
  <si>
    <t>香精</t>
  </si>
  <si>
    <t>1070226010000000000</t>
  </si>
  <si>
    <t>食品用香精</t>
  </si>
  <si>
    <t>指用在各种饮料、冷饮品、糖果、饼干、调味品等加香产品中的香精</t>
  </si>
  <si>
    <t>1512</t>
  </si>
  <si>
    <t>1070226020000000000</t>
  </si>
  <si>
    <t>酒用香精</t>
  </si>
  <si>
    <t>指用在各类加香酒产品中的香精</t>
  </si>
  <si>
    <t>1513</t>
  </si>
  <si>
    <t>1070226030000000000</t>
  </si>
  <si>
    <t>烟用香精</t>
  </si>
  <si>
    <t>指用在各种烟草制品中的香精</t>
  </si>
  <si>
    <t>1514</t>
  </si>
  <si>
    <t>1070226040000000000</t>
  </si>
  <si>
    <t>日用香精</t>
  </si>
  <si>
    <t>指用在各种日用产品中的香精</t>
  </si>
  <si>
    <t>1515</t>
  </si>
  <si>
    <t>1070226050000000000</t>
  </si>
  <si>
    <t>饲料用香精</t>
  </si>
  <si>
    <t>指用在各种饲料中的香精</t>
  </si>
  <si>
    <t>1516</t>
  </si>
  <si>
    <t>1070226990000000000</t>
  </si>
  <si>
    <t>其他工业用香精</t>
  </si>
  <si>
    <t>指用在其他各类工业产品中的香精</t>
  </si>
  <si>
    <t>1517</t>
  </si>
  <si>
    <t>其他化学制品</t>
  </si>
  <si>
    <t>1070299010000000000</t>
  </si>
  <si>
    <t>室内散香或除臭制品</t>
  </si>
  <si>
    <t>指使室内产生香气或除去异味的制品</t>
  </si>
  <si>
    <t>1518</t>
  </si>
  <si>
    <t>1070299020000000000</t>
  </si>
  <si>
    <t>光洁用品</t>
  </si>
  <si>
    <t>指使物体表面产生光亮的用品，主要是上光剂等类似品</t>
  </si>
  <si>
    <t>1519</t>
  </si>
  <si>
    <t>1070299030000000000</t>
  </si>
  <si>
    <t>擦洗膏、去污粉及类似制品</t>
  </si>
  <si>
    <t>指家庭日常清洁用品及类似制品</t>
  </si>
  <si>
    <t>1520</t>
  </si>
  <si>
    <t>1070299040000000000</t>
  </si>
  <si>
    <t>动物用化妆盥洗品</t>
  </si>
  <si>
    <t>指用于动物化妆盥洗的制品</t>
  </si>
  <si>
    <t>1521</t>
  </si>
  <si>
    <t>1070299050000000000</t>
  </si>
  <si>
    <t>火柴</t>
  </si>
  <si>
    <t>指根据物体摩擦生热的原理，利用强氧化剂和还原剂的化学活性，制造出的一种能摩擦发火的取火工具</t>
  </si>
  <si>
    <t>1522</t>
  </si>
  <si>
    <t>1070299060000000000</t>
  </si>
  <si>
    <t>蜡烛及类似品</t>
  </si>
  <si>
    <t>指以石蜡和（或）植物蜡为主要原料，经加工而成的，主要用于燃烧和照明的各种蜡烛及类似品；包括普通照明用蜡烛、庆典用蜡烛，以及各种工艺蜡烛等，也包括罐装蜡烛</t>
  </si>
  <si>
    <t>1523</t>
  </si>
  <si>
    <t>1070299990000000000</t>
  </si>
  <si>
    <t>其他未列明化学制品</t>
  </si>
  <si>
    <t>1524</t>
  </si>
  <si>
    <t>医药</t>
  </si>
  <si>
    <t>化学药品原药</t>
  </si>
  <si>
    <t>1070301010000000000</t>
  </si>
  <si>
    <t>抗菌素（抗感染药）</t>
  </si>
  <si>
    <t>指一种具有杀灭或抑制细菌生长的药物</t>
  </si>
  <si>
    <t>1525</t>
  </si>
  <si>
    <t>1070301020000000000</t>
  </si>
  <si>
    <t>消化系统用药</t>
  </si>
  <si>
    <t>指主要作用于消化系统的药物</t>
  </si>
  <si>
    <t>1526</t>
  </si>
  <si>
    <t>1070301030000000000</t>
  </si>
  <si>
    <t>解热镇痛药</t>
  </si>
  <si>
    <t>指为一类具有解热、镇痛药理作用，同时还有显著抗炎、抗风湿作用的药物</t>
  </si>
  <si>
    <t>1527</t>
  </si>
  <si>
    <t>1070301040000000000</t>
  </si>
  <si>
    <t>维生素类</t>
  </si>
  <si>
    <t>指未混合的维生素及其衍生物</t>
  </si>
  <si>
    <t>1528</t>
  </si>
  <si>
    <t>1070301050000000000</t>
  </si>
  <si>
    <t>抗寄生虫病药</t>
  </si>
  <si>
    <t>指用于驱除和灭杀体内外寄生虫的药物</t>
  </si>
  <si>
    <t>1529</t>
  </si>
  <si>
    <t>1070301060000000000</t>
  </si>
  <si>
    <t>中枢神经系统用药</t>
  </si>
  <si>
    <t>指主要作用于中枢神经系统的药物</t>
  </si>
  <si>
    <t>1530</t>
  </si>
  <si>
    <t>1070301070000000000</t>
  </si>
  <si>
    <t>计划生育用药</t>
  </si>
  <si>
    <t>主要用于计划生育方面的药物，不包括避孕药物用具（详见107030215）</t>
  </si>
  <si>
    <t>1531</t>
  </si>
  <si>
    <t>1070301080000000000</t>
  </si>
  <si>
    <t>激素类药</t>
  </si>
  <si>
    <t>包括其他甾族化合物及其作激素的衍生物</t>
  </si>
  <si>
    <t>1532</t>
  </si>
  <si>
    <t>1070301090000000000</t>
  </si>
  <si>
    <t>抗肿瘤药</t>
  </si>
  <si>
    <t>主要作用于肿瘤类疾病的药物</t>
  </si>
  <si>
    <t>1533</t>
  </si>
  <si>
    <t>1070301100000000000</t>
  </si>
  <si>
    <t>心血管系统用药</t>
  </si>
  <si>
    <t>指主要作用于心血管系统的药物</t>
  </si>
  <si>
    <t>1534</t>
  </si>
  <si>
    <t>1070301110000000000</t>
  </si>
  <si>
    <t>呼吸系统用药</t>
  </si>
  <si>
    <t>指主要作用于呼吸系统的药物</t>
  </si>
  <si>
    <t>1535</t>
  </si>
  <si>
    <t>1070301120000000000</t>
  </si>
  <si>
    <t>泌尿系统用药</t>
  </si>
  <si>
    <t>指主要作用于泌尿系统的药物</t>
  </si>
  <si>
    <t>1536</t>
  </si>
  <si>
    <t>1070301130000000000</t>
  </si>
  <si>
    <t>血液系统用药</t>
  </si>
  <si>
    <t>指主要作用于血液系统的药物</t>
  </si>
  <si>
    <t>1537</t>
  </si>
  <si>
    <t>1070301140000000000</t>
  </si>
  <si>
    <t>诊断用原药</t>
  </si>
  <si>
    <t>指用于诊断的药物</t>
  </si>
  <si>
    <t>1538</t>
  </si>
  <si>
    <t>1070301150000000000</t>
  </si>
  <si>
    <t>调解水、电解质、酸碱平衡药</t>
  </si>
  <si>
    <t>指用于平衡人体酸碱、电解质的药物</t>
  </si>
  <si>
    <t>1539</t>
  </si>
  <si>
    <t>1070301160000000000</t>
  </si>
  <si>
    <t>麻醉用药</t>
  </si>
  <si>
    <t>指用于麻醉的药物</t>
  </si>
  <si>
    <t>1540</t>
  </si>
  <si>
    <t>1070301170000000000</t>
  </si>
  <si>
    <t>抗组织胺类药及解毒药</t>
  </si>
  <si>
    <t>指作用机制为抗组织胺的抗炎药。</t>
  </si>
  <si>
    <t>1541</t>
  </si>
  <si>
    <t>1070301180000000000</t>
  </si>
  <si>
    <t>生化药（酶及辅酶）</t>
  </si>
  <si>
    <t>指从生物体分离、纯化所得，可用于预防、治疗和诊断疾病的生化物质</t>
  </si>
  <si>
    <t>1542</t>
  </si>
  <si>
    <t>1070301190000000000</t>
  </si>
  <si>
    <t>消毒防腐及创伤外科用药</t>
  </si>
  <si>
    <t>消毒防腐药是指能迅速杀灭病原微生物的药物。创伤外科用药是指对治疗外伤所导致的对人体的伤害的药物。</t>
  </si>
  <si>
    <t>1543</t>
  </si>
  <si>
    <t>1070301200000000000</t>
  </si>
  <si>
    <t>制剂用辅料及附加剂</t>
  </si>
  <si>
    <t>指专用于人或兽药的化学制品</t>
  </si>
  <si>
    <t>1544</t>
  </si>
  <si>
    <t>化学药品制剂</t>
  </si>
  <si>
    <t>1070302010000000000</t>
  </si>
  <si>
    <t>冻干粉针剂</t>
  </si>
  <si>
    <t>指无菌环境下将药物冷冻制成的供临用前用适宜的无菌溶液配制成澄清溶液或均匀混悬液的无菌粉末或无菌块状物。可用适宜的注射用溶剂配制后注射，也可用静脉输液配制后静脉滴注。</t>
  </si>
  <si>
    <t>1545</t>
  </si>
  <si>
    <t>1070302020000000000</t>
  </si>
  <si>
    <t>粉针剂</t>
  </si>
  <si>
    <t>指药物制成的供临用前用适宜的无菌溶液配制成澄清溶液或均匀混悬液的无菌粉末或无菌块状物。可用适宜的注射用溶剂配制后注射，也可用静脉输液配制后静脉滴注。包括含有青霉素及其衍生物粉针剂、含有链霉素及其衍生物粉针剂、头孢类粉针剂、含有相关抗菌素粉针剂、含有皮质甾类激素及其衍生物粉针剂、其他混合或非混合产品构成粉针剂。</t>
  </si>
  <si>
    <t>1546</t>
  </si>
  <si>
    <t>1070302030000000000</t>
  </si>
  <si>
    <t>注射液</t>
  </si>
  <si>
    <t>指溶液型或乳状液型注射液。可用于肌内注射、静脉注射或静脉滴注等。包括含有相关抗菌素注射液、含有维生素原和维生素注射液、含有皮质甾类激素及其衍生物注射液、含有奎宁或其盐注射液、含有生物碱及其衍生物注射液、含有胰岛素注射液、避孕药注射液、其他混合或非混合产品构成注射液。</t>
  </si>
  <si>
    <t>1547</t>
  </si>
  <si>
    <t>1070302040000000000</t>
  </si>
  <si>
    <t>输液</t>
  </si>
  <si>
    <t>指药物与适宜的溶剂或分散介质制成的供注入体内的溶液、乳状液或混悬液及供临用前配制或稀释成溶液或混悬液的粉末或浓溶液的无菌制剂。包括含有抗菌素输液、其他混合或非混合输液</t>
  </si>
  <si>
    <t>1548</t>
  </si>
  <si>
    <t>1070302050000000000</t>
  </si>
  <si>
    <t>片剂</t>
  </si>
  <si>
    <t>指药物与适宜的辅料混匀压制而成的圆片状或异形片状的固体制剂。包括含有青霉素及其衍生物片剂、含有先锋霉素片剂、含有抗菌素片剂、含有奎宁或其盐的片剂、含有磺胺类片剂、含有联苯双酯片剂、含有维生素及其衍生物片剂、含有皮质甾类激素及其衍生物片剂、含有生物碱及其衍生物片剂、避孕药片剂、其他混合产品构成片剂</t>
  </si>
  <si>
    <t>1549</t>
  </si>
  <si>
    <t>1070302060000000000</t>
  </si>
  <si>
    <t>胶囊剂</t>
  </si>
  <si>
    <t>指药物或加有辅料充填于空心胶囊或密封于软质囊材中的固体制剂。包括含有青霉素及其衍生物胶囊、含有先锋霉素胶囊、含有相关抗菌素胶囊、含有维生素及其衍生物胶囊、其他混合或非混合产品构成胶囊。</t>
  </si>
  <si>
    <t>1550</t>
  </si>
  <si>
    <t>1070302070000000000</t>
  </si>
  <si>
    <t>颗粒剂</t>
  </si>
  <si>
    <t>指提取物与适宜的辅料或饮片细粉制成具有一定粒度的颗粒状制剂，分为可溶颗粒、混悬颗粒和泡腾颗粒。包括含有青霉素及其衍生物颗粒剂、含有先锋霉素颗粒剂、含有相关抗菌素颗粒剂、其他混合或非混合产品构成颗粒剂。</t>
  </si>
  <si>
    <t>1551</t>
  </si>
  <si>
    <t>1070302080000000000</t>
  </si>
  <si>
    <t>缓释控释片</t>
  </si>
  <si>
    <t>指在规定的释放介质中缓慢地非恒速释放药物的片剂。控释片系指在规定的释放介质中缓慢地恒速释放药物的片剂。包括含有抗菌素缓释控释片、含有奎宁或其盐的缓释控释片、含有磺胺类缓释控释片、含有联苯双酯缓释控释片、含有维生素及其衍生物缓释控释片、含有皮质甾类激素及其衍生物缓释控释片、含有生物碱及其衍生物缓释控释片、其他混合或非混合产品构成缓释控释片</t>
  </si>
  <si>
    <t>1552</t>
  </si>
  <si>
    <t>1070302090000000000</t>
  </si>
  <si>
    <t>滴剂</t>
  </si>
  <si>
    <t>指一滴一滴服用或外用的液体药剂,如浓缩维生素A、D滴剂、滴鼻剂、滴眼剂等。</t>
  </si>
  <si>
    <t>1553</t>
  </si>
  <si>
    <t>1070302100000000000</t>
  </si>
  <si>
    <t>膏霜剂</t>
  </si>
  <si>
    <t>指药物与油脂性或水溶性基质混合制成的均匀的半固体外用制剂；或者药物溶解或分散于乳状液型基质中形成的均匀的半固体外用制剂。</t>
  </si>
  <si>
    <t>1554</t>
  </si>
  <si>
    <t>1070302110000000000</t>
  </si>
  <si>
    <t>栓剂</t>
  </si>
  <si>
    <t>指药物与适宜基质制成供腔道给药的固体制剂。</t>
  </si>
  <si>
    <t>1555</t>
  </si>
  <si>
    <t>1070302120000000000</t>
  </si>
  <si>
    <t>气雾剂</t>
  </si>
  <si>
    <t>指药物以特殊装置给药，经呼吸道深部、腔道、黏膜或皮肤等发挥全身或局部作用的制剂。</t>
  </si>
  <si>
    <t>1556</t>
  </si>
  <si>
    <t>1070302130000000000</t>
  </si>
  <si>
    <t>口服液体制剂</t>
  </si>
  <si>
    <t>指药物溶解于适宜溶剂中制成供口服的澄清液体制剂；或难溶性固体药物，分散在液体介质中，制成供口服的混悬液体制剂；或两种互不相溶的液体制成口服的稳定的水包油型乳液制剂。</t>
  </si>
  <si>
    <t>1557</t>
  </si>
  <si>
    <t>1070302140000000000</t>
  </si>
  <si>
    <t>外用液体制剂</t>
  </si>
  <si>
    <t>指药物与适宜的溶剂或分散介质制成的，通过体表给药以产生局部或全身性作用的溶液、混悬液或乳状液及供临用前稀释的高浓度液体制剂，一般有涂剂、洗剂、搽剂、涂膜剂、冲洗剂等，不包括滴剂（详见107030209）。</t>
  </si>
  <si>
    <t>1558</t>
  </si>
  <si>
    <t>1070302150000000000</t>
  </si>
  <si>
    <t>避孕药物用具</t>
  </si>
  <si>
    <t>避孕药物是能阻断生殖过程中任何一个环节的药物。避孕用具是以非药物形式去阻止受孕的用具，如避孕环、避孕套等。</t>
  </si>
  <si>
    <t>1559</t>
  </si>
  <si>
    <t>1070302160000000000</t>
  </si>
  <si>
    <t>抗艾滋病病毒药品</t>
  </si>
  <si>
    <t>1560</t>
  </si>
  <si>
    <t>中药饮片</t>
  </si>
  <si>
    <t>1070303010000000000</t>
  </si>
  <si>
    <t>植物类饮片</t>
  </si>
  <si>
    <t>指利用各种药用植物的根？茎？皮？叶？花？果实等加工制成的片？丝？块？段等中药饮片。包括根及根茎类饮片、块、根、茎类饮片、藤、茎类饮片、木、心材类饮片、树皮类饮片、叶片类饮片、花、蕊类饮片、果实、种子类饮片、草类饮片、藻、菌、地衣类饮片、植物加工类饮片、其他植物类饮片。</t>
  </si>
  <si>
    <t>1561</t>
  </si>
  <si>
    <t>1070303020000000000</t>
  </si>
  <si>
    <t>动物类饮片</t>
  </si>
  <si>
    <t>指利用各种药用动物的组织、血液、骨骼、内脏、皮等药材经净制、切制、炮炙等处理后的中药饮片。包括动物全体类饮片、去内脏动物类饮片、动物皮、角类饮片、动物鳞片、贝壳类饮片、动物骨骼、脏器类饮片、动物产物、加工类饮片、其他动物产物、加工类饮片。</t>
  </si>
  <si>
    <t>1562</t>
  </si>
  <si>
    <t>1070303030000000000</t>
  </si>
  <si>
    <t>矿物类饮片</t>
  </si>
  <si>
    <t>指药用矿物质经净制、切制、炮炙等处理后的中药饮片，不包括滑石粉（详见1020510）。</t>
  </si>
  <si>
    <t>1563</t>
  </si>
  <si>
    <t>1070303990000000000</t>
  </si>
  <si>
    <t>其他中药饮片</t>
  </si>
  <si>
    <t>1564</t>
  </si>
  <si>
    <t>中成药</t>
  </si>
  <si>
    <t>1070304010000000000</t>
  </si>
  <si>
    <t>中成药丸剂</t>
  </si>
  <si>
    <t>指饮片细粉或提取物加适宜的黏合剂或其他辅料制成的球形或类球形制剂，分为蜜丸、水蜜丸、水丸、糊丸、蜡丸和浓缩丸等类型。</t>
  </si>
  <si>
    <t>1565</t>
  </si>
  <si>
    <t>1070304020000000000</t>
  </si>
  <si>
    <t>中成药冲剂</t>
  </si>
  <si>
    <t>指药材提取物加适量赋形剂或部分药材细粉制成干燥颗粒状或块状的内服药剂，用时加开水冲服。</t>
  </si>
  <si>
    <t>1566</t>
  </si>
  <si>
    <t>1070304030000000000</t>
  </si>
  <si>
    <t>中成药糖浆</t>
  </si>
  <si>
    <t>指含有提取物的浓蔗糖水溶液。</t>
  </si>
  <si>
    <t>1567</t>
  </si>
  <si>
    <t>1070304040000000000</t>
  </si>
  <si>
    <t>中成药片剂</t>
  </si>
  <si>
    <t>指提取物、提取物加饮片细粉或饮片细粉与适宜辅料混匀压制或用其他适宜方法制成的圆片状或异形片状的制剂，有浸膏片、半浸膏片和全粉片等。</t>
  </si>
  <si>
    <t>1568</t>
  </si>
  <si>
    <t>1070304050000000000</t>
  </si>
  <si>
    <t>中成药注射剂</t>
  </si>
  <si>
    <t>指饮片经提取、纯化后制成的供注入体内的溶液、乳状液及临用前配制成溶液的粉末或浓溶液的无菌制剂。</t>
  </si>
  <si>
    <t>1569</t>
  </si>
  <si>
    <t>1070304060000000000</t>
  </si>
  <si>
    <t>膏药</t>
  </si>
  <si>
    <t>指饮片、食用植物油与红丹（铅丹）或官粉（铅粉）炼制成膏料，摊涂于裱背材料上制成的供皮肤贴敷的外用制剂。前者称为黑膏药，后者称为白膏药。包括蜜膏。</t>
  </si>
  <si>
    <t>1570</t>
  </si>
  <si>
    <t>1070304070000000000</t>
  </si>
  <si>
    <t>中成药口服液</t>
  </si>
  <si>
    <t>指饮片用水或其他溶剂，采用适宜方法提取制成的口服液体制剂。</t>
  </si>
  <si>
    <t>1571</t>
  </si>
  <si>
    <t>1070304080000000000</t>
  </si>
  <si>
    <t>中成药胶囊</t>
  </si>
  <si>
    <t>指将提取物、饮片用适宜方法加工后，加入适宜辅料填充于空心胶囊或密封于软质囊材中的制剂，可分为硬胶囊、软胶囊（胶丸）和肠溶胶囊等，主要供口服用。</t>
  </si>
  <si>
    <t>1572</t>
  </si>
  <si>
    <t>1070304090000000000</t>
  </si>
  <si>
    <t>中成药散剂</t>
  </si>
  <si>
    <t>指饮片或提取物经粉碎、均匀混合制成的粉末状制剂，分为内服散剂和外用散剂。</t>
  </si>
  <si>
    <t>1573</t>
  </si>
  <si>
    <t>1070304100000000000</t>
  </si>
  <si>
    <t>中成药栓剂</t>
  </si>
  <si>
    <t>指提取物或饮片细粉与适宜基质制成供腔道给药的固体制剂。</t>
  </si>
  <si>
    <t>1574</t>
  </si>
  <si>
    <t>1070304110000000000</t>
  </si>
  <si>
    <t>药酒</t>
  </si>
  <si>
    <t>指饮片用蒸馏酒提取制成的澄清液体制剂。</t>
  </si>
  <si>
    <t>1575</t>
  </si>
  <si>
    <t>1070304120000000000</t>
  </si>
  <si>
    <t>清凉油</t>
  </si>
  <si>
    <t>指含挥发性成分的饮片用水蒸气蒸馏法制成的芳香水剂。或指饮片用乙醇、油或其他适宜溶剂制成的供无破损患处揉擦用的液体制剂。</t>
  </si>
  <si>
    <t>1576</t>
  </si>
  <si>
    <t>1070304990000000000</t>
  </si>
  <si>
    <t>其他中成药</t>
  </si>
  <si>
    <t>1577</t>
  </si>
  <si>
    <t>兽用药品</t>
  </si>
  <si>
    <t>1070305010000000000</t>
  </si>
  <si>
    <t>兽用化学药品</t>
  </si>
  <si>
    <t>指直接用于动物疾病防治、诊断等方面的化学药品制剂。通常是通过合成或者半合成的方法制得的原料药及其制剂；天然物质中提取或者通过发酵提取的新的有效单体及其制剂；用拆分或者合成等方法制得的已知药物中的光学异构体及其制剂。包括兽用抗菌素药品、含有奎宁及其盐的兽用药品、含有磺胺兽用药品、其他兽用化学药品。</t>
  </si>
  <si>
    <t>1578</t>
  </si>
  <si>
    <t>1070305020000000000</t>
  </si>
  <si>
    <t>兽用中草药</t>
  </si>
  <si>
    <t>指直接用于动物疾病防治、诊断等方面的兽用中药材、饮片和中成药。</t>
  </si>
  <si>
    <t>1579</t>
  </si>
  <si>
    <t>1070305030000000000</t>
  </si>
  <si>
    <t>兽用疫苗</t>
  </si>
  <si>
    <t>指为了预防、控制传染病的发生、流行，用于动物预防接种的疫苗类预防性生物制品。</t>
  </si>
  <si>
    <t>1580</t>
  </si>
  <si>
    <t>生物化学药品</t>
  </si>
  <si>
    <t>1070306010000000000</t>
  </si>
  <si>
    <t>酶类生化制剂</t>
  </si>
  <si>
    <t>指通过生物化学技术从生物体内提取、分离、纯化与确认的用于消化、抗炎净创、血凝和解凝、解毒、诊断的酶类制剂。包括片剂、水针、粉针、胶囊、输液。包括胰蛋白酶制剂、糜蛋白酶制剂、菠萝蛋白酶制剂、链激酶制剂、重组链激酶制剂、双链酶制剂、尿激酶制剂、溶菌酶制剂、辅酶Q10制剂、辅酶Ⅰ制剂、复合辅酶制剂、门冬酰胺酶制剂、胰酶制剂、多酶制剂、胃蛋白酶制剂、含糖胃蛋白酶制剂、淀粉酶制剂、其他酶类生化制剂</t>
  </si>
  <si>
    <t>1581</t>
  </si>
  <si>
    <t>1070306020000000000</t>
  </si>
  <si>
    <t>氨基酸及蛋白质类药</t>
  </si>
  <si>
    <t>指用于预防、治疗和诊断的氨基酸和蛋白质类物质生物药物。包括乙酰半胱氨酸制剂、羧甲司坦制剂、盐酸美司坦制剂、胱氨酸制剂、盐酸赖氨酸制剂、谷氨酸制剂、门冬氨酸制剂、门冬酰胺制剂、复合氨基酸制剂、复方氨基酸制剂、复方赖氨酸制剂、注射用氨基酸类药及输液、其他氨基酸及蛋白质药制剂。</t>
  </si>
  <si>
    <t>1582</t>
  </si>
  <si>
    <t>1070306030000000000</t>
  </si>
  <si>
    <t>脂肪类药制剂</t>
  </si>
  <si>
    <t>包括注射用脂肪类药、脂肪类药胶囊、脂肪类药片剂。包括注射用脂肪类药、脂肪类药胶囊、脂肪类药片剂、其他脂肪类药制剂。</t>
  </si>
  <si>
    <t>1583</t>
  </si>
  <si>
    <t>1070306040000000000</t>
  </si>
  <si>
    <t>核酸类药制剂</t>
  </si>
  <si>
    <t>包括三磷腺苷钠制剂、环磷腺苷制剂、肌苷制剂、核糖核酸制剂、其他核酸类药制剂。</t>
  </si>
  <si>
    <t>1584</t>
  </si>
  <si>
    <t>1070306990000000000</t>
  </si>
  <si>
    <t>其他生物化学药品</t>
  </si>
  <si>
    <t>1585</t>
  </si>
  <si>
    <t>生物化学制品</t>
  </si>
  <si>
    <t>1070307010000000000</t>
  </si>
  <si>
    <t>菌苗</t>
  </si>
  <si>
    <t>指用细菌体制成的生物制品称菌苗。</t>
  </si>
  <si>
    <t>1586</t>
  </si>
  <si>
    <t>1070307020000000000</t>
  </si>
  <si>
    <t>菌苗制剂</t>
  </si>
  <si>
    <t>指对某一特定传染病产生或增加人工免疫力的制剂。</t>
  </si>
  <si>
    <t>1587</t>
  </si>
  <si>
    <t>1070307030000000000</t>
  </si>
  <si>
    <t>人用疫苗</t>
  </si>
  <si>
    <t>指用细菌、病毒等病原微生物制成的生物制品。包括脑炎疫苗、脑膜炎疫苗、麻疹、风疹及腮腺炎疫苗、狂犬病疫苗、脊髓灰质炎疫苗、肝炎疫苗、流感疫苗、肾综合症疫苗、破伤风、白喉及百日咳疫苗、黄热减毒活疫苗、其他人用疫苗。</t>
  </si>
  <si>
    <t>1588</t>
  </si>
  <si>
    <t>1070307040000000000</t>
  </si>
  <si>
    <t>类毒素</t>
  </si>
  <si>
    <t>指用细菌产生的外毒素，加入甲醛后使变为无毒性但仍有免疫性的制剂，称为“类毒素”，如破伤风类毒素、白喉类毒素等。</t>
  </si>
  <si>
    <t>1589</t>
  </si>
  <si>
    <t>1070307050000000000</t>
  </si>
  <si>
    <t>抗毒素类</t>
  </si>
  <si>
    <t>指动物血清制品。是细菌毒素（通常指外毒素)的对应抗体。包括白喉抗毒素、破伤风抗毒素、多价气性坏疽抗毒素、肉毒抗毒素制剂、其他抗毒素。</t>
  </si>
  <si>
    <t>1590</t>
  </si>
  <si>
    <t>1070307060000000000</t>
  </si>
  <si>
    <t>抗血清类</t>
  </si>
  <si>
    <t>指免疫血清亦称抗血清。含有抗体的血清制剂。是含有多克隆抗体的血清。包括抗蛇毒血清、抗狂犬病血清、抗炭疽血清、抗赤痢血清、精制抗腺病毒血清、抗淋巴细胞血清、其他抗血清。</t>
  </si>
  <si>
    <t>1591</t>
  </si>
  <si>
    <t>1070307070100000000</t>
  </si>
  <si>
    <t>临床用血</t>
  </si>
  <si>
    <t>指可以临床使用的人体血液。</t>
  </si>
  <si>
    <t>1592</t>
  </si>
  <si>
    <t>1070307079900000000</t>
  </si>
  <si>
    <t>其他血液制品</t>
  </si>
  <si>
    <t>1593</t>
  </si>
  <si>
    <t>1070307080000000000</t>
  </si>
  <si>
    <t>细胞因子</t>
  </si>
  <si>
    <t>指机体的免疫细胞和非免疫细胞能合成和分泌小分子的多肽类因子，它们调节多种细胞生理功能，这些因子统称为细胞因子（cytokines）。细胞因子包括淋巴细胞产生的淋巴因子和单核巨噬细胞产生的单核因子等。包括干扰素制剂、胸腺肽制剂、转移因子制剂、促肝细胞生长素制剂、白介素制剂、其他细胞因子制剂。</t>
  </si>
  <si>
    <t>1594</t>
  </si>
  <si>
    <t>1070307090000000000</t>
  </si>
  <si>
    <t>诊断用生物制品</t>
  </si>
  <si>
    <t>指用于诊断的生物制品。包括诊断用菌素、菌液、菌体、诊断血球、诊断用抗原、诊断用血凝素、诊断用血清、试验用毒素、诊断用生物试剂盒。</t>
  </si>
  <si>
    <t>1595</t>
  </si>
  <si>
    <t>1070307100000000000</t>
  </si>
  <si>
    <t>生物制剂</t>
  </si>
  <si>
    <t>包括生物菌及菌片、生物试剂盒、微生物培养基以及其他生物制剂。包括生物菌及菌片、生物试剂盒、微生物培养基、其他生物制剂。</t>
  </si>
  <si>
    <t>1596</t>
  </si>
  <si>
    <t>1070308010000000000</t>
  </si>
  <si>
    <t>卫生材料及敷料</t>
  </si>
  <si>
    <t>指用于物品主料之外的辅属材料，经药物浸涂胶粘敷料、脱脂棉花及类似医用软填料等。包括经药物浸涂胶粘敷料、纱布、脱脂棉花及类似医用软填料、医用敷料、医用缝合材料及外科用无菌材料、无菌外科肠线及类似缝合材料、无菌昆布及无菌昆布塞条、外科及牙科用无菌材料。</t>
  </si>
  <si>
    <t>1597</t>
  </si>
  <si>
    <t>1070308020000000000</t>
  </si>
  <si>
    <t>牙科粘固剂、牙科填料</t>
  </si>
  <si>
    <t>包括牙科填料、牙科粘固剂、骨骼粘固剂、其他牙科填料。不包括经特殊煅烧或精细研磨的牙科用熟石膏及以熟石膏为基本成分的牙科用制品（详见107030803）。</t>
  </si>
  <si>
    <t>1598</t>
  </si>
  <si>
    <t>1070308030000000000</t>
  </si>
  <si>
    <t>牙科用造型膏及类似制品</t>
  </si>
  <si>
    <t>指制作各种口腔组织阳模的材料。主要有石膏、人造石、低熔合金、模型蜡等。</t>
  </si>
  <si>
    <t>1599</t>
  </si>
  <si>
    <t>1070308040000000000</t>
  </si>
  <si>
    <t>病人医用试剂</t>
  </si>
  <si>
    <t>包括血型试剂、影象检查用化学药制剂、器官功能检查剂。</t>
  </si>
  <si>
    <t>1600</t>
  </si>
  <si>
    <t>1070308050000000000</t>
  </si>
  <si>
    <t>非病人用诊断检验、实验用试剂</t>
  </si>
  <si>
    <t>指用于医疗、兽医、科学及工业上诊断或实验用试剂及配制试剂，检定参照物；包括用诊断或实验用试剂浸渍或涂布的纸、塑料或其他材料（作衬背或载体用）。包括有衬背的诊断或实验用试剂、无衬背的诊断或实验用试剂、空心胶囊。</t>
  </si>
  <si>
    <t>1601</t>
  </si>
  <si>
    <t>化学纤维</t>
  </si>
  <si>
    <t>1070401010000000000</t>
  </si>
  <si>
    <t>化纤棉绒浆粕</t>
  </si>
  <si>
    <t>指以棉短绒为原料，经化学和机械加工制成的一种溶液或片状固体，是生产人造纤维的基本原料</t>
  </si>
  <si>
    <t>1602</t>
  </si>
  <si>
    <t>1070401020000000000</t>
  </si>
  <si>
    <t>化纤木浆粕</t>
  </si>
  <si>
    <t>指以乔木类树木经过物理化学加工提取的植物纤维浆粕。</t>
  </si>
  <si>
    <t>1603</t>
  </si>
  <si>
    <t>1070401030000000000</t>
  </si>
  <si>
    <t>化纤用再生聚酯专用料</t>
  </si>
  <si>
    <t>指以废弃天然纤维、化学纤维及其制品为主要原料生产的再生聚酯产品。</t>
  </si>
  <si>
    <t>1604</t>
  </si>
  <si>
    <t>1070401990000000000</t>
  </si>
  <si>
    <t>其他化学纤维用浆粕</t>
  </si>
  <si>
    <t>指由甘蔗、芦苇、芒草等天然纤维素制成的浆粕。</t>
  </si>
  <si>
    <t>1605</t>
  </si>
  <si>
    <t>1070402010000000000</t>
  </si>
  <si>
    <t>人造纤维短纤维</t>
  </si>
  <si>
    <t>指未梳或未经其他纺前加工的人造纤维短纤。包括粘胶短纤维、醋酸纤维短纤、其他人造纤维短纤维。</t>
  </si>
  <si>
    <t>1606</t>
  </si>
  <si>
    <t>1070402020000000000</t>
  </si>
  <si>
    <t>人造纤维长丝</t>
  </si>
  <si>
    <t>指用纤维素做原料制得的长丝的统称。主要品种有粘胶人造丝、醋酸人造丝和铜氨人造丝。包括粘胶纤维长丝、铜氨纤维长丝、醋酸纤维长丝、人造纤维长丝单丝、其他人造纤维长丝。</t>
  </si>
  <si>
    <t>1607</t>
  </si>
  <si>
    <t>1070403010000000000</t>
  </si>
  <si>
    <t>锦纶纤维</t>
  </si>
  <si>
    <t>指聚酰胺纤维一种，又称耐纶或尼龙6。包括锦纶短纤维、锦纶长丝、综丝。</t>
  </si>
  <si>
    <t>1608</t>
  </si>
  <si>
    <t>1070403020000000000</t>
  </si>
  <si>
    <t>涤纶纤维</t>
  </si>
  <si>
    <t>指聚酯纤维，俗称涤纶。包括涤纶短纤维、涤纶长丝。</t>
  </si>
  <si>
    <t>1609</t>
  </si>
  <si>
    <t>1070403030000000000</t>
  </si>
  <si>
    <t>腈纶纤维</t>
  </si>
  <si>
    <t>也称聚丙烯腈纤维。包括腈纶短纤维、腈纶长纤丝束。</t>
  </si>
  <si>
    <t>1610</t>
  </si>
  <si>
    <t>1070403040000000000</t>
  </si>
  <si>
    <t>维纶纤维</t>
  </si>
  <si>
    <t>也称聚乙烯醇纤维。包括维纶纤维短纤维、维纶纤维长丝。</t>
  </si>
  <si>
    <t>1611</t>
  </si>
  <si>
    <t>1070403050000000000</t>
  </si>
  <si>
    <t>丙纶纤维</t>
  </si>
  <si>
    <t>也称聚丙烯纤维。包括丙纶短纤维、丙纶纤维长丝。</t>
  </si>
  <si>
    <t>1612</t>
  </si>
  <si>
    <t>1070403060000000000</t>
  </si>
  <si>
    <t>氯纶纤维</t>
  </si>
  <si>
    <t>也称聚氯乙稀纤维。包括氯纶短纤维、氯纶长丝。</t>
  </si>
  <si>
    <t>1613</t>
  </si>
  <si>
    <t>1070403070000000000</t>
  </si>
  <si>
    <t>氨纶纤维</t>
  </si>
  <si>
    <t>也称聚氨基甲酸酯纤维。包括氨纶纤维短纤维、氨纶纤维长丝。</t>
  </si>
  <si>
    <t>1614</t>
  </si>
  <si>
    <t>1070403080000000000</t>
  </si>
  <si>
    <t>腈氯纶纤维</t>
  </si>
  <si>
    <t>指氯乙烯与丙稀腈共聚纤维。包括腈氯纶短纤维、腈氯纶长纤丝束。</t>
  </si>
  <si>
    <t>1615</t>
  </si>
  <si>
    <t>1070403090000000000</t>
  </si>
  <si>
    <t>PBT纤维</t>
  </si>
  <si>
    <t>也称聚对苯二甲酸丁二酯纤维。包括PBT短纤维、PBT长丝、其他合成纤维。</t>
  </si>
  <si>
    <t>1616</t>
  </si>
  <si>
    <t>1070403990000000000</t>
  </si>
  <si>
    <t>其他合成纤维</t>
  </si>
  <si>
    <t>1617</t>
  </si>
  <si>
    <t>1070404010000000000</t>
  </si>
  <si>
    <t>人造纤维长丝纱</t>
  </si>
  <si>
    <t>包括人造纤维长丝变形纱和其他人造纤维长丝纱</t>
  </si>
  <si>
    <t>1618</t>
  </si>
  <si>
    <t>1070404020000000000</t>
  </si>
  <si>
    <t>锦纶加工丝</t>
  </si>
  <si>
    <t>包括锦纶弹力丝、锦纶纤维长丝变形纱线（异型纤维）、其他锦纶加工丝</t>
  </si>
  <si>
    <t>1619</t>
  </si>
  <si>
    <t>1070404030000000000</t>
  </si>
  <si>
    <t>涤纶加工丝</t>
  </si>
  <si>
    <t>包括涤纶变形纱线、其他涤纶加工丝</t>
  </si>
  <si>
    <t>1620</t>
  </si>
  <si>
    <t>1070404040000000000</t>
  </si>
  <si>
    <t>维纶纤维加工丝</t>
  </si>
  <si>
    <t>包括维纶牵切纱、维纶纤维长丝变形纱线、其他维纶纤维加工丝</t>
  </si>
  <si>
    <t>1621</t>
  </si>
  <si>
    <t>1070404050000000000</t>
  </si>
  <si>
    <t>丙纶纤维加工丝</t>
  </si>
  <si>
    <t>包括丙纶弹力丝、丙纶长丝变形纱线、其他丙纶纤维加工丝</t>
  </si>
  <si>
    <t>1622</t>
  </si>
  <si>
    <t>1070404990000000000</t>
  </si>
  <si>
    <t>其他化学纤维加工丝</t>
  </si>
  <si>
    <t>1623</t>
  </si>
  <si>
    <t>橡胶制品</t>
  </si>
  <si>
    <t>1070501010000000000</t>
  </si>
  <si>
    <t>橡胶轮胎外胎</t>
  </si>
  <si>
    <t>指橡胶制充气轮胎的环状外壳体。包括各类乘用车、摩托车轮胎外胎，不包括力车胎（详见107050105）。</t>
  </si>
  <si>
    <t>1624</t>
  </si>
  <si>
    <t>1070501020000000000</t>
  </si>
  <si>
    <t>子午线轮胎外胎</t>
  </si>
  <si>
    <t>指胎体帘线层的排列与胎周方向垂直正交，与径向成零度，像地球子午线的排布；包括乘用车子午线轮胎外胎、载货汽车子午线轮胎外胎、客车子午线轮胎外胎、工程机械用子午线轮胎外胎、农、林机械用子午线轮胎外胎、航空器子午线轮胎外胎、其他子午线轮胎外胎。</t>
  </si>
  <si>
    <t>1625</t>
  </si>
  <si>
    <t>1070501030000000000</t>
  </si>
  <si>
    <t>橡胶内胎</t>
  </si>
  <si>
    <t>包括机动车橡胶内胎、工程机械用橡胶内胎、航空器用橡胶内胎、摩托车用橡胶内胎、其他橡胶内胎。不包括力车内胎（详见107050105）。</t>
  </si>
  <si>
    <t>1626</t>
  </si>
  <si>
    <t>1070501040000000000</t>
  </si>
  <si>
    <t>橡胶实心或半实心轮胎</t>
  </si>
  <si>
    <t>指与充气轮胎（空心轮胎）对应的一种轮胎，其胎体是实心的，不用帘线作骨架，不必充气，不需内胎或气密层。包括航空器用实心或半实心轮胎、机动车用实心或半实心轮胎、其他橡胶实心或半实心轮胎。</t>
  </si>
  <si>
    <t>1627</t>
  </si>
  <si>
    <t>1070501050000000000</t>
  </si>
  <si>
    <t>力车胎</t>
  </si>
  <si>
    <t>包括力车橡胶胎外胎、力车橡胶胎内胎。</t>
  </si>
  <si>
    <t>1628</t>
  </si>
  <si>
    <t>1070501060000000000</t>
  </si>
  <si>
    <t>翻新橡胶轮胎</t>
  </si>
  <si>
    <t>指经翻新后能继续使用的轮胎。</t>
  </si>
  <si>
    <t>1629</t>
  </si>
  <si>
    <t>1070502000000000000</t>
  </si>
  <si>
    <t>橡胶带、管</t>
  </si>
  <si>
    <t>指硫化橡胶带、管。包括橡胶传动带、橡胶输送带、纯胶管、金属合制橡胶管、纺织材料合制橡胶管。</t>
  </si>
  <si>
    <t>1630</t>
  </si>
  <si>
    <t>1070503000000000000</t>
  </si>
  <si>
    <t>橡胶板、杆、型材</t>
  </si>
  <si>
    <t>指硫化橡胶板、杆、型材及线、绳。</t>
  </si>
  <si>
    <t>1631</t>
  </si>
  <si>
    <t>1070504010000000000</t>
  </si>
  <si>
    <t>涂胶纺织物</t>
  </si>
  <si>
    <t>指涂覆胶浆的纺织物。包括橡胶胶布（织物）、其他涂胶纺织物。</t>
  </si>
  <si>
    <t>1632</t>
  </si>
  <si>
    <t>1070504020000000000</t>
  </si>
  <si>
    <t>橡胶粘带</t>
  </si>
  <si>
    <t>指以纺织物作底布的橡胶粘带，包括电气绝缘带，以及橡胶粘胶布。</t>
  </si>
  <si>
    <t>1633</t>
  </si>
  <si>
    <t>1070504990000000000</t>
  </si>
  <si>
    <t>其他涂胶纺织物、带</t>
  </si>
  <si>
    <t>指其他用橡胶处理纺织物或带。</t>
  </si>
  <si>
    <t>1634</t>
  </si>
  <si>
    <t>1070505010000000000</t>
  </si>
  <si>
    <t>未硫化复合橡胶</t>
  </si>
  <si>
    <t>指没有经过硫化的生胶或混炼橡胶。</t>
  </si>
  <si>
    <t>1635</t>
  </si>
  <si>
    <t>1070505020000000000</t>
  </si>
  <si>
    <t>未硫化橡胶制品</t>
  </si>
  <si>
    <t>指以没有经过硫化的生胶或混炼橡胶为原料制成的产品。</t>
  </si>
  <si>
    <t>1636</t>
  </si>
  <si>
    <t>1070506010000000000</t>
  </si>
  <si>
    <t>橡胶密封件</t>
  </si>
  <si>
    <t>指利用橡胶硫化的方法或硫化成形后切削加工的方法制造的各种结构的密封。</t>
  </si>
  <si>
    <t>1637</t>
  </si>
  <si>
    <t>1070506020000000000</t>
  </si>
  <si>
    <t>橡胶零附件</t>
  </si>
  <si>
    <t>包括模制成型塑胶零件、模制成型橡胶零件。</t>
  </si>
  <si>
    <t>1638</t>
  </si>
  <si>
    <t>1070507010000000000</t>
  </si>
  <si>
    <t>初级形状再生橡胶</t>
  </si>
  <si>
    <t>指以各种化学或机械方法使旧橡胶制品（特别是轮胎）或硫化橡胶废碎料软化（“脱硫”）并除去不需要的物质制得，简称再生胶；旧橡胶制品包括废旧的和磨损的橡胶制品以及生产中的废料等。</t>
  </si>
  <si>
    <t>1639</t>
  </si>
  <si>
    <t>1070507020000000000</t>
  </si>
  <si>
    <t>再生胶粉</t>
  </si>
  <si>
    <t>指以化学或机械方法使废旧的和磨损的橡胶制品以及生产中的废料经过再生而得到的橡胶粉,简称再生胶粉。</t>
  </si>
  <si>
    <t>1640</t>
  </si>
  <si>
    <t>1070508010000000000</t>
  </si>
  <si>
    <t>橡胶手套</t>
  </si>
  <si>
    <t>指用橡胶薄片或薄膜制成的一类手套；按用途分耐酸碱手套、电绝缘手套、防辐射手套、医用手套等；医用手套分光面和毛面两种；按橡胶原料或制造工艺分胶乳手套和模压手套等。</t>
  </si>
  <si>
    <t>1641</t>
  </si>
  <si>
    <t>1070508020000000000</t>
  </si>
  <si>
    <t>橡胶制衣着用品及附件</t>
  </si>
  <si>
    <t>指非缝制，包括医疗用橡胶制衣着用品、橡胶制潜水衣、橡胶制雨衣、其他橡胶制衣着用品及附件。</t>
  </si>
  <si>
    <t>1642</t>
  </si>
  <si>
    <t>1070508030000000000</t>
  </si>
  <si>
    <t>日用橡胶制品</t>
  </si>
  <si>
    <t>指用橡胶原料生产的日常生活用的橡胶制品；包括橡胶布、橡胶热水袋、橡胶冰囊、橡胶奶头等。</t>
  </si>
  <si>
    <t>1643</t>
  </si>
  <si>
    <t>1070508040000000000</t>
  </si>
  <si>
    <t>医疗、卫生用橡胶制品</t>
  </si>
  <si>
    <t>指硫化橡胶制品；医用橡胶制品包括医用胶塞和胶垫、医用胶管及其他医用橡胶制品三大类；其中，医用胶管根据用途不同，可分为体外用和体内用两类。</t>
  </si>
  <si>
    <t>1644</t>
  </si>
  <si>
    <t>1070509010000000000</t>
  </si>
  <si>
    <t>充气橡胶制品</t>
  </si>
  <si>
    <t>指硫化橡胶制可充气制品。</t>
  </si>
  <si>
    <t>1645</t>
  </si>
  <si>
    <t>1070509020000000000</t>
  </si>
  <si>
    <t>橡胶减震制品</t>
  </si>
  <si>
    <t>指用于消除或减少机械震动的传递，达到减震、消音及减少冲击所致危害的橡胶制品统称橡胶减震制品。亦称橡胶防震、隔震制品。</t>
  </si>
  <si>
    <t>1646</t>
  </si>
  <si>
    <t>1070510010000000000</t>
  </si>
  <si>
    <t>硬质橡胶</t>
  </si>
  <si>
    <t>包括泡沫硬质橡胶、其他硬质橡胶。</t>
  </si>
  <si>
    <t>1647</t>
  </si>
  <si>
    <t>1070510020000000000</t>
  </si>
  <si>
    <t>硬质橡胶制品</t>
  </si>
  <si>
    <t>指由硬质橡胶制作的产品称为硬质橡胶产品。</t>
  </si>
  <si>
    <t>1648</t>
  </si>
  <si>
    <t>1070599000000000000</t>
  </si>
  <si>
    <t>其他橡胶制品</t>
  </si>
  <si>
    <t>1649</t>
  </si>
  <si>
    <t>塑料制品、半成品及辅料</t>
  </si>
  <si>
    <t>塑料制品</t>
  </si>
  <si>
    <t>1070601010100000000</t>
  </si>
  <si>
    <t>农用薄膜</t>
  </si>
  <si>
    <t>指应用于农业生产的塑料薄膜。</t>
  </si>
  <si>
    <t>1650</t>
  </si>
  <si>
    <t>1070601010200000000</t>
  </si>
  <si>
    <t>其他塑料薄膜</t>
  </si>
  <si>
    <t>1651</t>
  </si>
  <si>
    <t>1070601020000000000</t>
  </si>
  <si>
    <t>塑料板、片</t>
  </si>
  <si>
    <t>指非泡沫塑料硬板、软板、装饰板、瓦楞板、中空格子板、薄片等。包括聚乙烯塑料板、片、聚丙烯塑料板、片、聚苯乙烯塑料板、片、聚氯乙烯塑料板、片、聚丙烯酸酯类塑料板、片、聚酯塑料板、片、纤维素衍生物塑料板、片、ABS板、片、聚乙烯醇缩丁醛塑料板、片、聚酰胺塑料板、片、氨基塑料板、片、酚醛塑料板、片、聚四氟乙烯塑料板、片、其他塑料板、片。不包括泡沫塑料板、片（详见107060107），也不包括降解塑料板、片（详见107060113）。</t>
  </si>
  <si>
    <t>1652</t>
  </si>
  <si>
    <t>1070601030000000000</t>
  </si>
  <si>
    <t>塑料管</t>
  </si>
  <si>
    <t>指非泡沫塑料管，包括塑料硬管、软管、管材。不包括泡沫塑料管（详见107060107），也不包括降解塑料管（详见107060113）。</t>
  </si>
  <si>
    <t>1653</t>
  </si>
  <si>
    <t>1070601040000000000</t>
  </si>
  <si>
    <t>塑料管附件</t>
  </si>
  <si>
    <t>包括塑料管的塑料附件，管子接头、肘管、法兰等。</t>
  </si>
  <si>
    <t>1654</t>
  </si>
  <si>
    <t>1070601050000000000</t>
  </si>
  <si>
    <t>塑料条、棒、型材</t>
  </si>
  <si>
    <t>指以塑料为主要原料，经连续挤出成型的非泡沫中空型材及异型材，主要用于室内天花板、墙裙、塑料门、塑料窗、扶手及其框架和门槛等类似制成，包括聚乙烯塑料条、棒、型材、聚氯乙烯塑料条、棒、型材。不包括泡沫塑料（详见107060107）、非泡沫塑料板、片、管、丝、绳（详见107060102）和塑料管（详见107060103），也不包括降解塑料条、棒、型材（详见107060113）。</t>
  </si>
  <si>
    <t>1655</t>
  </si>
  <si>
    <t>1070601060000000000</t>
  </si>
  <si>
    <t>塑料丝、绳、袋及编织品</t>
  </si>
  <si>
    <t>包括塑料单丝、塑料绳、塑料扁条、塑料编织袋、塑料袋、塑料编织布等，不包括泡沫塑料（详见107060107）或非泡沫塑料板、片、管、丝、绳（详见107060102）和塑料管（详见107060103），也不包括降解塑料丝、绳及编织品（详见107060113）。</t>
  </si>
  <si>
    <t>1656</t>
  </si>
  <si>
    <t>1070601070000000000</t>
  </si>
  <si>
    <t>泡沫塑料</t>
  </si>
  <si>
    <t>包括聚乙烯泡沫塑料、聚苯乙烯泡沫塑料、聚氯乙烯泡沫塑料、聚氨酯泡沫塑料、其他泡沫塑料。不包括降解泡沫塑料（详见107060113）。</t>
  </si>
  <si>
    <t>1657</t>
  </si>
  <si>
    <t>1070601080000000000</t>
  </si>
  <si>
    <t>塑料人造革、合成革</t>
  </si>
  <si>
    <t>包括箱包、服装、鞋、蓬盖、灯箱、汽车、体育器材、家具等各种用途的塑料人造革、合成革，不包括塑料铺地制品（详见107060102）。</t>
  </si>
  <si>
    <t>1658</t>
  </si>
  <si>
    <t>1070601090000000000</t>
  </si>
  <si>
    <t>塑料包装箱及容器</t>
  </si>
  <si>
    <t>指供运输或包装货物用的塑料制品及塑料包装物附件，包括塑料包装箱及类似品、塑料盒及类似品、塑料容器，容积≤300L、塑料容器，容积＞300L、塑料包装物附件、其他塑料包装箱及容器。不包括家用塑料餐具和厨房用具（详见107060112），也不包括降解塑料包装箱及容器（详见107060113）。</t>
  </si>
  <si>
    <t>1659</t>
  </si>
  <si>
    <t>1070601100000000000</t>
  </si>
  <si>
    <t>塑料零件</t>
  </si>
  <si>
    <t>包括塑料绝缘零件、塑料密封制品、塑料紧固件、光学塑料零件、灯具及照明装置用塑料零件、家具用塑料零件、汽车或类似品塑料配件、其他塑料零件。不包括降解塑料零件（详见107060113）。</t>
  </si>
  <si>
    <t>1660</t>
  </si>
  <si>
    <t>1070601110000000000</t>
  </si>
  <si>
    <t>建筑用塑料制品</t>
  </si>
  <si>
    <t>包括塑料铺地制品、塑料类防水卷材、塑料糊墙品、塑料门、窗、塑料窗板、帘、建筑用固定安装塑料制品、塑料制建筑结构架及类似品、其他建筑用塑料制品。不包括建筑用降解塑料制品（详见107060113）。</t>
  </si>
  <si>
    <t>1661</t>
  </si>
  <si>
    <t>1070601120000000000</t>
  </si>
  <si>
    <t>日用塑料制品</t>
  </si>
  <si>
    <t>包括普通塑料餐、厨用具、密胺塑料餐、厨用具、微波炉用塑料餐、厨用具、塑料卫生设备、洁具及其配件、塑料服装及其附件、安全帽及塑料橡胶帽、医疗卫生用塑料制品、日用塑料装饰品、其他日用塑料制品。不包括降解塑料日用制品（详见107060113）。</t>
  </si>
  <si>
    <t>1662</t>
  </si>
  <si>
    <t>1070601130000000000</t>
  </si>
  <si>
    <t>降解塑料制品</t>
  </si>
  <si>
    <t>指用在规定环境条件下，经过一段时间和包含一个或更多步骤，导致材料化学结构的显著变化而损失某些性能（如完整性、分子质量、结构或机械强度）和/或发生破碎的塑料制成的制品。包括生物分解塑料制品、光降解塑料制品、热氧降解塑料制品、生物基塑料制品、其他降解塑料制品。</t>
  </si>
  <si>
    <t>1663</t>
  </si>
  <si>
    <t>1070601140000000000</t>
  </si>
  <si>
    <t>再生塑料制品</t>
  </si>
  <si>
    <t>指以废塑料生产的建筑材料（如钢材、棚栏和墙面板）、园艺用料（如花盆、花园桩）、农产品容器（如装盛鸡蛋、水果和蔬菜等的容器）、办公用品（如文件夹和封皮）、非食品容器及可重复利用的包装箱、娱乐设施和室外家具等塑料制品。</t>
  </si>
  <si>
    <t>1664</t>
  </si>
  <si>
    <t>1070601150000000000</t>
  </si>
  <si>
    <t>塑木（木塑）制品</t>
  </si>
  <si>
    <t>指利用聚乙烯、聚丙烯和聚氯乙烯等，代替通常的树脂胶粘剂，与超过35%-70%以上的木粉、稻壳、秸秆等废植物纤维混合成新的木质材料，再经挤压、模压、注塑成型等塑料制品。</t>
  </si>
  <si>
    <t>1665</t>
  </si>
  <si>
    <t>1070601990000000000</t>
  </si>
  <si>
    <t>其他塑料制品</t>
  </si>
  <si>
    <t>指其他非降解塑料制品，包括塑料胶粘板、带及类似材料、其他未列明塑料制品。不包括降解塑料制品（详见107060113）。</t>
  </si>
  <si>
    <t>1666</t>
  </si>
  <si>
    <t>1070602010000000000</t>
  </si>
  <si>
    <t>塑料粒料</t>
  </si>
  <si>
    <t>指以半成品形态进行储存、运输和加工成型的塑料原料。塑料颗粒的俗称。</t>
  </si>
  <si>
    <t>1667</t>
  </si>
  <si>
    <t>1070602990000000000</t>
  </si>
  <si>
    <t>其他塑料半成品、辅料</t>
  </si>
  <si>
    <t>1668</t>
  </si>
  <si>
    <t>1070603010000000000</t>
  </si>
  <si>
    <t>建筑用纤维增强塑料制品</t>
  </si>
  <si>
    <t>指用于建筑工程的含有增强材料的塑料制品。</t>
  </si>
  <si>
    <t>1669</t>
  </si>
  <si>
    <t>1070603020000000000</t>
  </si>
  <si>
    <t>石化、酿造用纤维增强塑料制品</t>
  </si>
  <si>
    <t>指用于石化、酿造的含有增强材料的塑料制品。</t>
  </si>
  <si>
    <t>1670</t>
  </si>
  <si>
    <t>1070603030000000000</t>
  </si>
  <si>
    <t>机械设备用纤维增强塑料制品</t>
  </si>
  <si>
    <t>指用于机械设备的含有增强材料的塑料制品。</t>
  </si>
  <si>
    <t>1671</t>
  </si>
  <si>
    <t>1070603040000000000</t>
  </si>
  <si>
    <t>装饰用纤维增强塑料制品</t>
  </si>
  <si>
    <t>包括建筑装饰、室内装饰、园林景观、纤维增强塑料整体卫浴间、浴缸、浴盆、托水盘、壁板等。</t>
  </si>
  <si>
    <t>1672</t>
  </si>
  <si>
    <t>1070603050000000000</t>
  </si>
  <si>
    <t>交通运输用纤维增强塑料制品</t>
  </si>
  <si>
    <t>包括汽车、火车、城铁、地铁、特种车辆、交通设施等。</t>
  </si>
  <si>
    <t>1673</t>
  </si>
  <si>
    <t>1070603060000000000</t>
  </si>
  <si>
    <t>能源、电力用纤维增强塑料制品</t>
  </si>
  <si>
    <t>指用于能源、电力的含有增强材料的塑料制品。</t>
  </si>
  <si>
    <t>1674</t>
  </si>
  <si>
    <t>1070603070000000000</t>
  </si>
  <si>
    <t>航空航天用纤维增强塑料制品</t>
  </si>
  <si>
    <t>指用于航空航天的含有增强材料的塑料制品。</t>
  </si>
  <si>
    <t>1675</t>
  </si>
  <si>
    <t>1070603990000000000</t>
  </si>
  <si>
    <t>其他纤维增强塑料制品</t>
  </si>
  <si>
    <t>1676</t>
  </si>
  <si>
    <t>金属及非金属制品</t>
  </si>
  <si>
    <t>非金属矿物制品</t>
  </si>
  <si>
    <t>1080101010000000000</t>
  </si>
  <si>
    <t>硅酸盐水泥熟料</t>
  </si>
  <si>
    <t>即波特兰水泥熟料（简称水泥熟料），是一种由主要含CaO、SiO2、Al2O3、Fe2O3的原料按适当配比磨成细粉烧至部分熔融，所得以硅酸钙为主要矿物成分的水硬性胶凝物质；包括企业自产自用的水泥熟料和外销水泥熟料。</t>
  </si>
  <si>
    <t>1677</t>
  </si>
  <si>
    <t>1080101020000000000</t>
  </si>
  <si>
    <t>水泥</t>
  </si>
  <si>
    <t>凡细磨成粉末状，加入适量水后，可成为塑性胶体，既能在空气中硬化，又能在水中硬化，并能把砂、石等材料牢固的胶结在一起的水硬性胶凝材料统称为水泥；水泥的种类很多，常用的是通用硅酸盐水泥</t>
  </si>
  <si>
    <t>1678</t>
  </si>
  <si>
    <t>1080102010000000000</t>
  </si>
  <si>
    <t>石灰</t>
  </si>
  <si>
    <t>不同化学组成和物理形态的生石灰、消石灰、水硬性石灰与气硬性石灰的统称</t>
  </si>
  <si>
    <t>1679</t>
  </si>
  <si>
    <t>1080102020000000000</t>
  </si>
  <si>
    <t>熟石膏</t>
  </si>
  <si>
    <t>石膏经低温煅烧所得到的以β半水硫酸钙为主要成分、不预加任何外加剂的粉状胶凝材料</t>
  </si>
  <si>
    <t>1680</t>
  </si>
  <si>
    <t>1080103010000000000</t>
  </si>
  <si>
    <t>商品混凝土</t>
  </si>
  <si>
    <t>混凝土是指用水泥作胶凝材料，砂、石作集料，与水（加或不加外加剂和掺合料）按一定比例配合，经搅拌、成型、养护而得的水泥混凝土，也称普通混凝土；它广泛应用于土木工程</t>
  </si>
  <si>
    <t>1681</t>
  </si>
  <si>
    <t>1080103020000000000</t>
  </si>
  <si>
    <t>水泥混凝土排水管</t>
  </si>
  <si>
    <t>又称下水管，用于建设排除污水、雨水的下水道，排水管在生产时夹入钢筋的称钢筋混凝土排水管，不夹钢筋的称无筋混凝土排水管</t>
  </si>
  <si>
    <t>1682</t>
  </si>
  <si>
    <t>1080103030000000000</t>
  </si>
  <si>
    <t>水泥混凝土压力管</t>
  </si>
  <si>
    <t>以钢筋混凝土为原料生产的，按照质量标准要求，可以承受一定的内压力，用于输送自来水、各种气体、石油的管道，按其生产时所用方法或原料不同，可分为预应力钢筋混凝土管和自应力钢筋混凝土管、普通钢筋混凝土管；包括水泥输水管、水泥输气管和水泥输油管</t>
  </si>
  <si>
    <t>1683</t>
  </si>
  <si>
    <t>1080103040000000000</t>
  </si>
  <si>
    <t>钢筋混凝土井管、烟道管，相关钢筋混凝土管</t>
  </si>
  <si>
    <t>1684</t>
  </si>
  <si>
    <t>1080103050000000000</t>
  </si>
  <si>
    <t>水泥混凝土电杆</t>
  </si>
  <si>
    <t>按生产时配入钢筋的方法可分为预应力钢筋混凝土电杆和普通钢筋混凝土电杆以及簿壁轻型钢筋混凝土电杆，按其横截面形状可分为环形、矩型、工字型、双肢型等</t>
  </si>
  <si>
    <t>1685</t>
  </si>
  <si>
    <t>1080103060000000000</t>
  </si>
  <si>
    <t>预应力混凝土桩</t>
  </si>
  <si>
    <t>为加强建筑物基础而打入地下的一种混凝土制品；包括预应力混凝土管桩、方桩等</t>
  </si>
  <si>
    <t>1686</t>
  </si>
  <si>
    <t>1080103070000000000</t>
  </si>
  <si>
    <t>混凝土轨枕及铁道用混凝土制品</t>
  </si>
  <si>
    <t>包括预应力混凝土水泥轨枕、气垫火车导轨体段、预应力混凝土桥枕、岔枕、混凝土轨道板</t>
  </si>
  <si>
    <t>1687</t>
  </si>
  <si>
    <t>1080103080000000000</t>
  </si>
  <si>
    <t>水泥混凝土预制构件</t>
  </si>
  <si>
    <t>指建筑房屋用的各种梁、柱、板、楼梯等钢筋混凝土预制构件</t>
  </si>
  <si>
    <t>1688</t>
  </si>
  <si>
    <t>1080103090000000000</t>
  </si>
  <si>
    <t>水泥混凝土制砖、瓦及类似品</t>
  </si>
  <si>
    <t>包括水泥混凝土砖、水泥混凝土瓦、混凝土路缘石、混凝土界石、墓碑及类似品</t>
  </si>
  <si>
    <t>1689</t>
  </si>
  <si>
    <t>1080103100000000000</t>
  </si>
  <si>
    <t>纤维增强水泥制品</t>
  </si>
  <si>
    <t>包括石棉水泥制品、纤维增强硅酸钙板、GRC水泥制品等</t>
  </si>
  <si>
    <t>1690</t>
  </si>
  <si>
    <t>1080103990000000000</t>
  </si>
  <si>
    <t>其他水泥混凝土制品</t>
  </si>
  <si>
    <t>1691</t>
  </si>
  <si>
    <t>1080104010100000000</t>
  </si>
  <si>
    <t>纸面石膏板</t>
  </si>
  <si>
    <t>1692</t>
  </si>
  <si>
    <t>1080104010200000000</t>
  </si>
  <si>
    <t>石膏空心条板</t>
  </si>
  <si>
    <t>以建筑石膏为基材，掺以无机轻集料、无机纤维增强材料而制成的空心条板</t>
  </si>
  <si>
    <t>1693</t>
  </si>
  <si>
    <t>1080104010300000000</t>
  </si>
  <si>
    <t>其他石膏板</t>
  </si>
  <si>
    <t>1694</t>
  </si>
  <si>
    <t>1080104020000000000</t>
  </si>
  <si>
    <t>石膏龙骨，相关石膏制品</t>
  </si>
  <si>
    <t>包括石膏龙骨、相关石膏制品，不包括石膏砌块（详见10801050305）</t>
  </si>
  <si>
    <t>1695</t>
  </si>
  <si>
    <t>1080104030100000000</t>
  </si>
  <si>
    <t>蒸压加气混凝土板</t>
  </si>
  <si>
    <t>以硅质材料和钙质材料为主要原料，以铝粉为发泡剂，配以经防腐处理的钢筋网片，经加水搅拌、浇注成型、预养切割、蒸压养护制成的多孔板材，不包括加气混凝土砌块（详见108010503）。</t>
  </si>
  <si>
    <t>1696</t>
  </si>
  <si>
    <t>1080104030200000000</t>
  </si>
  <si>
    <t>建筑用轻质隔墙条板</t>
  </si>
  <si>
    <t>由无害化磷石膏、轻质钢渣、粉煤灰等多种工业废渣组成，经变频蒸汽加压养护而成。内层装有合理布局的隔热、吸声的无机发泡型材或其他保温材料。</t>
  </si>
  <si>
    <t>1697</t>
  </si>
  <si>
    <t>1080104030300000000</t>
  </si>
  <si>
    <t>外墙外保温系统用钢丝网架模塑聚苯乙烯板</t>
  </si>
  <si>
    <t>以工厂自动化设备生产的双面或单面钢丝网架为骨架，EPS为绝热材料，用于现浇混凝土建筑、砌体建筑及既有建筑外墙外保温系统的钢丝网架EPS板</t>
  </si>
  <si>
    <t>1698</t>
  </si>
  <si>
    <t>1080104030400000000</t>
  </si>
  <si>
    <t>纤维增强硅酸钙板</t>
  </si>
  <si>
    <t>1699</t>
  </si>
  <si>
    <t>1080104030500000000</t>
  </si>
  <si>
    <t>玻璃纤维增强水泥轻质多孔隔墙条板</t>
  </si>
  <si>
    <t>以耐碱玻璃纤维与硫铝酸盐水泥为主要原料的预制非承重轻质多孔内隔墙条扳</t>
  </si>
  <si>
    <t>1700</t>
  </si>
  <si>
    <t>1080104030600000000</t>
  </si>
  <si>
    <t>建筑用金属面绝热夹芯板</t>
  </si>
  <si>
    <t>以双金属面和粘接于两金属面之间的绝热夹芯材组成的自支撑的复合板材</t>
  </si>
  <si>
    <t>1701</t>
  </si>
  <si>
    <t>1080104030700000000</t>
  </si>
  <si>
    <t>中空钢网内模隔墙</t>
  </si>
  <si>
    <t>1702</t>
  </si>
  <si>
    <t>1080104030800000000</t>
  </si>
  <si>
    <t>建筑隔墙用保温条板</t>
  </si>
  <si>
    <t>1703</t>
  </si>
  <si>
    <t>1080104030900000000</t>
  </si>
  <si>
    <t>预制复合墙板（体）</t>
  </si>
  <si>
    <t>1704</t>
  </si>
  <si>
    <t>1080104031000000000</t>
  </si>
  <si>
    <t>聚氨酯硬泡复合板</t>
  </si>
  <si>
    <t>1705</t>
  </si>
  <si>
    <t>1080104031100000000</t>
  </si>
  <si>
    <t>专用聚氨酯建筑墙体</t>
  </si>
  <si>
    <t>1706</t>
  </si>
  <si>
    <t>1080104031200000000</t>
  </si>
  <si>
    <t>纤维增强低碱度水泥建筑平板</t>
  </si>
  <si>
    <t>1707</t>
  </si>
  <si>
    <t>1080104031300000000</t>
  </si>
  <si>
    <t>维纶纤维增强水泥平板</t>
  </si>
  <si>
    <t>1708</t>
  </si>
  <si>
    <t>1080104031400000000</t>
  </si>
  <si>
    <t>纤维水泥平板</t>
  </si>
  <si>
    <t>1709</t>
  </si>
  <si>
    <t>1080104039900000000</t>
  </si>
  <si>
    <t>其他轻质隔墙条板</t>
  </si>
  <si>
    <t>1710</t>
  </si>
  <si>
    <t>1080104040000000000</t>
  </si>
  <si>
    <t>轻骨料，相关轻质建筑材料</t>
  </si>
  <si>
    <t>包括天然轻骨料、人工轻骨料、轻钢龙骨</t>
  </si>
  <si>
    <t>1711</t>
  </si>
  <si>
    <t>1080105010100000000</t>
  </si>
  <si>
    <t>烧结普通砖</t>
  </si>
  <si>
    <t>指实心粘土砖</t>
  </si>
  <si>
    <t>1712</t>
  </si>
  <si>
    <t>1080105010200000000</t>
  </si>
  <si>
    <t>非粘土烧结多孔砖</t>
  </si>
  <si>
    <t>利用页岩、煤矸石、粉煤灰、淤泥、硅藻土等非粘土材料为主要原料烧结的多孔砖</t>
  </si>
  <si>
    <t>1713</t>
  </si>
  <si>
    <t>1080105010300000000</t>
  </si>
  <si>
    <t>非粘土烧结空心砖</t>
  </si>
  <si>
    <t>利用页岩、煤矸石、粉煤灰、淤泥、硅藻土等非粘土材料为主要原料烧结的空心砖</t>
  </si>
  <si>
    <t>1714</t>
  </si>
  <si>
    <t>1080105010400000000</t>
  </si>
  <si>
    <t>烧结空心砌块</t>
  </si>
  <si>
    <t>指以粘土、页岩、煤矸石为主要原料，经焙烧而成的主要用于非承重部位的空心砌块。</t>
  </si>
  <si>
    <t>1715</t>
  </si>
  <si>
    <t>1080105010500000000</t>
  </si>
  <si>
    <t>烧结多孔砌块</t>
  </si>
  <si>
    <t>指以粘土、页岩、煤矸石为主要原料，经焙烧而成的主要用于承重部位的多孔砌块</t>
  </si>
  <si>
    <t>1716</t>
  </si>
  <si>
    <t>1080105010600000000</t>
  </si>
  <si>
    <t>承重混凝土多孔砖</t>
  </si>
  <si>
    <t>指以水泥、砂、石为主要原料，经配料、搅拌、成型、养护制成，用于承重结构的多排孔混凝土砖</t>
  </si>
  <si>
    <t>1717</t>
  </si>
  <si>
    <t>1080105010700000000</t>
  </si>
  <si>
    <t>非承重混凝土空心砖</t>
  </si>
  <si>
    <t>指以水泥、集料为主要原材料，可掺入外加剂及其他材料经配料、搅拌、成型、养护制成的空心率不小于25%，用于非承重结构部位的砖</t>
  </si>
  <si>
    <t>1718</t>
  </si>
  <si>
    <t>1080105010800000000</t>
  </si>
  <si>
    <t>蒸压粉煤灰多孔砖</t>
  </si>
  <si>
    <t>指采用粉煤灰、磨细石灰、石膏与泡沫剂拌合成型，经蒸压养护而成的一种轻质多孔墙体材料</t>
  </si>
  <si>
    <t>1719</t>
  </si>
  <si>
    <t>1080105010900000000</t>
  </si>
  <si>
    <t>蒸压泡沫混凝土砖</t>
  </si>
  <si>
    <t>指采用发泡剂通过机械制备泡沫，将优质不易破裂的泡沫强制加入到水泥基胶凝材料、集料、掺合料、外加剂和水拌合的混合料内，形成具有微气泡结构的轻质料浆，经浇注成型后再进行蒸压反应等工序而制作成的微孔硅酸盐制品。</t>
  </si>
  <si>
    <t>1720</t>
  </si>
  <si>
    <t>1080105011000000000</t>
  </si>
  <si>
    <t>烧结多孔砖</t>
  </si>
  <si>
    <t>烧结多孔砖是指以粘土、页岩、煤矸石为主要原料，经焙烧而成的主要用于承重部位的多孔砖。</t>
  </si>
  <si>
    <t>1721</t>
  </si>
  <si>
    <t>1080105011100000000</t>
  </si>
  <si>
    <t>烧结空心砖</t>
  </si>
  <si>
    <t>烧结空心砖是指以粘土、页岩、煤矸石为主要原料，经焙烧而成的主要用于非承重部位的空心砖</t>
  </si>
  <si>
    <t>1722</t>
  </si>
  <si>
    <t>1080105011200000000</t>
  </si>
  <si>
    <t>其他混凝土砖</t>
  </si>
  <si>
    <t>1723</t>
  </si>
  <si>
    <t>1080105019900000000</t>
  </si>
  <si>
    <t>其他砖</t>
  </si>
  <si>
    <t>1724</t>
  </si>
  <si>
    <t>1080105020000000000</t>
  </si>
  <si>
    <t>瓦</t>
  </si>
  <si>
    <t>以粘土、页岩和煤矸石、粉煤灰等工业废弃物为原料，通过焙烧或蒸压方法制成的建筑用瓦</t>
  </si>
  <si>
    <t>1725</t>
  </si>
  <si>
    <t>1080105030100000000</t>
  </si>
  <si>
    <t>普通混凝土小型空心砌块</t>
  </si>
  <si>
    <t>用水泥作胶结材料，砂、石作集料，经搅拌、振动（或压制）成型、养护等工艺过程制成</t>
  </si>
  <si>
    <t>1726</t>
  </si>
  <si>
    <t>1080105030200000000</t>
  </si>
  <si>
    <t>轻集料混凝土小型空心砌块</t>
  </si>
  <si>
    <t>以水泥为胶结料，以各种轻集料为填充材料，经计量、搅拌、成型、养护等工艺制成的新型墙体材料</t>
  </si>
  <si>
    <t>1727</t>
  </si>
  <si>
    <t>1080105030300000000</t>
  </si>
  <si>
    <t>烧结保温砖（砌块）</t>
  </si>
  <si>
    <t>1728</t>
  </si>
  <si>
    <t>1080105030400000000</t>
  </si>
  <si>
    <t>蒸压加气混凝土砌块</t>
  </si>
  <si>
    <t>指以水泥、石灰、砂或粉煤灰等胶凝材料为主要原材料，经计量、搅拌、发泡、切割、蒸压养护等工艺制成的一种多孔新型墙体材料。</t>
  </si>
  <si>
    <t>1729</t>
  </si>
  <si>
    <t>1080105030500000000</t>
  </si>
  <si>
    <t>石膏砌块</t>
  </si>
  <si>
    <t>以石膏为主要原料，经加水搅拌、浇注成型和干燥等制成的轻质石膏制品，包括脱硫石膏。</t>
  </si>
  <si>
    <t>1730</t>
  </si>
  <si>
    <t>1080105030600000000</t>
  </si>
  <si>
    <t>粉煤灰混凝土小型空心砌块</t>
  </si>
  <si>
    <t>以粉煤灰、水泥、各种轻重集料、水为主要组分拌合制成的小型空心砌块</t>
  </si>
  <si>
    <t>1731</t>
  </si>
  <si>
    <t>1080105030700000000</t>
  </si>
  <si>
    <t>复合保温砖（砌块）</t>
  </si>
  <si>
    <t>1732</t>
  </si>
  <si>
    <t>1080105030800000000</t>
  </si>
  <si>
    <t>蒸压泡沫混凝土砌块</t>
  </si>
  <si>
    <t>指将化学发泡剂或物理发泡剂发泡后加入到胶凝材料、掺合料、改性剂、卤水等制成的料浆中，经混合搅拌、浇注成型、自然养护所形成的一种含有大量封闭气孔的新型轻质保温材料。</t>
  </si>
  <si>
    <t>1733</t>
  </si>
  <si>
    <t>1080105039900000000</t>
  </si>
  <si>
    <t>其他建筑砌块</t>
  </si>
  <si>
    <t>1734</t>
  </si>
  <si>
    <t>1080106010000000000</t>
  </si>
  <si>
    <t>陶瓷砖</t>
  </si>
  <si>
    <t>包括瓷质砖、炻瓷砖、细炻砖、炻质砖、陶质砖、陶瓷耐酸砖</t>
  </si>
  <si>
    <t>1735</t>
  </si>
  <si>
    <t>1080106020000000000</t>
  </si>
  <si>
    <t>陶瓷马赛克</t>
  </si>
  <si>
    <t>包括无釉陶瓷锦砖、有釉陶瓷锦砖、纳米抗菌陶瓷锦砖、微晶玻璃陶瓷复合砖</t>
  </si>
  <si>
    <t>1736</t>
  </si>
  <si>
    <t>1080106030000000000</t>
  </si>
  <si>
    <t>建筑陶瓷装饰物</t>
  </si>
  <si>
    <t>房屋、墙壁、大门等上用的建筑陶瓷装饰物</t>
  </si>
  <si>
    <t>1737</t>
  </si>
  <si>
    <t>1080106990000000000</t>
  </si>
  <si>
    <t>其他建筑陶瓷制品</t>
  </si>
  <si>
    <t>1738</t>
  </si>
  <si>
    <t>1080107010000000000</t>
  </si>
  <si>
    <t>加工天然石材、石料</t>
  </si>
  <si>
    <t>指除经劈、锯、粗切成块、片、板状（石面为方形或长方形）以外，还须经过进一步加工的石料、石块、石板或石片</t>
  </si>
  <si>
    <t>1739</t>
  </si>
  <si>
    <t>1080107020000000000</t>
  </si>
  <si>
    <t>人造石材、石料</t>
  </si>
  <si>
    <t>以不饱和聚酯树脂为粘结剂，配以天然大理石或方解石、白云石、硅砂、玻璃粉等无机物粉料，以及适量的阻燃剂、颜料等，经配料混合、瓷铸、振动压缩、挤压等方法成型固化制成</t>
  </si>
  <si>
    <t>1740</t>
  </si>
  <si>
    <t>1080107030000000000</t>
  </si>
  <si>
    <t>天然石材制成品</t>
  </si>
  <si>
    <t>包括经加工的石砖、瓦、方块及类似品</t>
  </si>
  <si>
    <t>1741</t>
  </si>
  <si>
    <t>1080107040000000000</t>
  </si>
  <si>
    <t>人造石材制成品</t>
  </si>
  <si>
    <t>1742</t>
  </si>
  <si>
    <t>1080107050000000000</t>
  </si>
  <si>
    <t>水磨石建筑制成品</t>
  </si>
  <si>
    <t>以水泥、石渣和砂为主要原材料，经搅拌、振动或压制成型、养护、研磨等工序制作而成的建筑水磨石板材</t>
  </si>
  <si>
    <t>1743</t>
  </si>
  <si>
    <t>1080107060000000000</t>
  </si>
  <si>
    <t>PVC石英砂地板砖</t>
  </si>
  <si>
    <t>1744</t>
  </si>
  <si>
    <t>1080107990000000000</t>
  </si>
  <si>
    <t>其他石制品</t>
  </si>
  <si>
    <t>1745</t>
  </si>
  <si>
    <t>1080108010000000000</t>
  </si>
  <si>
    <t>沥青和改性沥青防水卷材</t>
  </si>
  <si>
    <t>包括石油沥青防水卷材、改性沥青防水卷材、其他沥青防水卷材</t>
  </si>
  <si>
    <t>1746</t>
  </si>
  <si>
    <t>1080108020000000000</t>
  </si>
  <si>
    <t>自粘防水卷材</t>
  </si>
  <si>
    <t>包括自粘橡胶沥青防水卷材、自粘聚合物改性沥青聚酯胎防水卷材</t>
  </si>
  <si>
    <t>1747</t>
  </si>
  <si>
    <t>1080108030000000000</t>
  </si>
  <si>
    <t>玻纤胎沥青瓦</t>
  </si>
  <si>
    <t>以石油沥青为主要原料，加入矿物填料，采用玻纤毡为胎基、上表面覆以保护材料，用于铺设搭接法施工的坡屋面的沥青瓦</t>
  </si>
  <si>
    <t>1748</t>
  </si>
  <si>
    <t>1080108040000000000</t>
  </si>
  <si>
    <t>高分子防水卷（片）材</t>
  </si>
  <si>
    <t>包括橡胶防水卷（片）材、合成树脂类防水卷（片）材</t>
  </si>
  <si>
    <t>1749</t>
  </si>
  <si>
    <t>1080108990000000000</t>
  </si>
  <si>
    <t>其他建筑防水卷材及制品</t>
  </si>
  <si>
    <t>1750</t>
  </si>
  <si>
    <t>1080109010000000000</t>
  </si>
  <si>
    <t>矿物绝热和吸声材料</t>
  </si>
  <si>
    <t>包括矿物棉、膨胀矿物材料</t>
  </si>
  <si>
    <t>1751</t>
  </si>
  <si>
    <t>1080109020000000000</t>
  </si>
  <si>
    <t>矿物材料制品</t>
  </si>
  <si>
    <t>主要起绝热、吸声作用</t>
  </si>
  <si>
    <t>1752</t>
  </si>
  <si>
    <t>1080110010000000000</t>
  </si>
  <si>
    <t>平板玻璃</t>
  </si>
  <si>
    <t>指板状硅酸盐玻璃，主要用于建筑业、车船业、电子工业、太阳能工业、制镜业、现代农业等部门，是重要的建筑材料和工业技术玻璃的基础材料</t>
  </si>
  <si>
    <t>1753</t>
  </si>
  <si>
    <t>1080110020100000000</t>
  </si>
  <si>
    <t>微晶玻璃</t>
  </si>
  <si>
    <t>由适当组成的玻璃颗粒经烧结和晶化，制成由结晶相和玻璃相组成的质地坚实、致密均匀的复相材料</t>
  </si>
  <si>
    <t>1754</t>
  </si>
  <si>
    <t>1080110020200000000</t>
  </si>
  <si>
    <t>U型玻璃</t>
  </si>
  <si>
    <t>是用先压延后成型的方法连续生产出来的，横截面呈"U"型的玻璃，适用于建筑的内外墙、隔墙、屋面及窗等</t>
  </si>
  <si>
    <t>1755</t>
  </si>
  <si>
    <t>1080110029900000000</t>
  </si>
  <si>
    <t>其他特种玻璃</t>
  </si>
  <si>
    <t>1756</t>
  </si>
  <si>
    <t>1080110030000000000</t>
  </si>
  <si>
    <t>玻璃陶瓷型材</t>
  </si>
  <si>
    <t>指将回收的各种有色或无色透明平板、瓶罐废玻璃与废陶瓷筛选后加工而成的新型装饰材料</t>
  </si>
  <si>
    <t>1757</t>
  </si>
  <si>
    <t>1080110040000000000</t>
  </si>
  <si>
    <t>玻璃熟料</t>
  </si>
  <si>
    <t>对成份差别大的碎玻璃统一加工制成的一种硅质原料</t>
  </si>
  <si>
    <t>1758</t>
  </si>
  <si>
    <t>1080111010000000000</t>
  </si>
  <si>
    <t>光学元件毛坯</t>
  </si>
  <si>
    <t>指光学仪器用未经光学加工的光学元件毛坯</t>
  </si>
  <si>
    <t>1759</t>
  </si>
  <si>
    <t>1080111020000000000</t>
  </si>
  <si>
    <t>眼镜用光学玻璃坯件</t>
  </si>
  <si>
    <t>包括视力矫正眼镜用玻璃、平光变色镜片坯件</t>
  </si>
  <si>
    <t>1760</t>
  </si>
  <si>
    <t>1080111030000000000</t>
  </si>
  <si>
    <t>光学仪器用玻璃</t>
  </si>
  <si>
    <t>使用于光学仪器上的玻璃</t>
  </si>
  <si>
    <t>1761</t>
  </si>
  <si>
    <t>1080111990000000000</t>
  </si>
  <si>
    <t>其他玻璃制光学元件</t>
  </si>
  <si>
    <t>指在制作中虽未经光学加工，但能产生某种所需的光学效果的元件，包括交通路灯、某种浮标灯、聚光灯泡、小手电、手电筒、配电盘灯或仪表板灯等的透镜及类似品</t>
  </si>
  <si>
    <t>1762</t>
  </si>
  <si>
    <t>1080112010000000000</t>
  </si>
  <si>
    <t>玻璃计、量器</t>
  </si>
  <si>
    <t>指除石英玻璃制仪器和器皿（详见108011202）以外的计量用玻璃器具、仪器</t>
  </si>
  <si>
    <t>1763</t>
  </si>
  <si>
    <t>1080112020000000000</t>
  </si>
  <si>
    <t>石英玻璃制仪器和器皿</t>
  </si>
  <si>
    <t>指二氧化硅含量应≥95%的玻璃仪器和器皿，包括熔融石英或其他熔融硅石制实验室、卫生及配药用的玻璃器皿</t>
  </si>
  <si>
    <t>1764</t>
  </si>
  <si>
    <t>1080112030000000000</t>
  </si>
  <si>
    <t>耐热玻璃制仪器和器皿</t>
  </si>
  <si>
    <t>指温度在0℃～300℃时，线膨胀系数不超过5*10-6/K的实验室、卫生及配药用玻璃仪器和器皿，但不包括石英玻璃制仪器和器皿（详见108011202）。</t>
  </si>
  <si>
    <t>1765</t>
  </si>
  <si>
    <t>1080112990000000000</t>
  </si>
  <si>
    <t>其他玻璃仪器及实验、医疗用玻璃器皿</t>
  </si>
  <si>
    <t>包括实验室、医疗及配药用的玻璃制专用真空器皿、干燥器、容量瓶、培养皿、显微镜载片和盖片，玻璃制喷射嘴、漏斗、磨砂接头，玻璃制盛尿器、便盆、便壶，玻璃制吸杯、洗眼杯、吸入器、吸管、试管等仪器和器皿</t>
  </si>
  <si>
    <t>1766</t>
  </si>
  <si>
    <t>1080113000000000000</t>
  </si>
  <si>
    <t>玻璃包装容器</t>
  </si>
  <si>
    <t>包括日用玻璃瓶（玻璃饮料瓶、玻璃食品瓶、玻璃啤酒瓶、玻璃白酒容器）、药用瓶（医药试剂用广口瓶、输液瓶、安瓿瓶、黄圆瓶、无色小药瓶、抗生素瓶、口服液瓶、农药用瓶）、其他玻璃瓶</t>
  </si>
  <si>
    <t>1767</t>
  </si>
  <si>
    <t>1080114010000000000</t>
  </si>
  <si>
    <t>餐饮用玻璃器皿</t>
  </si>
  <si>
    <t>包括餐饮用玻璃杯和餐饮用其他玻璃器皿，不包括非餐饮用的其他玻璃器皿或器具（如盥洗用玻璃器具（详见108011402）、办公室及室内装饰用玻璃器具（详见108011403）等）。</t>
  </si>
  <si>
    <t>1768</t>
  </si>
  <si>
    <t>1080114020000000000</t>
  </si>
  <si>
    <t>盥洗用玻璃器具</t>
  </si>
  <si>
    <t>包括玻璃洗手盆，不包括餐饮用玻璃器皿（详见108011401）。</t>
  </si>
  <si>
    <t>1769</t>
  </si>
  <si>
    <t>1080114030000000000</t>
  </si>
  <si>
    <t>室内及室内装饰用玻璃器具</t>
  </si>
  <si>
    <t>包括玻璃制镇纸、墨水台和墨水池、书档、装大头针的容器、笔架、烟灰缸、玻璃花瓶、装饰性水果盘、小塑像、小精品（动物、花、叶、果等）、玻璃艺术品、水晶玻璃制品、琉璃制品、衣饰配件、水钻等装饰玻璃制品，桌面中心、养鱼缸、香炉等以及玻璃风景画、玻璃纪念品等</t>
  </si>
  <si>
    <t>1770</t>
  </si>
  <si>
    <t>1080114990000000000</t>
  </si>
  <si>
    <t>其他日用玻璃制品</t>
  </si>
  <si>
    <t>不包括钟表（详见1090618）、灯泡（详见1090423）、仪器仪表（详见10906）等产品的玻璃制零配件</t>
  </si>
  <si>
    <t>1771</t>
  </si>
  <si>
    <t>1080115010000000000</t>
  </si>
  <si>
    <t>玻璃保温容器</t>
  </si>
  <si>
    <t>指带壳、带胆的成品保温容器；不包括保温容器用的瓶胆（详见108011502）。</t>
  </si>
  <si>
    <t>1772</t>
  </si>
  <si>
    <t>1080115020000000000</t>
  </si>
  <si>
    <t>玻璃保温瓶胆</t>
  </si>
  <si>
    <t>指玻璃保温容器用的，不带壳的玻璃瓶胆；不包括带壳、带胆的玻璃保温容器成品（详见108011501）。</t>
  </si>
  <si>
    <t>1773</t>
  </si>
  <si>
    <t>1080116000000000000</t>
  </si>
  <si>
    <t>玻璃纤维及其制品</t>
  </si>
  <si>
    <t>包括玻璃纤维纱、短切玻璃纤维、玻璃纤维布、玻璃纤维毡、玻璃纤维土工格栅、玻璃纤维带、玻璃纤维套管等。</t>
  </si>
  <si>
    <t>1774</t>
  </si>
  <si>
    <t>1080117000000000000</t>
  </si>
  <si>
    <t>玻璃制绝缘子</t>
  </si>
  <si>
    <t>包括导引式绝缘子、刚性绝缘子、其他玻璃制绝缘子</t>
  </si>
  <si>
    <t>1775</t>
  </si>
  <si>
    <t>1080118000000000000</t>
  </si>
  <si>
    <t>未封口玻璃外壳</t>
  </si>
  <si>
    <t>指制灯泡、阴极射线管及类似品用的未封口玻璃外壳（包括玻璃泡及管）及其玻璃零件，但未装有配件</t>
  </si>
  <si>
    <t>1776</t>
  </si>
  <si>
    <t>1080119000000000000</t>
  </si>
  <si>
    <t>工业品用其他玻璃部件</t>
  </si>
  <si>
    <t>包括工业用玻璃制品、玻璃制工业品零配件</t>
  </si>
  <si>
    <t>1777</t>
  </si>
  <si>
    <t>1080120010000000000</t>
  </si>
  <si>
    <t>结构陶瓷制品</t>
  </si>
  <si>
    <t>包括实验室用陶瓷制品、陶瓷阀及类似品、陶瓷轴承、陶瓷辊棒、陶瓷制发动机零部件、陶瓷蒸馏器、陶瓷旋管及类似管、陶瓷研磨器和研磨球、陶瓷模头、纺织用陶瓷件耐磨陶瓷件、可控硅瓷环、瓷管、陶瓷刀具、刃具、陶瓷密封件、陶瓷金属化瓷件、其他结构陶瓷制品</t>
  </si>
  <si>
    <t>1778</t>
  </si>
  <si>
    <t>1080120020000000000</t>
  </si>
  <si>
    <t>功能陶瓷制品</t>
  </si>
  <si>
    <t>指具有电、光、磁、声、热、弹性及部分化学功能的陶瓷制品</t>
  </si>
  <si>
    <t>1779</t>
  </si>
  <si>
    <t>1080120030000000000</t>
  </si>
  <si>
    <t>生物陶瓷制品</t>
  </si>
  <si>
    <t>主要指医疗专用的生物陶瓷制品（如生物陶瓷制假牙、关节、骨骼等人工器官）</t>
  </si>
  <si>
    <t>1780</t>
  </si>
  <si>
    <t>1080120040000000000</t>
  </si>
  <si>
    <t>陶瓷管及管子配件</t>
  </si>
  <si>
    <t>包括陶瓷套管、导管、槽管及管子配件</t>
  </si>
  <si>
    <t>1781</t>
  </si>
  <si>
    <t>1080120050000000000</t>
  </si>
  <si>
    <t>瓷绝缘子</t>
  </si>
  <si>
    <t>由电工陶瓷制成的绝缘子</t>
  </si>
  <si>
    <t>1782</t>
  </si>
  <si>
    <t>1080120060000000000</t>
  </si>
  <si>
    <t>耐火陶瓷制品</t>
  </si>
  <si>
    <t>包括耐火陶瓷管、耐火陶瓷坩埚、硅质耐火陶瓷制品、其他耐火陶瓷制品</t>
  </si>
  <si>
    <t>1783</t>
  </si>
  <si>
    <t>1080120990000000000</t>
  </si>
  <si>
    <t>其他技术陶瓷制品</t>
  </si>
  <si>
    <t>1784</t>
  </si>
  <si>
    <t>1080121010000000000</t>
  </si>
  <si>
    <t>日用陶瓷餐具</t>
  </si>
  <si>
    <t>包括日用瓷质餐具、陶质餐具、炻质餐具，如陶瓷茶具或咖啡用具，陶瓷盘、碗、碟、杯、汤匙、家用电热壶等</t>
  </si>
  <si>
    <t>1785</t>
  </si>
  <si>
    <t>1080121020000000000</t>
  </si>
  <si>
    <t>厨房用陶瓷器具</t>
  </si>
  <si>
    <t>包括瓷质厨房用器具、陶质厨房用器具、炻质厨房用器具，如陶瓷烘烤盘、盆、壶、罐、坛等</t>
  </si>
  <si>
    <t>1786</t>
  </si>
  <si>
    <t>1080121030000000000</t>
  </si>
  <si>
    <t>盥洗用陶瓷器具</t>
  </si>
  <si>
    <t>包括瓷质盥洗用器具、陶质盥洗用器具、炻质盥洗用器具，如陶瓷卫生桶、便盆、尿壶、便壶、痰孟、肥皂碟、毛巾架等，以及类似的盥洗用陶瓷器具</t>
  </si>
  <si>
    <t>1787</t>
  </si>
  <si>
    <t>1080121040000000000</t>
  </si>
  <si>
    <t>卫生陶瓷制品</t>
  </si>
  <si>
    <t>又称卫生洁具，由粘土或其他无机物质经混练、成型、高温烧制而成的用做卫生设施的有釉陶瓷制品，包括各种不同型号的大便器、小便器、洗面器、妇女洗涤器、高低水箱、洗涤槽、返水管、浴盆等；包括陶瓷、仿瓷、玻璃陶瓷、玻璃纤维增强塑料制卫生设备</t>
  </si>
  <si>
    <t>1788</t>
  </si>
  <si>
    <t>1080121050000000000</t>
  </si>
  <si>
    <t>园林艺术陶瓷制品</t>
  </si>
  <si>
    <t>包括瓷质或陶质的果皮箱、花盆等，不包括陶瓷制园林桌、椅、凳（详见105020108）。</t>
  </si>
  <si>
    <t>1789</t>
  </si>
  <si>
    <t>1080121990000000000</t>
  </si>
  <si>
    <t>其他日用陶瓷制品</t>
  </si>
  <si>
    <t>1790</t>
  </si>
  <si>
    <t>1080122010000000000</t>
  </si>
  <si>
    <t>耐酸陶瓷容器</t>
  </si>
  <si>
    <t>指耐酸性侵蚀的陶瓷容器。</t>
  </si>
  <si>
    <t>1791</t>
  </si>
  <si>
    <t>1080122020000000000</t>
  </si>
  <si>
    <t>食品用陶瓷容器</t>
  </si>
  <si>
    <t>指用于盛装食品陶瓷瓶、坛、罐；包括果酱、调味品、肉酱、利口酒等用的陶瓷容器</t>
  </si>
  <si>
    <t>1792</t>
  </si>
  <si>
    <t>1080122030000000000</t>
  </si>
  <si>
    <t>药品或化妆品陶瓷容器</t>
  </si>
  <si>
    <t>包括药品、化妆品及墨水等的陶瓷瓶、坛、罐</t>
  </si>
  <si>
    <t>1793</t>
  </si>
  <si>
    <t>1080122990000000000</t>
  </si>
  <si>
    <t>其他运输及盛装货物用陶瓷容器</t>
  </si>
  <si>
    <t>1794</t>
  </si>
  <si>
    <t>1080123000000000000</t>
  </si>
  <si>
    <t>其他陶瓷制品</t>
  </si>
  <si>
    <t>1795</t>
  </si>
  <si>
    <t>1080124010000000000</t>
  </si>
  <si>
    <t>已加工石棉纤维</t>
  </si>
  <si>
    <t>包括已加工石棉纤维，石棉为主的混合物及其制品</t>
  </si>
  <si>
    <t>1796</t>
  </si>
  <si>
    <t>1080124020000000000</t>
  </si>
  <si>
    <t>石棉制品</t>
  </si>
  <si>
    <t>包括石棉纱、线及其纺织制品、石棉隔热保温制品、石棉密封垫板、无石棉密封垫板、石棉密封垫片、垫圈、特种石棉制品、石棉摩擦材料、无石棉摩擦材料和其他石棉制品。</t>
  </si>
  <si>
    <t>1797</t>
  </si>
  <si>
    <t>1080125010000000000</t>
  </si>
  <si>
    <t>已加工云母</t>
  </si>
  <si>
    <t>包括厚片云母、薄片云母、云母粉。</t>
  </si>
  <si>
    <t>1798</t>
  </si>
  <si>
    <t>1080125020000000000</t>
  </si>
  <si>
    <t>云母制品</t>
  </si>
  <si>
    <t>包括云母板、云母片、云母箔、云母带、模制云母制品、云母碎屑制品、云母纸制品和其他云母制品。</t>
  </si>
  <si>
    <t>1799</t>
  </si>
  <si>
    <t>1080126000000000000</t>
  </si>
  <si>
    <t>耐火材料制品</t>
  </si>
  <si>
    <t>包括致密定形耐火制品、隔热耐火制品、不定形耐火制品和其他耐火材料制品，不包括耐火陶瓷制品（详见108012006）。</t>
  </si>
  <si>
    <t>1800</t>
  </si>
  <si>
    <t>1080127010100000000</t>
  </si>
  <si>
    <t>石墨电极</t>
  </si>
  <si>
    <t>以优质石油焦为主要原料，煤沥青作粘结剂，经特定工艺加工而制成，是在电弧炉中以电弧形式释放热能对炉料进行加热溶化的导体，包括普通功率石墨电极、高功率石墨电极、超高功率石墨电极。</t>
  </si>
  <si>
    <t>1801</t>
  </si>
  <si>
    <t>1080127010200000000</t>
  </si>
  <si>
    <t>石墨阳极</t>
  </si>
  <si>
    <t>以石油焦为主要原料，煤沥青作粘结剂，经特定工艺加工而成，主要用于电化学工业中电解设备的导电阳极。</t>
  </si>
  <si>
    <t>1802</t>
  </si>
  <si>
    <t>1080127010300000000</t>
  </si>
  <si>
    <t>其他石墨制品</t>
  </si>
  <si>
    <t>指除石墨电极（详见10801270101）、石墨阳极（详见10801270102）以外的其他石墨制品，包括石墨块、石墨粉、石墨异型件。</t>
  </si>
  <si>
    <t>1803</t>
  </si>
  <si>
    <t>1080127020000000000</t>
  </si>
  <si>
    <t>炭制品</t>
  </si>
  <si>
    <t>以无烟煤、冶金焦为主要原料，煤沥青作粘结剂，经特定工艺加工制作而成，主要用作高炉内衬、铝电解槽和其他电炉的炉衬材料和导电材料，包括炭块、炭电极、炭湖和其他炭制品。</t>
  </si>
  <si>
    <t>1804</t>
  </si>
  <si>
    <t>1080127030000000000</t>
  </si>
  <si>
    <t>炭素新材料</t>
  </si>
  <si>
    <t>包括特种石墨制品、热解石墨制品、炭素纤维类及制品和其他炭素新材料。</t>
  </si>
  <si>
    <t>1805</t>
  </si>
  <si>
    <t>1080127990000000000</t>
  </si>
  <si>
    <t>其他炭素产品</t>
  </si>
  <si>
    <t>包括石墨热交换器、柔性石墨制品、电炭产品。</t>
  </si>
  <si>
    <t>1806</t>
  </si>
  <si>
    <t>1080128010000000000</t>
  </si>
  <si>
    <t>固结磨具</t>
  </si>
  <si>
    <t>包括碾磨或磨浆用石磨、石碾、机用磨石、抛光石、砂轮、磨头、磨盘、磨齿、手用磨石。</t>
  </si>
  <si>
    <t>1807</t>
  </si>
  <si>
    <t>1080128020000000000</t>
  </si>
  <si>
    <t>天然石制磨具</t>
  </si>
  <si>
    <t>包括碾磨或磨浆用石磨、石碾及其零件；刀具、工具等磨刃用的磨石；磨刀石、油石及类似品</t>
  </si>
  <si>
    <t>1808</t>
  </si>
  <si>
    <t>1080128030000000000</t>
  </si>
  <si>
    <t>涂附磨具</t>
  </si>
  <si>
    <t>包括布基、纸基、涂附磨具异型产品和其他涂附磨具。</t>
  </si>
  <si>
    <t>1809</t>
  </si>
  <si>
    <t>1080128040000000000</t>
  </si>
  <si>
    <t>超硬材料制品</t>
  </si>
  <si>
    <t>指用金刚石或立方氮化硼制成的磨削、切削、锯切、钻探、拉丝等各类工具</t>
  </si>
  <si>
    <t>1810</t>
  </si>
  <si>
    <t>1080129010000000000</t>
  </si>
  <si>
    <t>天然研磨料</t>
  </si>
  <si>
    <t>包括刚玉砂、石榴石、浮石、燧石、石英砂等天然矿物粉及玻璃粉</t>
  </si>
  <si>
    <t>1811</t>
  </si>
  <si>
    <t>1080129020000000000</t>
  </si>
  <si>
    <t>普通磨料</t>
  </si>
  <si>
    <t>包括人造刚玉、碳化硅磨料、碳化硼磨料(包括碳化硼碎块、颗粒、微粉)。</t>
  </si>
  <si>
    <t>1812</t>
  </si>
  <si>
    <t>1080129030000000000</t>
  </si>
  <si>
    <t>超硬材料</t>
  </si>
  <si>
    <t>包括人造金刚石、立方氮化硼的单晶、多晶、微粉、纳米粉及其聚晶，化学气相沉积（CVD）金刚石</t>
  </si>
  <si>
    <t>1813</t>
  </si>
  <si>
    <t>1080130010000000000</t>
  </si>
  <si>
    <t>沥青混合物</t>
  </si>
  <si>
    <t>指以天然沥青、石油沥青、矿物焦油等为基本成分的沥青混合物</t>
  </si>
  <si>
    <t>1814</t>
  </si>
  <si>
    <t>1080130020000000000</t>
  </si>
  <si>
    <t>泥炭制品</t>
  </si>
  <si>
    <t>包括泥炭制片、泥炭制气缸壳体、植物培植盆和其他泥炭制品。</t>
  </si>
  <si>
    <t>1815</t>
  </si>
  <si>
    <t>1080199010000000000</t>
  </si>
  <si>
    <t>以废渣生产非金属矿物制品</t>
  </si>
  <si>
    <t>以废渣为原料生产墙板【不包括轻质隔墙条板（详见108010403）】、管材（管桩）【不包括预应力混凝土管桩（详见108010306）】、陶粒、砂浆、道路井盖、道路护栏、防火材料、保温材料、矿（岩）棉</t>
  </si>
  <si>
    <t>1816</t>
  </si>
  <si>
    <t>黑色金属冶炼及压延产品</t>
  </si>
  <si>
    <t>黑色金属冶炼压延品</t>
  </si>
  <si>
    <t>1080201000000000000</t>
  </si>
  <si>
    <t>生铁</t>
  </si>
  <si>
    <t>高炉冶炼的合格生铁，包括炼钢生铁、铸造生铁、含钒生铁</t>
  </si>
  <si>
    <t>1817</t>
  </si>
  <si>
    <t>1080202000000000000</t>
  </si>
  <si>
    <t>还原铁</t>
  </si>
  <si>
    <t>包括直接还原铁、熔融还原铁</t>
  </si>
  <si>
    <t>1818</t>
  </si>
  <si>
    <t>1080203000000000000</t>
  </si>
  <si>
    <t>球墨铸铁</t>
  </si>
  <si>
    <t>包括高炉生铁产球墨铸铁及其他生铁产球墨铸铁</t>
  </si>
  <si>
    <t>1819</t>
  </si>
  <si>
    <t>1080204010000000000</t>
  </si>
  <si>
    <t>铸铁管</t>
  </si>
  <si>
    <t>指用铸铁浇铸成型的管子</t>
  </si>
  <si>
    <t>1820</t>
  </si>
  <si>
    <t>1080204020000000000</t>
  </si>
  <si>
    <t>铸铁直管</t>
  </si>
  <si>
    <t>包括连续式生产铸铁直管、离心式生产铸铁直管、其他方式生产铸铁直管、灰铁铸铁管、球墨铸铁管、其他铸铁管、大口径铸铁直管、中口径铸铁直管、小口径铸铁直管</t>
  </si>
  <si>
    <t>1821</t>
  </si>
  <si>
    <t>1080204030000000000</t>
  </si>
  <si>
    <t>铸铁空心异型管</t>
  </si>
  <si>
    <t>指用铸铁浇铸成异型的空心管</t>
  </si>
  <si>
    <t>1822</t>
  </si>
  <si>
    <t>1080204040000000000</t>
  </si>
  <si>
    <t>铸铁管附件</t>
  </si>
  <si>
    <t>包括无可锻性铸铁管子附件、可锻性铸铁及铸钢管子附件</t>
  </si>
  <si>
    <t>1823</t>
  </si>
  <si>
    <t>1080205000000000000</t>
  </si>
  <si>
    <t>粗钢</t>
  </si>
  <si>
    <t>指完成了冶炼过程、未经塑性加工的钢，其形态为液态或铸态固体，包括非合金钢粗钢、低合金钢粗钢、合金钢粗钢、不锈钢粗钢；方坯（粗钢）、矩形坯（粗钢）、板坯（粗钢）、圆坯（粗钢）、异形坯（粗钢）、管坯（粗钢）；模铸钢锭；铸造用液态钢；镇静钢、沸腾钢、半镇静钢；转炉钢、电弧炉钢、感应电炉钢</t>
  </si>
  <si>
    <t>1824</t>
  </si>
  <si>
    <t>1080206000000000000</t>
  </si>
  <si>
    <t>轧制、锻造钢坯</t>
  </si>
  <si>
    <t>包括非合金钢钢坯、合金钢钢坯、低合金钢钢坯、不锈钢钢坯；轧制坯、锻造坯；方坯（钢坯）、矩形坯（钢坯）、板坯（钢坯）、圆坯（钢坯）、异形坯（钢坯）、管坯（钢坯）</t>
  </si>
  <si>
    <t>1825</t>
  </si>
  <si>
    <t>1080207010000000000</t>
  </si>
  <si>
    <t>铁道用钢材</t>
  </si>
  <si>
    <t>指铁道及电车道铺轨用钢铁材料</t>
  </si>
  <si>
    <t>1826</t>
  </si>
  <si>
    <t>1080207020000000000</t>
  </si>
  <si>
    <t>大型型钢</t>
  </si>
  <si>
    <t>产品的横截面如字母Ｉ、Ｕ、Ｌ、Ｚ、Ｔ等形状，其高度≥80mm（包括氧气瓶料）</t>
  </si>
  <si>
    <t>1827</t>
  </si>
  <si>
    <t>1080207030000000000</t>
  </si>
  <si>
    <t>中小型型钢</t>
  </si>
  <si>
    <t>产品的横截面如字母Ｉ、Ｕ、Ｌ、Ｚ、Ｔ等形状，其高度＜80mm</t>
  </si>
  <si>
    <t>1828</t>
  </si>
  <si>
    <t>1080207040000000000</t>
  </si>
  <si>
    <t>棒材</t>
  </si>
  <si>
    <t>横截面为圆形、方形、六角形、八角形、扁形等简单断面并以直条交货的钢材，不包括混凝土用钢筋（详见108020705）</t>
  </si>
  <si>
    <t>1829</t>
  </si>
  <si>
    <t>1080207050000000000</t>
  </si>
  <si>
    <t>钢筋</t>
  </si>
  <si>
    <t>钢筋混凝土和预应力钢筋混凝土用的轧制产品，横截面通常为圆形或带有圆角的方形，包括光圆钢筋、带肋钢筋、扭转钢筋等；可以直条交货，也可以盘状交货；不包括线材轧机生产的产品（详见108020705）</t>
  </si>
  <si>
    <t>1830</t>
  </si>
  <si>
    <t>1080207060000000000</t>
  </si>
  <si>
    <t>线材（盘条）</t>
  </si>
  <si>
    <t>经线材轧机热轧后卷成盘状交货的产品，其横截面通常为圆形、椭圆形、方形、矩形、六角形、八角形或其他形状包括调出及企业自用于拔制钢丝的盘条</t>
  </si>
  <si>
    <t>1831</t>
  </si>
  <si>
    <t>1080207070000000000</t>
  </si>
  <si>
    <t>钢板</t>
  </si>
  <si>
    <t>包括厚钢板和中板</t>
  </si>
  <si>
    <t>1832</t>
  </si>
  <si>
    <t>1080207080000000000</t>
  </si>
  <si>
    <t>热轧薄板</t>
  </si>
  <si>
    <t>包括非合金钢热轧薄板、低合金钢热轧薄板、合金钢热轧薄板、不锈钢热轧薄板等</t>
  </si>
  <si>
    <t>1833</t>
  </si>
  <si>
    <t>1080207090000000000</t>
  </si>
  <si>
    <t>冷轧薄板</t>
  </si>
  <si>
    <t>包括非合金钢冷轧薄板、低合金钢冷轧薄板、合金钢冷轧薄板、不锈钢冷轧薄板等</t>
  </si>
  <si>
    <t>1834</t>
  </si>
  <si>
    <t>1080207100000000000</t>
  </si>
  <si>
    <t>钢带</t>
  </si>
  <si>
    <t>包括中厚宽钢带、热轧钢带、冷轧钢带</t>
  </si>
  <si>
    <t>1835</t>
  </si>
  <si>
    <t>1080207110000000000</t>
  </si>
  <si>
    <t>板带</t>
  </si>
  <si>
    <t>包括镀层板带、涂层板带、电工钢板带等所有板带</t>
  </si>
  <si>
    <t>1836</t>
  </si>
  <si>
    <t>1080207120000000000</t>
  </si>
  <si>
    <t>无缝钢管</t>
  </si>
  <si>
    <t>指具有中空截面，大量用作输送流体的管道，如输送石油、天然气、煤气、水及某些固体物料的管道等，不包括铸铁管（详见108020712）</t>
  </si>
  <si>
    <t>1837</t>
  </si>
  <si>
    <t>1080207130000000000</t>
  </si>
  <si>
    <t>焊接钢管</t>
  </si>
  <si>
    <t>指用钢带或钢板弯曲变形为圆形、方形等形状后再焊接成的、表面有接缝的钢管</t>
  </si>
  <si>
    <t>1838</t>
  </si>
  <si>
    <t>1080207990000000000</t>
  </si>
  <si>
    <t>其他钢材</t>
  </si>
  <si>
    <t>指除铁道用钢材、大型型钢、中小型型钢、棒材、钢筋、线材（盘条）、钢板、热轧薄板、冷轧薄板、钢带、板带、无缝钢管、焊接钢管以外的钢材；如钢铁企业锻钢车间生产的锻钢件（包括锻锤、精锻、快锻以及水压机、挤压机、液压机生产的锻钢件，也包括炼钢炉料，但不包括锻钢件中的型材（详见108020702、108020703）、棒材（详见108020704）和无缝钢管（详见108020712）、冷弯型钢、减振复合钢板等</t>
  </si>
  <si>
    <t>1839</t>
  </si>
  <si>
    <t>1080208000000000000</t>
  </si>
  <si>
    <t>铁合金</t>
  </si>
  <si>
    <t>指炼钢时作为脱氧剂、元素添加剂等加入铁水中使钢具备某种特性或达到某种要求的一种产品，包括普通铁合金和特种铁合金</t>
  </si>
  <si>
    <t>1840</t>
  </si>
  <si>
    <t>1080209000000000000</t>
  </si>
  <si>
    <t>废旧物资冶炼、提纯金属及合金</t>
  </si>
  <si>
    <t>指利用废旧物资经冶炼、提纯或化合生产的金属、合金及金属化合，不包括铁（详见1080201）及铁合金（详见1080208）</t>
  </si>
  <si>
    <t>1841</t>
  </si>
  <si>
    <t>有色金属冶炼及压延产品</t>
  </si>
  <si>
    <t>有色金属冶炼压延品</t>
  </si>
  <si>
    <t>1080301000000000000</t>
  </si>
  <si>
    <t>铜</t>
  </si>
  <si>
    <t>包括粗铜、阳极铜、精炼铜（电解铜）、直接利用再生铜</t>
  </si>
  <si>
    <t>1842</t>
  </si>
  <si>
    <t>1080302010000000000</t>
  </si>
  <si>
    <t>铅</t>
  </si>
  <si>
    <t>指用铅精矿和铅废料为原料生产的电铅（铅锭，含一号铅至三号铅，含铅≥99%）、铅基合金（含铅≥99%）、铸造锡铅焊料折铅（不含用成品铅作原料铸造的焊锡料和铅基合金）、其他铅（含铅≥99%）</t>
  </si>
  <si>
    <t>1843</t>
  </si>
  <si>
    <t>1080302020000000000</t>
  </si>
  <si>
    <t>锌</t>
  </si>
  <si>
    <t>指以锌精矿或锌废碎料作原料经粗炼和精炼工艺生产的锌产品（包括电锌、精锌、商品蒸馏锌和锌品）</t>
  </si>
  <si>
    <t>1844</t>
  </si>
  <si>
    <t>1080303000000000000</t>
  </si>
  <si>
    <t>镍</t>
  </si>
  <si>
    <t>指以镍精矿及镍废碎料等物料为原料，经冶炼生产的镍产品</t>
  </si>
  <si>
    <t>1845</t>
  </si>
  <si>
    <t>1080304000000000000</t>
  </si>
  <si>
    <t>锡</t>
  </si>
  <si>
    <t>指未煅轧锡，包括电锡、精锡、锡基合金折锡、铸造锡铅焊料折锡</t>
  </si>
  <si>
    <t>1846</t>
  </si>
  <si>
    <t>1080305000000000000</t>
  </si>
  <si>
    <t>锑</t>
  </si>
  <si>
    <t>包括锑品（矿产）、三氧化二锑、精锑、高铅锑、生锑（硫化锑）、其他未锻轧锑、再生锑</t>
  </si>
  <si>
    <t>1847</t>
  </si>
  <si>
    <t>1080306010000000000</t>
  </si>
  <si>
    <t>氧化铝</t>
  </si>
  <si>
    <t>指将铝矾土原料经过化学处理，除去硅、铁、钛等的氧化物而制得</t>
  </si>
  <si>
    <t>1848</t>
  </si>
  <si>
    <t>1080306020000000000</t>
  </si>
  <si>
    <t>原铝（电解铝）</t>
  </si>
  <si>
    <t>指以氧化铝为原料生产的电解铝及直接用铝液生产的铝合金、铝母线、铝板卷及铝导杆等产品。</t>
  </si>
  <si>
    <t>1849</t>
  </si>
  <si>
    <t>1080306030000000000</t>
  </si>
  <si>
    <t>再生铝</t>
  </si>
  <si>
    <t>指以废旧铝为原料通过废熔炉生产的再生铝，包括再生铝锭、再生铝合金及铝加工、制品企业熔铸使用的再生铝</t>
  </si>
  <si>
    <t>1850</t>
  </si>
  <si>
    <t>1080307000000000000</t>
  </si>
  <si>
    <t>镁</t>
  </si>
  <si>
    <t>包括原生镁（矿产镁锭）、再生镁、镁环、镁粒（粉）</t>
  </si>
  <si>
    <t>1851</t>
  </si>
  <si>
    <t>1080308000000000000</t>
  </si>
  <si>
    <t>钛</t>
  </si>
  <si>
    <t>包括钛、海绵钛、高钛渣</t>
  </si>
  <si>
    <t>1852</t>
  </si>
  <si>
    <t>1080309000000000000</t>
  </si>
  <si>
    <t>汞及汞化合物</t>
  </si>
  <si>
    <t>包括汞（金属汞）、氧化汞、汞触媒，不包括朱砂（详见107021003）</t>
  </si>
  <si>
    <t>1853</t>
  </si>
  <si>
    <t>1080310010000000000</t>
  </si>
  <si>
    <t>镉</t>
  </si>
  <si>
    <t>指用重有色金属伴生矿作原料经冶炼工艺综合回收的精镉（锭）和镉废碎料作原料生产的精镉（镉锭）</t>
  </si>
  <si>
    <t>1854</t>
  </si>
  <si>
    <t>1080310020000000000</t>
  </si>
  <si>
    <t>铋</t>
  </si>
  <si>
    <t>包括矿产铋、一号铋、二号铋、其他矿产铋、再生铋</t>
  </si>
  <si>
    <t>1855</t>
  </si>
  <si>
    <t>1080310030000000000</t>
  </si>
  <si>
    <t>钴</t>
  </si>
  <si>
    <t>包括氧化钴、金属钴、电解钴、电积钴、钴铁、其他钴盐</t>
  </si>
  <si>
    <t>1856</t>
  </si>
  <si>
    <t>1080310990000000000</t>
  </si>
  <si>
    <t>其他常用有色金属</t>
  </si>
  <si>
    <t>1857</t>
  </si>
  <si>
    <t>黄金</t>
  </si>
  <si>
    <t>1080311010100000000</t>
  </si>
  <si>
    <t>黄金矿砂（含伴生金）</t>
  </si>
  <si>
    <t>1858</t>
  </si>
  <si>
    <t>1080311010200000000</t>
  </si>
  <si>
    <t>其他黄金</t>
  </si>
  <si>
    <t>1859</t>
  </si>
  <si>
    <t>交易所标准黄金（适用于交易所）</t>
  </si>
  <si>
    <t>1080311010300000000</t>
  </si>
  <si>
    <t>仅适用于通过上海黄金交易所、上海期货交易所向政策规定的会员单位和客户开具： 牌号：AU9999，AU9995，AU999，AU995； 规格：50克，100克，1公斤，3公斤，12.5公斤。</t>
  </si>
  <si>
    <t>1860</t>
  </si>
  <si>
    <t>交易所标准黄金（适用于会员单位和客户）</t>
  </si>
  <si>
    <t>1080311010400000000</t>
  </si>
  <si>
    <t>仅适用于通过上海黄金交易所、上海期货交易所政策规定的会员单位和客户向交易所开具： 牌号：AU9999，AU9995，AU999，AU995； 规格：50克，100克，1公斤，3公斤，12.5公斤。</t>
  </si>
  <si>
    <t>1861</t>
  </si>
  <si>
    <t>投资性用途黄金（适用于会员单位）</t>
  </si>
  <si>
    <t>1080311010500000000</t>
  </si>
  <si>
    <t>仅适用于上海黄金交易所、上海期货交易所的会员单位： 投资性用途，包括直接销售，以及加工生产牌号AU995以上的金条、金块、金锭、金片或者经中国人民银行批准发行的法定金质货币。</t>
  </si>
  <si>
    <t>1862</t>
  </si>
  <si>
    <t>非投资性用途黄金（适用于会员单位）</t>
  </si>
  <si>
    <t>1080311010600000000</t>
  </si>
  <si>
    <t>仅适用于上海黄金交易所、上海期货交易所的会员单位： 非投资性用途，是指用于投资性用途以外的情形。</t>
  </si>
  <si>
    <t>1863</t>
  </si>
  <si>
    <t>黄金交易结算（交易所购入）</t>
  </si>
  <si>
    <t>1080311010700000000</t>
  </si>
  <si>
    <t>仅适用于通过上海黄金交易所、上海期货交易所交易的标准黄金，由交易所向政策规定的会员单位和客户开具。同时满足： 牌号：AU9999，AU9995，AU999，AU995； 规格：50克，100克等。</t>
  </si>
  <si>
    <t>1864</t>
  </si>
  <si>
    <t>黄金交易结算（交易所销售）</t>
  </si>
  <si>
    <t>1080311010800000000</t>
  </si>
  <si>
    <t>1865</t>
  </si>
  <si>
    <t>其他贵金属</t>
  </si>
  <si>
    <t>1080311020000000000</t>
  </si>
  <si>
    <t>白银（银锭）</t>
  </si>
  <si>
    <t>指用银精矿及废杂银（回收的再生银）作原料生产的银（银锭），产品含一号、二号、三号银，银≥99.9%</t>
  </si>
  <si>
    <t>1866</t>
  </si>
  <si>
    <t>1080311030000000000</t>
  </si>
  <si>
    <t>铂</t>
  </si>
  <si>
    <t>包括金属铂（铂锭）、矿产铂、再生铂、铂粉</t>
  </si>
  <si>
    <t>1867</t>
  </si>
  <si>
    <t>1080311040000000000</t>
  </si>
  <si>
    <t>钯</t>
  </si>
  <si>
    <t>包括金属钯、矿产钯、再生钯、钯粉</t>
  </si>
  <si>
    <t>1868</t>
  </si>
  <si>
    <t>1080311050000000000</t>
  </si>
  <si>
    <t>铑</t>
  </si>
  <si>
    <t>包括未锻造铑、铑粉。</t>
  </si>
  <si>
    <t>1869</t>
  </si>
  <si>
    <t>1080311060000000000</t>
  </si>
  <si>
    <t>铱</t>
  </si>
  <si>
    <t>包括未锻造铱、铱粉。</t>
  </si>
  <si>
    <t>1870</t>
  </si>
  <si>
    <t>1080311070000000000</t>
  </si>
  <si>
    <t>锇</t>
  </si>
  <si>
    <t>包括未锻造锇、锇粉。</t>
  </si>
  <si>
    <t>1871</t>
  </si>
  <si>
    <t>1080311080000000000</t>
  </si>
  <si>
    <t>钌</t>
  </si>
  <si>
    <t>包括未锻造钌、钌粉。</t>
  </si>
  <si>
    <t>1872</t>
  </si>
  <si>
    <t>1080311990000000000</t>
  </si>
  <si>
    <t>1873</t>
  </si>
  <si>
    <t>稀有金属</t>
  </si>
  <si>
    <t>1080312010100000000</t>
  </si>
  <si>
    <t>钨</t>
  </si>
  <si>
    <t>指用钨精矿、仲钨酸铵及氧化钨作原料生产的钨冶炼产品，是钨材及硬质合金原料</t>
  </si>
  <si>
    <t>1874</t>
  </si>
  <si>
    <t>1080312010200000000</t>
  </si>
  <si>
    <t>钼</t>
  </si>
  <si>
    <t>指用钼精矿、氧化钼及钼酸铵作原料生产的钼冶炼产品，是钼材及硬质合金原料</t>
  </si>
  <si>
    <t>1875</t>
  </si>
  <si>
    <t>1080312010300000000</t>
  </si>
  <si>
    <t>钽</t>
  </si>
  <si>
    <t>指用钽铌精矿、钽氧化物及氟钽酸钾等物料作原料经火法或湿法冶炼生产的钽金属</t>
  </si>
  <si>
    <t>1876</t>
  </si>
  <si>
    <t>1080312010400000000</t>
  </si>
  <si>
    <t>铌</t>
  </si>
  <si>
    <t>指用钽铌精矿、铌氧化物等物料作原料经火法或湿法冶炼生产的铌金属</t>
  </si>
  <si>
    <t>1877</t>
  </si>
  <si>
    <t>1080312010500000000</t>
  </si>
  <si>
    <t>锆</t>
  </si>
  <si>
    <t>指用锆英石等物料为原料经冶炼生产的产品</t>
  </si>
  <si>
    <t>1878</t>
  </si>
  <si>
    <t>1080312010600000000</t>
  </si>
  <si>
    <t>铍（金属铍）</t>
  </si>
  <si>
    <t>指用铍矿石、工业氧化铍及铍废碎料为原料，经电解法和还原法生产的金属铍</t>
  </si>
  <si>
    <t>1879</t>
  </si>
  <si>
    <t>1080312010700000000</t>
  </si>
  <si>
    <t>铊（金属铊）</t>
  </si>
  <si>
    <t>指在冶炼铜、铅锌等金属产品时综合回收的铊金属，铊含量一般在四个九以上</t>
  </si>
  <si>
    <t>1880</t>
  </si>
  <si>
    <t>1080312010800000000</t>
  </si>
  <si>
    <t>镓</t>
  </si>
  <si>
    <t>指在生产氧化铝过程中从铝土矿中回收金属镓（工业镓），包括原生镓和再生镓，镓含量99.99%</t>
  </si>
  <si>
    <t>1881</t>
  </si>
  <si>
    <t>1080312010900000000</t>
  </si>
  <si>
    <t>铪</t>
  </si>
  <si>
    <t>指铪的冶炼产品，用于核能及军工领域</t>
  </si>
  <si>
    <t>1882</t>
  </si>
  <si>
    <t>1080312011000000000</t>
  </si>
  <si>
    <t>铟</t>
  </si>
  <si>
    <t>指属于稀散金属，金属铟主要来自铜、铅、锌及锡等有色金属冶炼过程中富集物的回收，铟分为In99.9%、In99.97%、In99.993%三个品种</t>
  </si>
  <si>
    <t>1883</t>
  </si>
  <si>
    <t>1080312011100000000</t>
  </si>
  <si>
    <t>铼（金属铼）</t>
  </si>
  <si>
    <t>指属于稀散金属，原料是与铜、钼、铀等矿伴生，在冶炼铜、钼等金属工程中采用氧化焙烧-沉淀法、石灰烧结法、萃取法、离子交换法、电溶氧化法及高压浸煮法等传统提铼方法提取金属铼</t>
  </si>
  <si>
    <t>1884</t>
  </si>
  <si>
    <t>1080312019900000000</t>
  </si>
  <si>
    <t>其他稀有金属</t>
  </si>
  <si>
    <t>1885</t>
  </si>
  <si>
    <t>碱及碱土金属</t>
  </si>
  <si>
    <t>1080313010100000000</t>
  </si>
  <si>
    <t>钠</t>
  </si>
  <si>
    <t>1886</t>
  </si>
  <si>
    <t>1080313010200000000</t>
  </si>
  <si>
    <t>锂</t>
  </si>
  <si>
    <t>指用电解或真空热还原-蒸馏技术生产的锂金属，锂含量≥99%</t>
  </si>
  <si>
    <t>1887</t>
  </si>
  <si>
    <t>1080313010300000000</t>
  </si>
  <si>
    <t>钾</t>
  </si>
  <si>
    <t>1888</t>
  </si>
  <si>
    <t>1080313010400000000</t>
  </si>
  <si>
    <t>铷</t>
  </si>
  <si>
    <t>指用锂云母、铯榴石及盐湖卤水作原料经冶炼工艺生产的铷金属，铷含量≥99%</t>
  </si>
  <si>
    <t>1889</t>
  </si>
  <si>
    <t>1080313010500000000</t>
  </si>
  <si>
    <t>铯</t>
  </si>
  <si>
    <t>指用铯榴石等原料经真空热还原法、热分解法和电解法生产的金属铯，铯含量≥99%</t>
  </si>
  <si>
    <t>1890</t>
  </si>
  <si>
    <t>1080313019900000000</t>
  </si>
  <si>
    <t>其他碱金属</t>
  </si>
  <si>
    <t>1891</t>
  </si>
  <si>
    <t>1080313020100000000</t>
  </si>
  <si>
    <t>钙</t>
  </si>
  <si>
    <t>1892</t>
  </si>
  <si>
    <t>1080313020200000000</t>
  </si>
  <si>
    <t>锶</t>
  </si>
  <si>
    <t>1893</t>
  </si>
  <si>
    <t>1080313020300000000</t>
  </si>
  <si>
    <t>钡</t>
  </si>
  <si>
    <t>1894</t>
  </si>
  <si>
    <t>1080313990000000000</t>
  </si>
  <si>
    <t>其他碱金属及碱土金属</t>
  </si>
  <si>
    <t>1895</t>
  </si>
  <si>
    <t>有色金属合金</t>
  </si>
  <si>
    <t>1080314010100000000</t>
  </si>
  <si>
    <t>铜合金</t>
  </si>
  <si>
    <t>指以铜为基体，加入一种或几种其他有色金属元素所铸造的未锻轧的铜合金</t>
  </si>
  <si>
    <t>1896</t>
  </si>
  <si>
    <t>1080314010200000000</t>
  </si>
  <si>
    <t>铅合金</t>
  </si>
  <si>
    <t>指以铅为基体，加入一种或几种其他有色金属元素所铸造的未锻轧的铅合金</t>
  </si>
  <si>
    <t>1897</t>
  </si>
  <si>
    <t>1080314010300000000</t>
  </si>
  <si>
    <t>锌合金</t>
  </si>
  <si>
    <t>指以锌为基体，加入一种或几种其他有色金属元素所铸造的未锻轧的锌合金</t>
  </si>
  <si>
    <t>1898</t>
  </si>
  <si>
    <t>1080314010400000000</t>
  </si>
  <si>
    <t>镍合金</t>
  </si>
  <si>
    <t>指以镍为基体，加入一种或几种其他有色金属元素所铸造的未锻轧的镍合金</t>
  </si>
  <si>
    <t>1899</t>
  </si>
  <si>
    <t>1080314010500000000</t>
  </si>
  <si>
    <t>铝合金</t>
  </si>
  <si>
    <t>指以铝锭（铝液或再生铝）为基体，加入一种或几种其他有色金属元素所铸造的未锻轧的铝合金</t>
  </si>
  <si>
    <t>1900</t>
  </si>
  <si>
    <t>1080314010600000000</t>
  </si>
  <si>
    <t>锡合金</t>
  </si>
  <si>
    <t>指以锡为基体，加入一种或几种其他有色金属元素所铸造的未锻轧的锡合金</t>
  </si>
  <si>
    <t>1901</t>
  </si>
  <si>
    <t>1080314010700000000</t>
  </si>
  <si>
    <t>镁合金</t>
  </si>
  <si>
    <t>指以镁为基体，加入一种或几种其他有色金属元素所铸造的未锻轧的镁合金</t>
  </si>
  <si>
    <t>1902</t>
  </si>
  <si>
    <t>1080314010800000000</t>
  </si>
  <si>
    <t>钛合金</t>
  </si>
  <si>
    <t>指以海绵钛为基体，加入一种或几种其他有色金属元素所铸造的未锻轧的钛合金</t>
  </si>
  <si>
    <t>1903</t>
  </si>
  <si>
    <t>1080314010900000000</t>
  </si>
  <si>
    <t>铋合金</t>
  </si>
  <si>
    <t>指以铋为基体，加入两种以上有色金属元素所铸造的未锻轧的铋合金</t>
  </si>
  <si>
    <t>1904</t>
  </si>
  <si>
    <t>1080314011000000000</t>
  </si>
  <si>
    <t>镉合金</t>
  </si>
  <si>
    <t>1905</t>
  </si>
  <si>
    <t>1080314011100000000</t>
  </si>
  <si>
    <t>钴合金</t>
  </si>
  <si>
    <t>指以钴为基体，加入一种或几种金属铸造的未锻轧的钴合金</t>
  </si>
  <si>
    <t>1906</t>
  </si>
  <si>
    <t>1080314019900000000</t>
  </si>
  <si>
    <t>其他常用有色金属合金</t>
  </si>
  <si>
    <t>1907</t>
  </si>
  <si>
    <t>1080314020000000000</t>
  </si>
  <si>
    <t>硬质合金</t>
  </si>
  <si>
    <t>指以碳化钨（WC）粉、复式碳化钨（WC）粉、钴（Co）粉及钛粉等金属为原料，经混合料制备、压制成型和烧结工艺生产的产品称作硬质合金；按用途分为切削刀片硬质合金、矿用硬质合金、耐磨零件硬质合金和钢结硬质合金；按原料分为钨钴硬质合金、钨钴钛硬质合金、钢结硬质合金及其他硬质合金</t>
  </si>
  <si>
    <t>1908</t>
  </si>
  <si>
    <t>1080314030100000000</t>
  </si>
  <si>
    <t>稀有金属合金</t>
  </si>
  <si>
    <t>包括铍铜合金、铍铝合金、铍镁合金、铌铁合金和其他稀有金属合金</t>
  </si>
  <si>
    <t>1909</t>
  </si>
  <si>
    <t>1080314030200000000</t>
  </si>
  <si>
    <t>稀土金属合金</t>
  </si>
  <si>
    <t>指由稀土金属作基体，加入一种或几种金属铸造的合金产品</t>
  </si>
  <si>
    <t>1910</t>
  </si>
  <si>
    <t>1080314040100000000</t>
  </si>
  <si>
    <t>金合金</t>
  </si>
  <si>
    <t>指以金为基体，加入一种或几种金属铸造的合金产品</t>
  </si>
  <si>
    <t>1911</t>
  </si>
  <si>
    <t>1080314040200000000</t>
  </si>
  <si>
    <t>银合金</t>
  </si>
  <si>
    <t>指以银为基体，加入一种或几种金属铸造的银合金产品</t>
  </si>
  <si>
    <t>1912</t>
  </si>
  <si>
    <t>1080314040300000000</t>
  </si>
  <si>
    <t>铂合金</t>
  </si>
  <si>
    <t>指以铂为基体，加入一种或几种金属铸造的铂合金</t>
  </si>
  <si>
    <t>1913</t>
  </si>
  <si>
    <t>1080314040400000000</t>
  </si>
  <si>
    <t>钯合金</t>
  </si>
  <si>
    <t>指以钯为基体，加入一种或几种金属铸造的钯合金</t>
  </si>
  <si>
    <t>1914</t>
  </si>
  <si>
    <t>1080314040500000000</t>
  </si>
  <si>
    <t>铑、铱、锇合金</t>
  </si>
  <si>
    <t>包括铑铱合金、铱锇合金、铱钨合金和其他贵金属合金</t>
  </si>
  <si>
    <t>1915</t>
  </si>
  <si>
    <t>1080314049900000000</t>
  </si>
  <si>
    <t>其他贵金属合金</t>
  </si>
  <si>
    <t>1916</t>
  </si>
  <si>
    <t>有色金属压延材</t>
  </si>
  <si>
    <t>1080315010000000000</t>
  </si>
  <si>
    <t>铜材</t>
  </si>
  <si>
    <t>指以铜金属为基体，经熔铸、挤压或轧制加工生产的板材、带材、箔材、棒材、型材、线材、管材等铜材</t>
  </si>
  <si>
    <t>1917</t>
  </si>
  <si>
    <t>1080315020000000000</t>
  </si>
  <si>
    <t>铜盘条（电工用铜线坯）</t>
  </si>
  <si>
    <t>指沿整个长度方向上具有均一的横截面，以卷状供应的实心中间产品，供进一步加工用，直径一般为6～35mm，铜加工材总计中不含铜盘条</t>
  </si>
  <si>
    <t>1918</t>
  </si>
  <si>
    <t>1080315030000000000</t>
  </si>
  <si>
    <t>铜粉及片状粉末</t>
  </si>
  <si>
    <t>包括铜粉、片状铜粉末。</t>
  </si>
  <si>
    <t>1919</t>
  </si>
  <si>
    <t>1080316010000000000</t>
  </si>
  <si>
    <t>铝材</t>
  </si>
  <si>
    <t>指以铝金属为基体，经熔铸、挤压或轧制加工生产的板材、带材、箔材、棒材、型材、线材、管材及排材</t>
  </si>
  <si>
    <t>1920</t>
  </si>
  <si>
    <t>1080316020000000000</t>
  </si>
  <si>
    <t>铝盘条（电工用圆铝杆）</t>
  </si>
  <si>
    <t>指供进一步加工用的中间产品，直径一般为9～20mm</t>
  </si>
  <si>
    <t>1921</t>
  </si>
  <si>
    <t>1080316030000000000</t>
  </si>
  <si>
    <t>铝粉及铝片状粉末</t>
  </si>
  <si>
    <t>包括铝非片状粉末、铝片状粉末。</t>
  </si>
  <si>
    <t>1922</t>
  </si>
  <si>
    <t>1080317010000000000</t>
  </si>
  <si>
    <t>铅材</t>
  </si>
  <si>
    <t>指以铅为基体，加入一种或几种金属经挤压或轧制生产的产品</t>
  </si>
  <si>
    <t>1923</t>
  </si>
  <si>
    <t>1080317020000000000</t>
  </si>
  <si>
    <t>铅粉及铅片状粉末</t>
  </si>
  <si>
    <t>包括铅粉、铅片状粉末。</t>
  </si>
  <si>
    <t>1924</t>
  </si>
  <si>
    <t>1080318010000000000</t>
  </si>
  <si>
    <t>锌材</t>
  </si>
  <si>
    <t>指以锌为基体，加入一种或几种金属经挤压或轧制生产的产品</t>
  </si>
  <si>
    <t>1925</t>
  </si>
  <si>
    <t>1080318020000000000</t>
  </si>
  <si>
    <t>锌末、锌粉及锌片状粉末</t>
  </si>
  <si>
    <t>包括锌末、锌粉。</t>
  </si>
  <si>
    <t>1926</t>
  </si>
  <si>
    <t>1080319010000000000</t>
  </si>
  <si>
    <t>镍材</t>
  </si>
  <si>
    <t>指以镍为基体，加入一种或几种金属经挤压或轧制生产的产品</t>
  </si>
  <si>
    <t>1927</t>
  </si>
  <si>
    <t>1080319020000000000</t>
  </si>
  <si>
    <t>镍粉及镍片状粉末</t>
  </si>
  <si>
    <t>指非合金镍粉、合金镍粉，包括片状粉末。</t>
  </si>
  <si>
    <t>1928</t>
  </si>
  <si>
    <t>1080320010000000000</t>
  </si>
  <si>
    <t>锡材</t>
  </si>
  <si>
    <t>指以锡为基体，加入一种或几种金属经挤压或轧制及其他加工方法生产的产品</t>
  </si>
  <si>
    <t>1929</t>
  </si>
  <si>
    <t>1080320020000000000</t>
  </si>
  <si>
    <t>锡粉及锡片状粉末</t>
  </si>
  <si>
    <t>指非锡合金锡粉、锡合金锡粉，包括片状粉末。</t>
  </si>
  <si>
    <t>1930</t>
  </si>
  <si>
    <t>1080321010000000000</t>
  </si>
  <si>
    <t>镁材</t>
  </si>
  <si>
    <t>指镁棒材、镁型材异型材、镁板材、镁带材、镁箔材、镁丝材、镁管及空心异型材和其他镁材，包括镁金属压延加工材</t>
  </si>
  <si>
    <t>1931</t>
  </si>
  <si>
    <t>1080321020000000000</t>
  </si>
  <si>
    <t>钛材</t>
  </si>
  <si>
    <t>指钛棒材、钛型材及异型材、钛线材、钛板材、钛带、钛箔材、钛管材、钛锻材和其他钛材，包括钛金属压延加工材</t>
  </si>
  <si>
    <t>1932</t>
  </si>
  <si>
    <t>1080321030000000000</t>
  </si>
  <si>
    <t>镉材</t>
  </si>
  <si>
    <t>包括镉板材、镉棒材和其他镉材。</t>
  </si>
  <si>
    <t>1933</t>
  </si>
  <si>
    <t>1080321040000000000</t>
  </si>
  <si>
    <t>锑材</t>
  </si>
  <si>
    <t>包括锑棒材、锑板材和其他锑材。</t>
  </si>
  <si>
    <t>1934</t>
  </si>
  <si>
    <t>1080321050000000000</t>
  </si>
  <si>
    <t>铋材</t>
  </si>
  <si>
    <t>1935</t>
  </si>
  <si>
    <t>金加工材</t>
  </si>
  <si>
    <t>1080322010000000000</t>
  </si>
  <si>
    <t>指金棒材和其他金加工材，包括金及金合金压延加工材</t>
  </si>
  <si>
    <t>1936</t>
  </si>
  <si>
    <t>其他贵金属加工材</t>
  </si>
  <si>
    <t>1080322020000000000</t>
  </si>
  <si>
    <t>银材</t>
  </si>
  <si>
    <t>指银棒材、银型材、银板材、银片材、银带材和其他银材，包括银及银合金压延加工材</t>
  </si>
  <si>
    <t>1937</t>
  </si>
  <si>
    <t>1080322030000000000</t>
  </si>
  <si>
    <t>铂加工材</t>
  </si>
  <si>
    <t>指铂板材、铂片材、铂带材、铂条材、铂管材和其他铂加工材，包括铂及铂合金压延加工材</t>
  </si>
  <si>
    <t>1938</t>
  </si>
  <si>
    <t>1080322040000000000</t>
  </si>
  <si>
    <t>钯材</t>
  </si>
  <si>
    <t>指钯板材、钯片材、钯带材、钯条材、钯管材和其他钯材，包括钯及钯合金压延加工材</t>
  </si>
  <si>
    <t>1939</t>
  </si>
  <si>
    <t>1080322050000000000</t>
  </si>
  <si>
    <t>铑加工材</t>
  </si>
  <si>
    <t>指铑板材、铑片材、铑带材、铑条材和其他铑加工材，包括铑及铑合金压延加工材</t>
  </si>
  <si>
    <t>1940</t>
  </si>
  <si>
    <t>1080322060000000000</t>
  </si>
  <si>
    <t>铱加工材</t>
  </si>
  <si>
    <t>指铱板材、铱片材、铱薄带材和其他铱加工材，包括半制成品形状的铱、锇、钌及其他贵金属材</t>
  </si>
  <si>
    <t>1941</t>
  </si>
  <si>
    <t>1080322070000000000</t>
  </si>
  <si>
    <t>锇加工材</t>
  </si>
  <si>
    <t>指锇板材、锇片材和其他锇加工材包括半制成品形状的铱、锇、钌及其他贵金属材</t>
  </si>
  <si>
    <t>1942</t>
  </si>
  <si>
    <t>1080322080000000000</t>
  </si>
  <si>
    <t>钌加工材</t>
  </si>
  <si>
    <t>包括钌板材、钌片材、钌带材和其他钌加工材。</t>
  </si>
  <si>
    <t>1943</t>
  </si>
  <si>
    <t>1080322990000000000</t>
  </si>
  <si>
    <t>其他贵金属压延加工材</t>
  </si>
  <si>
    <t>1944</t>
  </si>
  <si>
    <t>包覆贵金属金属材料</t>
  </si>
  <si>
    <t>1080323010000000000</t>
  </si>
  <si>
    <t>包金金属材料</t>
  </si>
  <si>
    <t>指包金的金属材料用以制首饰（手镯、表链、耳环等）、表壳、雪茄嘴或香烟嘴、打火机、金器、电触头、化学装置等，包括包金棒、杆、包金板、片、包金带、包金型材、包金丝、包金管和其他包金金属材料。</t>
  </si>
  <si>
    <t>1945</t>
  </si>
  <si>
    <t>1080323020000000000</t>
  </si>
  <si>
    <t>包银金属材料</t>
  </si>
  <si>
    <t>包括包银棒、杆、包银板、片、包银带、包银型材、包银丝、包银管和其他包银金属材料。</t>
  </si>
  <si>
    <t>1946</t>
  </si>
  <si>
    <t>1080323030000000000</t>
  </si>
  <si>
    <t>包铂金属材料</t>
  </si>
  <si>
    <t>指以银、金、及其他金属为底的包铂材料，包括包铂棒、杆、包铂板、片、包铂带、包铂型材、包铂丝、包铂管和其他包铂金属材料。</t>
  </si>
  <si>
    <t>1947</t>
  </si>
  <si>
    <t>稀有稀土金属压延材</t>
  </si>
  <si>
    <t>1080324010000000000</t>
  </si>
  <si>
    <t>钨加工材</t>
  </si>
  <si>
    <t>指钨棒材、钨型材及异型材、钨板材、钨带材、钨箔、片材、钨丝材、钨高比重材、钨坩埚、钨阳极和其他钨加工材，包括钨及钨合金加工材</t>
  </si>
  <si>
    <t>1948</t>
  </si>
  <si>
    <t>1080324020000000000</t>
  </si>
  <si>
    <t>钼加工材</t>
  </si>
  <si>
    <t>指钼棒材、钼板材、钼带材、钼箔材、钼丝材、钼板坯、钼坩埚、钼顶头和其他钼材，包括钼及钼合金压延加工材</t>
  </si>
  <si>
    <t>1949</t>
  </si>
  <si>
    <t>1080324030000000000</t>
  </si>
  <si>
    <t>钽加工材</t>
  </si>
  <si>
    <t>指钽棒、钽板材、钽带、钽箔、钽管材、钽丝材和其他钽加工材，包括钽及钽合金加工材</t>
  </si>
  <si>
    <t>1950</t>
  </si>
  <si>
    <t>1080324040000000000</t>
  </si>
  <si>
    <t>锆加工材</t>
  </si>
  <si>
    <t>指锆板材、锆棒材、锆丝材、锆管材和其他锆加工材，包括锆及锆合金加工材</t>
  </si>
  <si>
    <t>1951</t>
  </si>
  <si>
    <t>1080324050000000000</t>
  </si>
  <si>
    <t>铌加工材</t>
  </si>
  <si>
    <t>指铌板材、铌棒材、铌丝材、铌管材和其他铌加工材，包括铌及铌合金加工材</t>
  </si>
  <si>
    <t>1952</t>
  </si>
  <si>
    <t>1080324060000000000</t>
  </si>
  <si>
    <t>镓加工材</t>
  </si>
  <si>
    <t>指镓板材、镓棒材、镓丝材、镓管材和其他镓加工材，包括镓及镓合金加工材</t>
  </si>
  <si>
    <t>1953</t>
  </si>
  <si>
    <t>1080324070000000000</t>
  </si>
  <si>
    <t>铪加工材</t>
  </si>
  <si>
    <t>指铪板材、铪棒材、铪丝材、铪管材和其他铪加工材，包括铪及铪合金加工材</t>
  </si>
  <si>
    <t>1954</t>
  </si>
  <si>
    <t>1080324080000000000</t>
  </si>
  <si>
    <t>铟加工材</t>
  </si>
  <si>
    <t>指铟板材、铟棒材、铟丝材、铟管材和其他铟加工材，包括铟及铟合金加工材</t>
  </si>
  <si>
    <t>1955</t>
  </si>
  <si>
    <t>1080324090000000000</t>
  </si>
  <si>
    <t>铼加工材</t>
  </si>
  <si>
    <t>指铼板材、铼棒材、铼丝材、铼管材和其他铼加工材，包括铼及铼合金加工材</t>
  </si>
  <si>
    <t>1956</t>
  </si>
  <si>
    <t>1080324100000000000</t>
  </si>
  <si>
    <t>钴加工材</t>
  </si>
  <si>
    <t>1957</t>
  </si>
  <si>
    <t>1080324110000000000</t>
  </si>
  <si>
    <t>铍加工材</t>
  </si>
  <si>
    <t>1958</t>
  </si>
  <si>
    <t>1080324120000000000</t>
  </si>
  <si>
    <t>铊加工材</t>
  </si>
  <si>
    <t>1959</t>
  </si>
  <si>
    <t>1080324130000000000</t>
  </si>
  <si>
    <t>锗加工材</t>
  </si>
  <si>
    <t>1960</t>
  </si>
  <si>
    <t>1080324140000000000</t>
  </si>
  <si>
    <t>钒加工材</t>
  </si>
  <si>
    <t>1961</t>
  </si>
  <si>
    <t>1080324990000000000</t>
  </si>
  <si>
    <t>其他稀有稀土金属压延加工材</t>
  </si>
  <si>
    <t>1962</t>
  </si>
  <si>
    <t>有色金属及合金</t>
  </si>
  <si>
    <t>1080325000000000000</t>
  </si>
  <si>
    <t>废弃物资冶炼、提纯有色金属及合金</t>
  </si>
  <si>
    <t>指以废弃物资为原料，经冶炼、提纯或化合生产的金属、合金及金属化合物，不包括铁（详见1080201）、铁合金（详见1080208）</t>
  </si>
  <si>
    <t>1963</t>
  </si>
  <si>
    <t>金属制品</t>
  </si>
  <si>
    <t>1080401010000000000</t>
  </si>
  <si>
    <t>钢结构及其产品</t>
  </si>
  <si>
    <t>包括钢结构所用的已加工的各种型钢，不包括货架（详见109011602）</t>
  </si>
  <si>
    <t>1964</t>
  </si>
  <si>
    <t>1080401020000000000</t>
  </si>
  <si>
    <t>锌制建筑结构体及其部件</t>
  </si>
  <si>
    <t>包括锌制檐槽、屋顶构件、暖房框架及房屋的其他锌制部件</t>
  </si>
  <si>
    <t>1965</t>
  </si>
  <si>
    <t>1080401030000000000</t>
  </si>
  <si>
    <t>金属结构预制建筑物（活动房屋）</t>
  </si>
  <si>
    <t>1966</t>
  </si>
  <si>
    <t>1080402010000000000</t>
  </si>
  <si>
    <t>金属制门及其框架、门槛</t>
  </si>
  <si>
    <t>包括钢铁门及其框架、门槛、铝制门及其框架、门槛</t>
  </si>
  <si>
    <t>1967</t>
  </si>
  <si>
    <t>1080402020000000000</t>
  </si>
  <si>
    <t>金属制窗及窗框</t>
  </si>
  <si>
    <t>包括钢铁制窗及窗框、铝制窗及窗框</t>
  </si>
  <si>
    <t>1968</t>
  </si>
  <si>
    <t>1080402030000000000</t>
  </si>
  <si>
    <t>金属护栏及类似品</t>
  </si>
  <si>
    <t>包括金属制窗护网、栏、金属制阳台护栏及类似品</t>
  </si>
  <si>
    <t>1969</t>
  </si>
  <si>
    <t>1080403010000000000</t>
  </si>
  <si>
    <t>金属切削机床用切削刀具</t>
  </si>
  <si>
    <t>包括高速钢与硬质合金材料的刀具等</t>
  </si>
  <si>
    <t>1970</t>
  </si>
  <si>
    <t>1080403020000000000</t>
  </si>
  <si>
    <t>工具系统</t>
  </si>
  <si>
    <t>包括组合刀具、复合刀具</t>
  </si>
  <si>
    <t>1971</t>
  </si>
  <si>
    <t>1080403030000000000</t>
  </si>
  <si>
    <t>机器用刀具及刀片</t>
  </si>
  <si>
    <t>指未装配的机器或机械器具的刀具及刀片</t>
  </si>
  <si>
    <t>1972</t>
  </si>
  <si>
    <t>1080403990000000000</t>
  </si>
  <si>
    <t>其他金属切削工具</t>
  </si>
  <si>
    <t>1973</t>
  </si>
  <si>
    <t>1080404010000000000</t>
  </si>
  <si>
    <t>手工锯</t>
  </si>
  <si>
    <t>指锯木材、金属、石料或其他材料的手工锯，不论是专业用还是家庭用</t>
  </si>
  <si>
    <t>1974</t>
  </si>
  <si>
    <t>1080404020000000000</t>
  </si>
  <si>
    <t>锉及类似工具</t>
  </si>
  <si>
    <t>指钢锉、木锉、钢木两用锉及类似工具</t>
  </si>
  <si>
    <t>1975</t>
  </si>
  <si>
    <t>1080404030000000000</t>
  </si>
  <si>
    <t>钳子</t>
  </si>
  <si>
    <t>指以夹钳原理操作的颚式工具</t>
  </si>
  <si>
    <t>1976</t>
  </si>
  <si>
    <t>1080404040000000000</t>
  </si>
  <si>
    <t>手动扳手及扳钳</t>
  </si>
  <si>
    <t>包括各种手动扳手及扳钳，不包括消防用扳手及板钳（详见109025305）</t>
  </si>
  <si>
    <t>1977</t>
  </si>
  <si>
    <t>1080404050000000000</t>
  </si>
  <si>
    <t>锤子</t>
  </si>
  <si>
    <t>包括碎石锤、大木锤、石材修整锤、其他锤子</t>
  </si>
  <si>
    <t>1978</t>
  </si>
  <si>
    <t>1080404060000000000</t>
  </si>
  <si>
    <t>螺丝刀</t>
  </si>
  <si>
    <t>螺丝刀又称起子或改锥，是用来紧固或拆卸带槽螺钉的常用工具</t>
  </si>
  <si>
    <t>1979</t>
  </si>
  <si>
    <t>1080404070000000000</t>
  </si>
  <si>
    <t>钻孔或攻丝工具</t>
  </si>
  <si>
    <t>包括手摇曲柄钻、胸压式手摇钻及手钻、板牙铰手、丝锥扳手、搓丝板</t>
  </si>
  <si>
    <t>1980</t>
  </si>
  <si>
    <t>1080404080000000000</t>
  </si>
  <si>
    <t>切管器及类似手工工具</t>
  </si>
  <si>
    <t>包括钳式切管器（带切割轮）、螺栓切头器、螺栓剪钳、链条切割器、其他切管器及类似手工工具</t>
  </si>
  <si>
    <t>1981</t>
  </si>
  <si>
    <t>1080404090000000000</t>
  </si>
  <si>
    <t>白铁剪及类似工具</t>
  </si>
  <si>
    <t>包括平头剪、切割剪、其他白铁剪及类似工具</t>
  </si>
  <si>
    <t>1982</t>
  </si>
  <si>
    <t>1080404100000000000</t>
  </si>
  <si>
    <t>打孔冲及类似手工工具</t>
  </si>
  <si>
    <t>包括钮孔冲孔器、剪票钳、鞍工冲子、其他打孔冲及类似手工工具</t>
  </si>
  <si>
    <t>1983</t>
  </si>
  <si>
    <t>1080404110000000000</t>
  </si>
  <si>
    <t>通用手工具可互换部件</t>
  </si>
  <si>
    <t>包括锯片、带锯片、圆锯片、链锯条、直锯片、其他锯片、可互换扳手套筒、其他通用手工具可互换部件</t>
  </si>
  <si>
    <t>1984</t>
  </si>
  <si>
    <t>1080404120000000000</t>
  </si>
  <si>
    <t>专用手工具</t>
  </si>
  <si>
    <t>不包括消防、防爆专用手工工具（详见109025405）</t>
  </si>
  <si>
    <t>1985</t>
  </si>
  <si>
    <t>1080405010000000000</t>
  </si>
  <si>
    <t>农林牧通用金属手工具</t>
  </si>
  <si>
    <t>包括锹及铲、叉、镐、锄、耙、斧子、钩刀、砍刀类似砍伐工具、镰刀、秣刀、其他农林牧通用金属手工具</t>
  </si>
  <si>
    <t>1986</t>
  </si>
  <si>
    <t>1080405020000000000</t>
  </si>
  <si>
    <t>林业、园艺专用工具</t>
  </si>
  <si>
    <t>包括种植器、播种器、点播器、泥铲及移植器、摘果器、其他林业用器类工具、单手操作剪刀、双手操作剪刀、其他园艺专用刀剪手工具、伐木楔子、木钩、木钳、木镐、其他伐木专用工具</t>
  </si>
  <si>
    <t>1987</t>
  </si>
  <si>
    <t>1080405030000000000</t>
  </si>
  <si>
    <t>畜牧专用手工具</t>
  </si>
  <si>
    <t>包括畜牧专用剪刀、马鬃剪、马蹄剪、羊毛剪、其他畜牧专用剪刀、羊毛抓子、动物用标记钳、牛梳、马梳及猪刮子、其他畜牧专用手工具</t>
  </si>
  <si>
    <t>1988</t>
  </si>
  <si>
    <t>1080405990000000000</t>
  </si>
  <si>
    <t>其他农林、畜牧用金属工具</t>
  </si>
  <si>
    <t>包括犁铧、铡刀等农具</t>
  </si>
  <si>
    <t>1989</t>
  </si>
  <si>
    <t>1080406000000000000</t>
  </si>
  <si>
    <t>专用刀具及类似器具</t>
  </si>
  <si>
    <t>指游牧及其他特殊人员使用的金属制长刀、短刀、匕首及类似锐利器具，以及舞台、装饰用刀具和类似器具</t>
  </si>
  <si>
    <t>1990</t>
  </si>
  <si>
    <t>1080407010000000000</t>
  </si>
  <si>
    <t>剪刀及类似品</t>
  </si>
  <si>
    <t>不包括农林牧渔用剪刀手工具（详见1080405），也不包括电工用剪刀及裁剪金属用剪刀（详见1090132）</t>
  </si>
  <si>
    <t>1991</t>
  </si>
  <si>
    <t>1080407020000000000</t>
  </si>
  <si>
    <t>日常用刀及类似制品</t>
  </si>
  <si>
    <t>指有刃口的刀及其刀片和利口器，指机器或机械器具的刀及刀片除外（详见108040303）</t>
  </si>
  <si>
    <t>1992</t>
  </si>
  <si>
    <t>1080407030000000000</t>
  </si>
  <si>
    <t>理发用手工具</t>
  </si>
  <si>
    <t>不包括电动理发用工具(详见1090419)</t>
  </si>
  <si>
    <t>1993</t>
  </si>
  <si>
    <t>1080407040000000000</t>
  </si>
  <si>
    <t>修饰用手工具</t>
  </si>
  <si>
    <t>包括美容修饰用工具</t>
  </si>
  <si>
    <t>1994</t>
  </si>
  <si>
    <t>1080407990000000000</t>
  </si>
  <si>
    <t>其他刀剪及类似日用金属工具</t>
  </si>
  <si>
    <t>1995</t>
  </si>
  <si>
    <t>1080408000000000000</t>
  </si>
  <si>
    <t>喷灯、台钳，相关金属手工具</t>
  </si>
  <si>
    <t>包括喷灯、台钳及类似制品、其他相关金属手工具</t>
  </si>
  <si>
    <t>1996</t>
  </si>
  <si>
    <t>1080409000000000000</t>
  </si>
  <si>
    <t>集装箱</t>
  </si>
  <si>
    <t>包括邮政集装箱、运输液体的集装箱</t>
  </si>
  <si>
    <t>1997</t>
  </si>
  <si>
    <t>1080410000000000000</t>
  </si>
  <si>
    <t>金属容器</t>
  </si>
  <si>
    <t>包括金属压力容器、包装容器及其附件</t>
  </si>
  <si>
    <t>1998</t>
  </si>
  <si>
    <t>1080411010000000000</t>
  </si>
  <si>
    <t>铁丝</t>
  </si>
  <si>
    <t>1999</t>
  </si>
  <si>
    <t>1080411020000000000</t>
  </si>
  <si>
    <t>钢丝</t>
  </si>
  <si>
    <t>包括非合金钢钢丝、低合金钢钢丝、合金、钢钢丝、不锈钢钢丝</t>
  </si>
  <si>
    <t>2000</t>
  </si>
  <si>
    <t>1080411030000000000</t>
  </si>
  <si>
    <t>铜丝</t>
  </si>
  <si>
    <t>包括铜合金丝、铜合金丝</t>
  </si>
  <si>
    <t>2001</t>
  </si>
  <si>
    <t>1080411040000000000</t>
  </si>
  <si>
    <t>铝丝</t>
  </si>
  <si>
    <t>包括非合金铝丝、铝合金丝</t>
  </si>
  <si>
    <t>2002</t>
  </si>
  <si>
    <t>1080411050000000000</t>
  </si>
  <si>
    <t>铅丝</t>
  </si>
  <si>
    <t>包括非合金铅丝、铅合金丝</t>
  </si>
  <si>
    <t>2003</t>
  </si>
  <si>
    <t>1080411060000000000</t>
  </si>
  <si>
    <t>锌丝</t>
  </si>
  <si>
    <t>包括非合金锌丝、锌合金丝</t>
  </si>
  <si>
    <t>2004</t>
  </si>
  <si>
    <t>1080411070000000000</t>
  </si>
  <si>
    <t>镍丝</t>
  </si>
  <si>
    <t>包括非合金镍丝、镍合金丝</t>
  </si>
  <si>
    <t>2005</t>
  </si>
  <si>
    <t>1080411080000000000</t>
  </si>
  <si>
    <t>锡丝</t>
  </si>
  <si>
    <t>包括非锡合金丝、锡合金丝</t>
  </si>
  <si>
    <t>2006</t>
  </si>
  <si>
    <t>1080411090000000000</t>
  </si>
  <si>
    <t>钛丝</t>
  </si>
  <si>
    <t>包括非合金钛丝、钛合金丝</t>
  </si>
  <si>
    <t>2007</t>
  </si>
  <si>
    <t>1080411100000000000</t>
  </si>
  <si>
    <t>镁丝</t>
  </si>
  <si>
    <t>包括非合金镁丝、镁合金丝</t>
  </si>
  <si>
    <t>2008</t>
  </si>
  <si>
    <t>1080411110000000000</t>
  </si>
  <si>
    <t>金丝</t>
  </si>
  <si>
    <t>包括纯金丝、金合金丝</t>
  </si>
  <si>
    <t>2009</t>
  </si>
  <si>
    <t>1080411120000000000</t>
  </si>
  <si>
    <t>银丝</t>
  </si>
  <si>
    <t>包括纯银丝、银合金丝</t>
  </si>
  <si>
    <t>2010</t>
  </si>
  <si>
    <t>1080411130000000000</t>
  </si>
  <si>
    <t>钨丝</t>
  </si>
  <si>
    <t>2011</t>
  </si>
  <si>
    <t>1080411140000000000</t>
  </si>
  <si>
    <t>钼丝</t>
  </si>
  <si>
    <t>2012</t>
  </si>
  <si>
    <t>1080411150000000000</t>
  </si>
  <si>
    <t>铂丝</t>
  </si>
  <si>
    <t>包括非合金铂丝、铂合金丝</t>
  </si>
  <si>
    <t>2013</t>
  </si>
  <si>
    <t>1080411160000000000</t>
  </si>
  <si>
    <t>钯丝</t>
  </si>
  <si>
    <t>包括非合金钯丝、钯合金丝</t>
  </si>
  <si>
    <t>2014</t>
  </si>
  <si>
    <t>1080411170000000000</t>
  </si>
  <si>
    <t>铑丝</t>
  </si>
  <si>
    <t>包括非合金铑丝、铑合金丝</t>
  </si>
  <si>
    <t>2015</t>
  </si>
  <si>
    <t>1080411180000000000</t>
  </si>
  <si>
    <t>铱丝</t>
  </si>
  <si>
    <t>2016</t>
  </si>
  <si>
    <t>1080411190000000000</t>
  </si>
  <si>
    <t>钌丝</t>
  </si>
  <si>
    <t>2017</t>
  </si>
  <si>
    <t>1080411990000000000</t>
  </si>
  <si>
    <t>其他金属丝</t>
  </si>
  <si>
    <t>2018</t>
  </si>
  <si>
    <t>1080412010000000000</t>
  </si>
  <si>
    <t>钢铁制绳、缆、带</t>
  </si>
  <si>
    <t>包括钢丝绳、钢绞线、钢绳缆、钢铁编带、钢丝绳吊具、其他钢铁制绳、缆、带</t>
  </si>
  <si>
    <t>2019</t>
  </si>
  <si>
    <t>1080412020000000000</t>
  </si>
  <si>
    <t>铜丝绞线、缆、编带</t>
  </si>
  <si>
    <t>包括铜丝绞线、缆、编带、铜丝绞线、铜丝缆、铜丝编带</t>
  </si>
  <si>
    <t>2020</t>
  </si>
  <si>
    <t>1080412030000000000</t>
  </si>
  <si>
    <t>铝制绞股线、缆、编带</t>
  </si>
  <si>
    <t>包括铝制绞股线、缆、编带、钢芯铝绞股线、钢芯铝制缆、钢芯铝制编带及类似品、其他铝制绞股线、缆、编带</t>
  </si>
  <si>
    <t>2021</t>
  </si>
  <si>
    <t>1080412040000000000</t>
  </si>
  <si>
    <t>铅绞线、束或绳</t>
  </si>
  <si>
    <t>指用于包装或管子接口堵缝的铅线绞、束或绳</t>
  </si>
  <si>
    <t>2022</t>
  </si>
  <si>
    <t>1080412990000000000</t>
  </si>
  <si>
    <t>其他金属制绳、缆</t>
  </si>
  <si>
    <t>2023</t>
  </si>
  <si>
    <t>1080413010000000000</t>
  </si>
  <si>
    <t>钢铁丝制品</t>
  </si>
  <si>
    <t>包括钢铁丝环形带、钢丝布、钢铁丝网、钢铁丝篱及格栅、网眼钢铁板、围篱用钢铁带及丝、其他钢铁丝制品</t>
  </si>
  <si>
    <t>2024</t>
  </si>
  <si>
    <t>1080413020000000000</t>
  </si>
  <si>
    <t>铜丝制品</t>
  </si>
  <si>
    <t>包括铜丝布（包括环型带）、网、格栅</t>
  </si>
  <si>
    <t>2025</t>
  </si>
  <si>
    <t>1080413030000000000</t>
  </si>
  <si>
    <t>铝丝制品</t>
  </si>
  <si>
    <t>包括铝丝布、格栅、网及栏栅及类似铝丝制品</t>
  </si>
  <si>
    <t>2026</t>
  </si>
  <si>
    <t>1080413040000000000</t>
  </si>
  <si>
    <t>镍丝制品</t>
  </si>
  <si>
    <t>包括镍丝布、格栅及网</t>
  </si>
  <si>
    <t>2027</t>
  </si>
  <si>
    <t>1080413050000000000</t>
  </si>
  <si>
    <t>锌丝制品</t>
  </si>
  <si>
    <t>包括锌丝制的布、网、篱、格栅以及网眼锌板</t>
  </si>
  <si>
    <t>2028</t>
  </si>
  <si>
    <t>1080413990000000000</t>
  </si>
  <si>
    <t>其他金属丝绳制品</t>
  </si>
  <si>
    <t>2029</t>
  </si>
  <si>
    <t>1080414010000000000</t>
  </si>
  <si>
    <t>钢铁制紧固件</t>
  </si>
  <si>
    <t>包括螺钉、螺栓、螺母、钢铁制垫圈、铆钉、开尾销、销及锥形销、簧环、其他钢铁制紧固件</t>
  </si>
  <si>
    <t>2030</t>
  </si>
  <si>
    <t>1080414020000000000</t>
  </si>
  <si>
    <t>铜制紧固件</t>
  </si>
  <si>
    <t>包括铜制螺钉、铜制木螺钉、其他铜制螺钉、铜制螺栓、铜制螺母、铜制垫圈、其他铜制紧固件</t>
  </si>
  <si>
    <t>2031</t>
  </si>
  <si>
    <t>1080414030000000000</t>
  </si>
  <si>
    <t>铝制紧固件</t>
  </si>
  <si>
    <t>包括铝制螺钉、铝制螺栓、铝制螺母、铝制铆钉、其他铝制紧固件</t>
  </si>
  <si>
    <t>2032</t>
  </si>
  <si>
    <t>1080414040000000000</t>
  </si>
  <si>
    <t>其他金属紧固件</t>
  </si>
  <si>
    <t>指除钢铁制紧固件（详见108041401）、铜制紧固件（详见108041402）、铝制紧固件（详见108041403）以外的金属紧固件</t>
  </si>
  <si>
    <t>2033</t>
  </si>
  <si>
    <t>1080414050000000000</t>
  </si>
  <si>
    <t>金属钉</t>
  </si>
  <si>
    <t>包括钢铁制钉、铜制钉、铝制钉、其他金属钉</t>
  </si>
  <si>
    <t>2034</t>
  </si>
  <si>
    <t>1080415010000000000</t>
  </si>
  <si>
    <t>钢铁制弹簧</t>
  </si>
  <si>
    <t>包括钢铁制弹簧及弹簧片</t>
  </si>
  <si>
    <t>2035</t>
  </si>
  <si>
    <t>1080415020000000000</t>
  </si>
  <si>
    <t>铜弹簧</t>
  </si>
  <si>
    <t>包括磷青铜弹簧、铍铜弹簧、铝青铜弹簧、硅青铜弹簧、黄铜弹簧、德银弹簧、其他铜弹簧</t>
  </si>
  <si>
    <t>2036</t>
  </si>
  <si>
    <t>1080416000000000000</t>
  </si>
  <si>
    <t>锁及其附件</t>
  </si>
  <si>
    <t>包括金属制的锁及带锁的扣环及扣环框架和钥匙</t>
  </si>
  <si>
    <t>2037</t>
  </si>
  <si>
    <t>1080417000000000000</t>
  </si>
  <si>
    <t>家具、建筑用金属附件及架座；金属制建筑装饰及其零件</t>
  </si>
  <si>
    <t>包括用于家具、门窗、箱等的贱金属附件及架座</t>
  </si>
  <si>
    <t>2038</t>
  </si>
  <si>
    <t>1080418010000000000</t>
  </si>
  <si>
    <t>供暖用散热器（暖气片）</t>
  </si>
  <si>
    <t>指集中供暖用散热器；包括非电热的钢铁制集中供暖用散热器及其零件</t>
  </si>
  <si>
    <t>2039</t>
  </si>
  <si>
    <t>1080418020000000000</t>
  </si>
  <si>
    <t>暖气分布器及零件</t>
  </si>
  <si>
    <t>指非电热钢铁制暖气分布器及零件</t>
  </si>
  <si>
    <t>2040</t>
  </si>
  <si>
    <t>1080418990000000000</t>
  </si>
  <si>
    <t>其他散热器及其零件</t>
  </si>
  <si>
    <t>2041</t>
  </si>
  <si>
    <t>1080419010000000000</t>
  </si>
  <si>
    <t>保险箱、柜、库门及钱箱</t>
  </si>
  <si>
    <t>指其壁已装甲（即用高强度合金钢铠装）的或其钢板已用钢筋混凝土等加强的用以保管贵重物品、珠宝首饰、文件等，可防盗防火的钢制容器及保险库的门</t>
  </si>
  <si>
    <t>2042</t>
  </si>
  <si>
    <t>1080419020000000000</t>
  </si>
  <si>
    <t>文件、档案柜</t>
  </si>
  <si>
    <t>指非落地式的文件、档案柜，落地式的文件档案柜（详见108041901）</t>
  </si>
  <si>
    <t>2043</t>
  </si>
  <si>
    <t>1080419030000000000</t>
  </si>
  <si>
    <t>金属制安全帽</t>
  </si>
  <si>
    <t>不包括体育专用头盔（详见106040606）</t>
  </si>
  <si>
    <t>2044</t>
  </si>
  <si>
    <t>1080419990000000000</t>
  </si>
  <si>
    <t>其他安全、消防用金属制品</t>
  </si>
  <si>
    <t>2045</t>
  </si>
  <si>
    <t>1080420000000000000</t>
  </si>
  <si>
    <t>搪瓷制品</t>
  </si>
  <si>
    <t>包括工业生产配套用搪瓷制品、搪瓷洗涤器具、医、疗、卫生用搪瓷制品、搪瓷制厨房用具、搪瓷餐具、搪瓷铸铁制厨房、餐桌用具、其他搪瓷制品</t>
  </si>
  <si>
    <t>2046</t>
  </si>
  <si>
    <t>1080421000000000000</t>
  </si>
  <si>
    <t>金属制卫生器具</t>
  </si>
  <si>
    <t>指供水或接受、排出污水或污物的金属容器或装置。包括便溺用金属卫生器具：如大便器、小便器等；盥洗、淋浴用金属卫生器具：如洗脸盆、淋浴器等；洗涤用卫生器具：如洗涤盆、污水盆等；专用金属卫生器具：如医疗、科学研究实验室等特殊需要的卫生器具</t>
  </si>
  <si>
    <t>2047</t>
  </si>
  <si>
    <t>1080422000000000000</t>
  </si>
  <si>
    <t>金属制烹饪炊具</t>
  </si>
  <si>
    <t>包括钢铝复合底炒锅、煎锅等锅具</t>
  </si>
  <si>
    <t>2048</t>
  </si>
  <si>
    <t>1080423000000000000</t>
  </si>
  <si>
    <t>金属制餐具</t>
  </si>
  <si>
    <t>指以金属或其合金为基本材料制成的食器</t>
  </si>
  <si>
    <t>2049</t>
  </si>
  <si>
    <t>1080424000000000000</t>
  </si>
  <si>
    <t>金属制日用杂品</t>
  </si>
  <si>
    <t>包括金属制烟具及类似制品、金属制缝衣针及类似制品、服装、鞋帽及类似品金属附件、厨房用金属丝绒、擦锅器、非电动金属制铃、钟、锣、铝箔纸制品、金属制普通标牌、奖杯、奖章及类似品、金属制钥匙扣及类似品、其他金属制日用杂品</t>
  </si>
  <si>
    <t>2050</t>
  </si>
  <si>
    <t>1080425000000000000</t>
  </si>
  <si>
    <t>铸币及贵金属制实验室用品</t>
  </si>
  <si>
    <t>包括硬币、工业或实验室用贵金属制品、贵金属或包贵金属制品</t>
  </si>
  <si>
    <t>2051</t>
  </si>
  <si>
    <t>1080426000000000000</t>
  </si>
  <si>
    <t>金属焊接材料</t>
  </si>
  <si>
    <t>包括金属、硬质合金焊接丝、条、管、板及类似品</t>
  </si>
  <si>
    <t>2052</t>
  </si>
  <si>
    <t>1080427000000000000</t>
  </si>
  <si>
    <t>金属链条及零件</t>
  </si>
  <si>
    <t>包括金属链条、金属链零件</t>
  </si>
  <si>
    <t>2053</t>
  </si>
  <si>
    <t>1080499000000000000</t>
  </si>
  <si>
    <t>其他金属制品</t>
  </si>
  <si>
    <t>包括金属真空容器、其他未列明金属制品</t>
  </si>
  <si>
    <t>2054</t>
  </si>
  <si>
    <t>核燃料</t>
  </si>
  <si>
    <t>1080500000000000000</t>
  </si>
  <si>
    <t>2055</t>
  </si>
  <si>
    <t>机械、设备类产品</t>
  </si>
  <si>
    <t>通用设备</t>
  </si>
  <si>
    <t>锅炉及辅助设备</t>
  </si>
  <si>
    <t>1090101010000000000</t>
  </si>
  <si>
    <t>锅炉、辅助设备、零件</t>
  </si>
  <si>
    <t>包括电站锅炉（如：超临界电站锅炉、超超临界电站锅炉、亚临界电站锅炉、超高压电站锅炉、高压电站锅炉、中压电站锅炉、低压电站锅炉）、工业锅炉（如：蒸汽锅炉、热水锅炉、其他蒸汽锅炉）、有机热载体锅炉、船用蒸汽锅炉、锅炉用辅助设备及装置（如：蒸汽冷凝器；节热器、蒸汽收集器、蓄能器、烟垢清除器、气体回收器、泥渣刮除器、空气预热器、其他锅炉用辅助设备；蒸汽锅炉零件、热水锅炉零件、集中供暖用锅炉零件、蒸汽锅炉辅助设备零件）。</t>
  </si>
  <si>
    <t>2056</t>
  </si>
  <si>
    <t>1090101020000000000</t>
  </si>
  <si>
    <t>核反应堆及其零件</t>
  </si>
  <si>
    <t>包括核反应堆；核反应堆零件（如：未辐照相关组件、堆内构件、其他核反应堆零件）。</t>
  </si>
  <si>
    <t>2057</t>
  </si>
  <si>
    <t>发动机</t>
  </si>
  <si>
    <t>1090102010000000000</t>
  </si>
  <si>
    <t>汽车用发动机</t>
  </si>
  <si>
    <t>包括汽车用汽油发动机、汽车用柴油发动机、其他汽车用发动机。</t>
  </si>
  <si>
    <t>2058</t>
  </si>
  <si>
    <t>1090102020000000000</t>
  </si>
  <si>
    <t>航空器用发动机</t>
  </si>
  <si>
    <t>包括飞机、其他航空器、航天器用发动机。</t>
  </si>
  <si>
    <t>2059</t>
  </si>
  <si>
    <t>1090102030000000000</t>
  </si>
  <si>
    <t>船舶用发动机</t>
  </si>
  <si>
    <t>包括船舶用汽油发动机、船舶用柴油发动机。</t>
  </si>
  <si>
    <t>2060</t>
  </si>
  <si>
    <t>1090102040000000000</t>
  </si>
  <si>
    <t>摩托车用发动机</t>
  </si>
  <si>
    <t>包括摩托车用汽油机、摩托车用柴油发动机。</t>
  </si>
  <si>
    <t>2061</t>
  </si>
  <si>
    <t>1090102050000000000</t>
  </si>
  <si>
    <t>农用柴油机</t>
  </si>
  <si>
    <t>指主要配套于农田拖拉机、田间作业机具、农副产品加工机械以及排灌机械，以柴油为燃料的往复式内燃动力机械。</t>
  </si>
  <si>
    <t>2062</t>
  </si>
  <si>
    <t>1090102060000000000</t>
  </si>
  <si>
    <t>发动机零部件</t>
  </si>
  <si>
    <t>主要是指汽油机零件、柴油机零件、涡轮发动机零件、其他发动机零部件。包括活塞、活塞环、活塞销、气缸套、气缸体、气缸盖、气缸垫、进气门、排气门、进气或排气歧管；连杆；轴瓦、化油器、曲轴、凸轮轴、滤清器、发动机起动电机及电动机、发动机冷却水泵及机油泵、增压器及中冷器、喷油泵、油嘴、发动机废气再循环装置、发动机废气后处理装置、电控高压共轨系统、代用内燃机零件和混合动力内燃机零件等。</t>
  </si>
  <si>
    <t>2063</t>
  </si>
  <si>
    <t>1090102990000000000</t>
  </si>
  <si>
    <t>其他发动机</t>
  </si>
  <si>
    <t>2064</t>
  </si>
  <si>
    <t>汽轮燃气轮水轮机</t>
  </si>
  <si>
    <t>1090103010000000000</t>
  </si>
  <si>
    <t>汽轮机</t>
  </si>
  <si>
    <t>包括船舶动力用汽轮机、电站用汽轮机、工业用汽轮机、其他用汽轮机。</t>
  </si>
  <si>
    <t>2065</t>
  </si>
  <si>
    <t>1090103020000000000</t>
  </si>
  <si>
    <t>燃气轮机</t>
  </si>
  <si>
    <t>包括专供工业用的燃气轮机设备，也包括具有其他用途的涡轮喷气发动机、涡轮风扇发动机或涡轮螺桨发动机。</t>
  </si>
  <si>
    <t>2066</t>
  </si>
  <si>
    <t>1090103030000000000</t>
  </si>
  <si>
    <t>水轮机</t>
  </si>
  <si>
    <t>包括水轮机、水轮及辅机。</t>
  </si>
  <si>
    <t>2067</t>
  </si>
  <si>
    <t>1090103040000000000</t>
  </si>
  <si>
    <t>汽轮机、燃气轮机、水轮机零件</t>
  </si>
  <si>
    <t>包括汽轮机转子、定子及其部件；转子轮叶或定子叶片；涡轮轴发动机用零件；燃气轮机的转子、涡轮喷气发动机的零件（定子环、不论是否带叶片；转子圆盘或轮子、不论是否带翅片；叶片及翅片）、燃料供给调节器、燃料喷嘴；水轮机调节器；水轮机及水轮的转子、定子、定子或转子的叶片、螺旋导管的壳套、调节器的阀针。</t>
  </si>
  <si>
    <t>2068</t>
  </si>
  <si>
    <t>非电力相关原动机</t>
  </si>
  <si>
    <t>1090104010000000000</t>
  </si>
  <si>
    <t>潮汐能源原动机</t>
  </si>
  <si>
    <t>指利用潮汐能源产生原动力的机械。</t>
  </si>
  <si>
    <t>2069</t>
  </si>
  <si>
    <t>1090104020000000000</t>
  </si>
  <si>
    <t>风力提水机组</t>
  </si>
  <si>
    <t>不包括风力发电机组（详见109040201）。</t>
  </si>
  <si>
    <t>2070</t>
  </si>
  <si>
    <t>1090104030000000000</t>
  </si>
  <si>
    <t>风力发动机（风车）</t>
  </si>
  <si>
    <t>利用风力驱动的带有可调节的叶片或梯级横木的轮子所产生的能量来运转的机械装置。</t>
  </si>
  <si>
    <t>2071</t>
  </si>
  <si>
    <t>1090104040000000000</t>
  </si>
  <si>
    <t>太阳能源原动机</t>
  </si>
  <si>
    <t>指利用太阳能源产生原动力的机械。</t>
  </si>
  <si>
    <t>2072</t>
  </si>
  <si>
    <t>1090104990000000000</t>
  </si>
  <si>
    <t>其他非电力相关原动机</t>
  </si>
  <si>
    <t>2073</t>
  </si>
  <si>
    <t>机床</t>
  </si>
  <si>
    <t>1090105010000000000</t>
  </si>
  <si>
    <t>组合机床</t>
  </si>
  <si>
    <t>以通用部件为基础，配以按工件特定形状和加工工艺设计的专用部件和夹具、组成的半自动或自动专用机床。</t>
  </si>
  <si>
    <t>2074</t>
  </si>
  <si>
    <t>1090105020000000000</t>
  </si>
  <si>
    <t>特种加工机床</t>
  </si>
  <si>
    <t>包括激光及其他光子束处理机床、超声波加工机床、放电加工机床、干法蚀刻半导体材料加工机床、化学电化学（电解）法加工机床、离子束加工机床、电子束加工机床、快速成形加工机床、高压水射流加工机床、其他特种加工机床。</t>
  </si>
  <si>
    <t>2075</t>
  </si>
  <si>
    <t>1090105030000000000</t>
  </si>
  <si>
    <t>车床</t>
  </si>
  <si>
    <t>指切削金属的车床，包括车床、卧式车床、立式车床、转塔车床、回转车床。</t>
  </si>
  <si>
    <t>2076</t>
  </si>
  <si>
    <t>1090105040000000000</t>
  </si>
  <si>
    <t>钻床</t>
  </si>
  <si>
    <t>指主要用钻头在工件上加工孔的机床。包括立式钻床、龙门式钻床、摇臂钻床、深孔钻床、不包括台钻（详见109010703）。</t>
  </si>
  <si>
    <t>2077</t>
  </si>
  <si>
    <t>1090105050000000000</t>
  </si>
  <si>
    <t>镗床</t>
  </si>
  <si>
    <t>指用镗刀对工件已有的预制孔进行镗削的机床，包括坐标镗床、立式镗床、卧式镗床、落地式铣镗床、龙门式铣镗床、深孔镗床、精镗床。</t>
  </si>
  <si>
    <t>2078</t>
  </si>
  <si>
    <t>1090105060000000000</t>
  </si>
  <si>
    <t>铣床</t>
  </si>
  <si>
    <t>指用铣刀在工件上加工多种表面的机床，包括升降台式铣床、龙门铣床、床身铣床、成形铣床、钻铣床、龙门镗铣床。</t>
  </si>
  <si>
    <t>2079</t>
  </si>
  <si>
    <t>1090105070000000000</t>
  </si>
  <si>
    <t>螺纹加工机床</t>
  </si>
  <si>
    <t>指加工螺纹（包括蜗杆、滚刀等）型面的专门化机床，包括螺纹车床、螺纹铣床。</t>
  </si>
  <si>
    <t>2080</t>
  </si>
  <si>
    <t>1090105080000000000</t>
  </si>
  <si>
    <t>磨床</t>
  </si>
  <si>
    <t>指利用磨具对工件表面进行磨削加工的机床。包括平面磨床、导轨磨床、外圆磨床、内圆磨床、坐标磨床、立式磨床、曲轴、凸轮磨床、轧辊磨床、工具磨床、金属珩磨机床、金属研磨机床，不包括砂轮机（详见109010701）、抛光机（详见109010702）。</t>
  </si>
  <si>
    <t>2081</t>
  </si>
  <si>
    <t>1090105090000000000</t>
  </si>
  <si>
    <t>刨床</t>
  </si>
  <si>
    <t>指用刨刀对工件的平面、沟槽或成形表面进行刨削的直线运动机床。包括龙门刨床。</t>
  </si>
  <si>
    <t>2082</t>
  </si>
  <si>
    <t>1090105100000000000</t>
  </si>
  <si>
    <t>插床</t>
  </si>
  <si>
    <t>指利用插刀的竖直往复运动插削键槽和型孔的机床。</t>
  </si>
  <si>
    <t>2083</t>
  </si>
  <si>
    <t>1090105110000000000</t>
  </si>
  <si>
    <t>拉床</t>
  </si>
  <si>
    <t>指用拉刀作为刀具加工工件通孔、平面和成形表面的机床。</t>
  </si>
  <si>
    <t>2084</t>
  </si>
  <si>
    <t>1090105120000000000</t>
  </si>
  <si>
    <t>齿轮加工机床</t>
  </si>
  <si>
    <t>指加工各种圆柱齿轮、锥齿轮和其他带齿零件齿部的机床。包括滚齿机、插齿机、磨齿机、珩齿机、剃齿机、成形铣齿机、成形磨齿机。</t>
  </si>
  <si>
    <t>2085</t>
  </si>
  <si>
    <t>1090105130000000000</t>
  </si>
  <si>
    <t>锯床</t>
  </si>
  <si>
    <t>包括弓锯床、圆锯床、带锯床、砂轮锯床。</t>
  </si>
  <si>
    <t>2086</t>
  </si>
  <si>
    <t>1090105140000000000</t>
  </si>
  <si>
    <t>直线移动式动力头机床</t>
  </si>
  <si>
    <t>指没有底座，仅配有动力机支架及刀杆，另外配有导轨，以便放置在合适的底座上时可来回移动工件插入独立于直线移动式动力头钻床的工件夹具中，由直线移动式动力头钻床作水平来回移动，进行钻孔、镗削等加工活动的机床。</t>
  </si>
  <si>
    <t>2087</t>
  </si>
  <si>
    <t>1090105990000000000</t>
  </si>
  <si>
    <t>其他金属切削机床</t>
  </si>
  <si>
    <t>2088</t>
  </si>
  <si>
    <t>1090106010000000000</t>
  </si>
  <si>
    <t>锻造机及冲压机</t>
  </si>
  <si>
    <t>包括机械式、液压式或气压式锻锤以及蒸汽锻锤。</t>
  </si>
  <si>
    <t>2089</t>
  </si>
  <si>
    <t>1090106020000000000</t>
  </si>
  <si>
    <t>金属加工压力机</t>
  </si>
  <si>
    <t>包括液压式压力机、机械式压力机、开式机械式压力机、气压式压力机。</t>
  </si>
  <si>
    <t>2090</t>
  </si>
  <si>
    <t>1090106030000000000</t>
  </si>
  <si>
    <t>弯曲、折叠、矫直或矫平机床</t>
  </si>
  <si>
    <t>包括弯曲、折叠、矫直、矫平、矫正机床、其他弯曲、折叠、矫直或矫平机床。</t>
  </si>
  <si>
    <t>2091</t>
  </si>
  <si>
    <t>1090106040000000000</t>
  </si>
  <si>
    <t>剪切机床</t>
  </si>
  <si>
    <t>2092</t>
  </si>
  <si>
    <t>1090106050000000000</t>
  </si>
  <si>
    <t>冲床</t>
  </si>
  <si>
    <t>2093</t>
  </si>
  <si>
    <t>1090106060000000000</t>
  </si>
  <si>
    <t>冲孔机床</t>
  </si>
  <si>
    <t>2094</t>
  </si>
  <si>
    <t>1090106070000000000</t>
  </si>
  <si>
    <t>开槽机床</t>
  </si>
  <si>
    <t>2095</t>
  </si>
  <si>
    <t>1090106990000000000</t>
  </si>
  <si>
    <t>其他金属成形机床</t>
  </si>
  <si>
    <t>包括金属螺纹滚轧机（滚丝机）、旋压螺纹机床、旋压车床、其他未列明金属成形机床；</t>
  </si>
  <si>
    <t>2096</t>
  </si>
  <si>
    <t>1090107010000000000</t>
  </si>
  <si>
    <t>砂轮机</t>
  </si>
  <si>
    <t>指用来刃磨各种刀具、工具的常用设备。</t>
  </si>
  <si>
    <t>2097</t>
  </si>
  <si>
    <t>1090107020000000000</t>
  </si>
  <si>
    <t>抛光机床</t>
  </si>
  <si>
    <t>指用磨石、磨料或抛光材料对金属进行精加工的机床。</t>
  </si>
  <si>
    <t>2098</t>
  </si>
  <si>
    <t>1090107030000000000</t>
  </si>
  <si>
    <t>台钻</t>
  </si>
  <si>
    <t>2099</t>
  </si>
  <si>
    <t>1090107040000000000</t>
  </si>
  <si>
    <t>切断机</t>
  </si>
  <si>
    <t>2100</t>
  </si>
  <si>
    <t>1090107050000000000</t>
  </si>
  <si>
    <t>金属拉拔机</t>
  </si>
  <si>
    <t>包括金属杆、型材、异型材、丝等的拉拔机，不包括管棒材拉拔机、管棒材拉拔机（详见109010705）。</t>
  </si>
  <si>
    <t>2101</t>
  </si>
  <si>
    <t>1090107060000000000</t>
  </si>
  <si>
    <t>金属丝加工机</t>
  </si>
  <si>
    <t>2102</t>
  </si>
  <si>
    <t>1090107070000000000</t>
  </si>
  <si>
    <t>旋锻机</t>
  </si>
  <si>
    <t>2103</t>
  </si>
  <si>
    <t>1090107080000000000</t>
  </si>
  <si>
    <t>软管加工机</t>
  </si>
  <si>
    <t>2104</t>
  </si>
  <si>
    <t>1090107990000000000</t>
  </si>
  <si>
    <t>其他金属非切削、成形加工机械</t>
  </si>
  <si>
    <t>2105</t>
  </si>
  <si>
    <t>1090108010000000000</t>
  </si>
  <si>
    <t>加工中心</t>
  </si>
  <si>
    <t>全部为数控机床，包括加工中心、立式加工中心、卧式加工中心、超重型龙门式加工中心、重型龙门式加工中心、大型龙门式加工中心、中小型龙门式加工中心、其他加工中心。</t>
  </si>
  <si>
    <t>2106</t>
  </si>
  <si>
    <t>1090108020000000000</t>
  </si>
  <si>
    <t>数控金属切削机床</t>
  </si>
  <si>
    <t>本类及下面各个类别均属于金属切削机床及各个类别的其中项，包括数控金属切削机床、数控组合机床、数控特种加工机床、数控激光、相关光子束加工机床、数控超声波加工机床、数控电火花成形加工机床、数控电火花线切割加工机床、数控电火花小孔加工机床、数控相关放电加工机床、数控化学、电化学（电解）加工机床、数控离子束加工机床、数控电子束加工机床、数控快速成形加工机床、数控高压水射流切割机床、其他数控特种加工机床、数控车床、数控超重型卧式车床、数控重型卧式车床、数控大型卧式车床、数控中小型卧式车床、数控超重型立式车床、数控重型立式车床、数控大型立式车床、数控中小型立式车床、数控钻床、数控立式钻床、数控龙门式钻床、数控摇臂钻床、数控深孔钻床、钻削中心、其他数控钻床、数控镗床、数控坐标镗床、数控立式镗床、数控卧式镗床、数控超重型落地式铣镗床、数控重型落地式铣镗床、数控大型落地式铣镗床、其他数控镗床、数控铣床、数控升降台式铣床、数控超重型龙门铣床、数控重型龙门铣床、数控大型龙门铣床、数控床身铣床、数控钻铣床、数控成形铣床、其他数控铣床、数控螺纹加工机床、数控螺纹车床、数控螺纹铣床、数控螺纹磨床、其他数控螺纹加工机床、数控磨床、数控平面磨床、数控导轨磨床、数控外圆磨床、数控内圆磨床、数控坐标磨床、数控成形磨床、数控曲轴、凸轮磨床、数控轧辊磨床、数控工具机床、数控金属珩磨机床、数控金属研磨机床、其他数控磨床、数控刨床、数控龙门刨床、其他数控刨床、数控插床、数控拉床、数控齿轮加工机床、数控超重型滚齿机、数控重型滚齿机、数控大型滚齿机、数控中小型滚齿机、数控插齿机、数控磨齿机、数控珩齿机、数控剃齿机、数控锯床、数控弓锯床、数控圆锯床、数控带锯床、数控砂轮锯床、金属切削机床用零件。</t>
  </si>
  <si>
    <t>2107</t>
  </si>
  <si>
    <t>1090108030000000000</t>
  </si>
  <si>
    <t>数控金属成形机床（数控锻压设备）</t>
  </si>
  <si>
    <t>本类及下面各类别均属于金属成形机床及各类别的其中项，包括数控金属成形机床、数控锻压设备、数控锻造机及冲压机、数控自由锻锤、数控模锻锤、数控自由锻液压机、数控模锻压机、数控多向模锤压机、数控液压挤压机、数控机械式挤压机、数控金属滚压机、数控金属辊锻机、其他数控锻造机及冲压机、数控金属加工压力机、数控重型液压式压力机、数控大型液压式压力机、数控中型液压式压力机、数控小型液压式压力机、数控重型闭式机械式压力机、数控大型闭式机械式压力机、数控中型闭式机械式压力机、数控小型闭式机械式压力机、数控气压式压力机、数控弯曲、折叠、矫直或矫平机床、数控折弯机、数控折叠机、数控矫直机床、数控矫平机、数控矫正机、折叠、矫直或矫平机床、数控剪切机床、数控板带纵剪机床、数控板带横剪机床、数控冲床、数控转塔冲床、高速数控冲床、数控冲孔机床、自动模式数控步冲压力机、数控开槽机床、数控旋压螺纹机床、数控旋压车床、其他数控金属成形机床、金属成形机床用零件。</t>
  </si>
  <si>
    <t>2108</t>
  </si>
  <si>
    <t>1090108040000000000</t>
  </si>
  <si>
    <t>机床数控系统</t>
  </si>
  <si>
    <t>包括机床数控装置、数控机床用伺服驱动单元、数控机床用电机。</t>
  </si>
  <si>
    <t>2109</t>
  </si>
  <si>
    <t>1090109000000000000</t>
  </si>
  <si>
    <t>机床附件及辅助装置</t>
  </si>
  <si>
    <t>包括金属切削机床、金属成形加工机床、其他金属加工机床附件、零件。</t>
  </si>
  <si>
    <t>2110</t>
  </si>
  <si>
    <t>焊接设备</t>
  </si>
  <si>
    <t>1090110010000000000</t>
  </si>
  <si>
    <t>电焊机</t>
  </si>
  <si>
    <t>包括电焊机及装置。</t>
  </si>
  <si>
    <t>2111</t>
  </si>
  <si>
    <t>1090110020000000000</t>
  </si>
  <si>
    <t>气体焊接机械</t>
  </si>
  <si>
    <t>指利用气体焊接金属用的器具包括表面回火机。</t>
  </si>
  <si>
    <t>2112</t>
  </si>
  <si>
    <t>1090110030000000000</t>
  </si>
  <si>
    <t>钎焊机械</t>
  </si>
  <si>
    <t>包括软钎焊、硬钎焊或其他熔焊机械。</t>
  </si>
  <si>
    <t>2113</t>
  </si>
  <si>
    <t>1090110040000000000</t>
  </si>
  <si>
    <t>焊接设备用零件</t>
  </si>
  <si>
    <t>2114</t>
  </si>
  <si>
    <t>小型起重设备</t>
  </si>
  <si>
    <t>1090111010000000000</t>
  </si>
  <si>
    <t>起重滑车</t>
  </si>
  <si>
    <t>指用于起吊物品、带有吊钩、链环或吊环的滑轮组；包括单轮、双轮、三轮及其他多轮滑车等通用滑车及林业滑车等。</t>
  </si>
  <si>
    <t>2115</t>
  </si>
  <si>
    <t>1090111020000000000</t>
  </si>
  <si>
    <t>手动葫芦</t>
  </si>
  <si>
    <t>指由人力通过环链与链轮或板柄驱动链条或钢丝绳，以带动重物升降或运动的起重工具。</t>
  </si>
  <si>
    <t>2116</t>
  </si>
  <si>
    <t>1090111030000000000</t>
  </si>
  <si>
    <t>电动葫芦</t>
  </si>
  <si>
    <t>指由电机或其他动力驱动，通过起升机构卷筒装置或链轮卷放钢丝绳或链条以升降重物的简易起重设备。</t>
  </si>
  <si>
    <t>2117</t>
  </si>
  <si>
    <t>1090111040000000000</t>
  </si>
  <si>
    <t>卷扬机及绞盘</t>
  </si>
  <si>
    <t>指由动力或人力驱动卷筒，通过挠性件起升，运移重物的简易起重装置。</t>
  </si>
  <si>
    <t>2118</t>
  </si>
  <si>
    <t>1090111050000000000</t>
  </si>
  <si>
    <t>千斤顶</t>
  </si>
  <si>
    <t>指利用高压油或机械传动，使刚性承载件在小行程内顶举或提升重物的起重工具。</t>
  </si>
  <si>
    <t>2119</t>
  </si>
  <si>
    <t>1090111060000000000</t>
  </si>
  <si>
    <t>汽车举升机</t>
  </si>
  <si>
    <t>包括液压式汽车举升机、机械式汽车举升机、其他汽车举升机。</t>
  </si>
  <si>
    <t>2120</t>
  </si>
  <si>
    <t>1090111070000000000</t>
  </si>
  <si>
    <t>单轨（猫头）小车</t>
  </si>
  <si>
    <t>指具有2轮或4轮，能带物品或起重葫芦及物品沿悬挂单轨行走的简易小车，与工字梁单轨配套使用，包括手推、手链、电动小车等。</t>
  </si>
  <si>
    <t>2121</t>
  </si>
  <si>
    <t>1090111080000000000</t>
  </si>
  <si>
    <t>其他轻小型起重设备</t>
  </si>
  <si>
    <t>包括举升机车车辆的架车机等。</t>
  </si>
  <si>
    <t>2122</t>
  </si>
  <si>
    <t>1090111090000000000</t>
  </si>
  <si>
    <t>轻小型起重设备配套件</t>
  </si>
  <si>
    <t>指专用配套的附（配）件。</t>
  </si>
  <si>
    <t>2123</t>
  </si>
  <si>
    <t>起重机</t>
  </si>
  <si>
    <t>1090112010000000000</t>
  </si>
  <si>
    <t>桥式起重机</t>
  </si>
  <si>
    <t>指具有桥架结构梁、桥架两端通过行走装置直接支承在高架轨道上，取物装置悬挂在可沿桥架运行的起重小车或起重葫芦上的起重机。</t>
  </si>
  <si>
    <t>2124</t>
  </si>
  <si>
    <t>1090112020000000000</t>
  </si>
  <si>
    <t>门式起重机（龙门起重机）</t>
  </si>
  <si>
    <t>指具有桥架结构梁、桥架两端通过两侧支腿支承在地面轨道或地基上，取物装置悬挂在可沿桥架运行的起重小车或葫芦小车上的桥架型起重机；包括半门式起重机。</t>
  </si>
  <si>
    <t>2125</t>
  </si>
  <si>
    <t>1090112030000000000</t>
  </si>
  <si>
    <t>装卸桥</t>
  </si>
  <si>
    <t>指小车运行及提升速度大、跨度大运行距离长、生产效率高并以抓斗为主的一类门式起重机。</t>
  </si>
  <si>
    <t>2126</t>
  </si>
  <si>
    <t>1090112040000000000</t>
  </si>
  <si>
    <t>缆索起重机</t>
  </si>
  <si>
    <t>2127</t>
  </si>
  <si>
    <t>1090112050000000000</t>
  </si>
  <si>
    <t>门座起重机</t>
  </si>
  <si>
    <t>指具有起重臂架和门型座架结构，取物装置悬挂在臂架顶端，可沿地面轨道运行的可回转的臂架型起重机。</t>
  </si>
  <si>
    <t>2128</t>
  </si>
  <si>
    <t>1090112060000000000</t>
  </si>
  <si>
    <t>塔式起重机</t>
  </si>
  <si>
    <t>指起重臂架安装在垂直塔身顶部，取物装置悬挂在可沿臂架运行的起重小车上的可回转的臂架型起重机。</t>
  </si>
  <si>
    <t>2129</t>
  </si>
  <si>
    <t>1090112070000000000</t>
  </si>
  <si>
    <t>流动式起重机</t>
  </si>
  <si>
    <t>指工作场所经常变换，能在带载或空载情况下沿无轨路面运行，依靠自保持稳定的臂架型起重机。</t>
  </si>
  <si>
    <t>2130</t>
  </si>
  <si>
    <t>1090112080000000000</t>
  </si>
  <si>
    <t>桅杆起重机及甲板起重机</t>
  </si>
  <si>
    <t>包括船舶起重机、船用升降机、电动起货机等。</t>
  </si>
  <si>
    <t>2131</t>
  </si>
  <si>
    <t>1090112090000000000</t>
  </si>
  <si>
    <t>悬臂起重机</t>
  </si>
  <si>
    <t>包括柱式臂架起重机、壁上起重机、平衡起重机、其他悬臂起重机。</t>
  </si>
  <si>
    <t>2132</t>
  </si>
  <si>
    <t>1090112100000000000</t>
  </si>
  <si>
    <t>移动式吊运架</t>
  </si>
  <si>
    <t>包括胶轮移动式吊运架、其他移动式吊运架。</t>
  </si>
  <si>
    <t>2133</t>
  </si>
  <si>
    <t>1090112110000000000</t>
  </si>
  <si>
    <t>铁路起重机</t>
  </si>
  <si>
    <t>2134</t>
  </si>
  <si>
    <t>1090112120000000000</t>
  </si>
  <si>
    <t>浮式起重机</t>
  </si>
  <si>
    <t>指安装在专用的船体或囤船上的固定式起重机。</t>
  </si>
  <si>
    <t>2135</t>
  </si>
  <si>
    <t>1090112130000000000</t>
  </si>
  <si>
    <t>其他起重机</t>
  </si>
  <si>
    <t>包括浮式起重机（自航、非自航、驳船式等）、铁路起重机等。</t>
  </si>
  <si>
    <t>2136</t>
  </si>
  <si>
    <t>1090112140000000000</t>
  </si>
  <si>
    <t>起重机专用配套件</t>
  </si>
  <si>
    <t>指专用配套附（配）件，包括抓斗、吊具、索具、夹轨器、缓冲器等。</t>
  </si>
  <si>
    <t>2137</t>
  </si>
  <si>
    <t>工业车辆</t>
  </si>
  <si>
    <t>1090113010000000000</t>
  </si>
  <si>
    <t>电动（起升）车辆</t>
  </si>
  <si>
    <t>指采用货叉或其他取物装置，以高能蓄电池作动力，对成件货物进行装卸、堆垛、短距离搬运作业的无轨起升车辆，俗称电动叉车。</t>
  </si>
  <si>
    <t>2138</t>
  </si>
  <si>
    <t>1090113020000000000</t>
  </si>
  <si>
    <t>内燃叉车</t>
  </si>
  <si>
    <t>指采用货叉或其他属具，以内燃机作动力，对成件货物进行装卸、堆垛、短距离搬运作业的无轨高起升车辆。</t>
  </si>
  <si>
    <t>2139</t>
  </si>
  <si>
    <t>1090113030000000000</t>
  </si>
  <si>
    <t>越野叉车</t>
  </si>
  <si>
    <t>指在机场、码头、车站等路况条件较差的物资集散地装卸物资的设备。</t>
  </si>
  <si>
    <t>2140</t>
  </si>
  <si>
    <t>1090113040000000000</t>
  </si>
  <si>
    <t>其他工业车辆</t>
  </si>
  <si>
    <t>2141</t>
  </si>
  <si>
    <t>1090113050000000000</t>
  </si>
  <si>
    <t>工业车辆专用配套件</t>
  </si>
  <si>
    <t>指专用配套附（配）件，包括专用夹具、货叉、托盘等。</t>
  </si>
  <si>
    <t>2142</t>
  </si>
  <si>
    <t>搬运设备</t>
  </si>
  <si>
    <t>1090114010000000000</t>
  </si>
  <si>
    <t>输送机械（输送机和提升机）</t>
  </si>
  <si>
    <t>指在同一方向上，连续或间断地沿预定的线路上输送散状物料和成件物品的搬运设备。</t>
  </si>
  <si>
    <t>2143</t>
  </si>
  <si>
    <t>1090114020000000000</t>
  </si>
  <si>
    <t>装卸机械</t>
  </si>
  <si>
    <t>指具有自行装卸功能或具有转载装置和连续装卸功能、，能按照规定线路连续或间歇装卸作业的搬运设备。</t>
  </si>
  <si>
    <t>2144</t>
  </si>
  <si>
    <t>1090114030000000000</t>
  </si>
  <si>
    <t>给料机械</t>
  </si>
  <si>
    <t>指将物料由储料装置输送到受料装置中，并可控制物料输送速度和流量的机械设备。</t>
  </si>
  <si>
    <t>2145</t>
  </si>
  <si>
    <t>1090114990000000000</t>
  </si>
  <si>
    <t>其他连续搬运设备</t>
  </si>
  <si>
    <t>2146</t>
  </si>
  <si>
    <t>1090115010000000000</t>
  </si>
  <si>
    <t>电梯</t>
  </si>
  <si>
    <t>指靠电力拖动（或液压缸顶举），使轿厢沿垂直导轨升降，在规定的楼层间运送人和货物的固定提升设备。</t>
  </si>
  <si>
    <t>2147</t>
  </si>
  <si>
    <t>1090115020000000000</t>
  </si>
  <si>
    <t>自动扶梯等连续运载乘客输送机</t>
  </si>
  <si>
    <t>包括自动扶梯、自动人行道、其他连续运载乘客输送机。</t>
  </si>
  <si>
    <t>2148</t>
  </si>
  <si>
    <t>1090115030000000000</t>
  </si>
  <si>
    <t>升降机</t>
  </si>
  <si>
    <t>是指重物或取物装置只能沿导轨升降的设备。</t>
  </si>
  <si>
    <t>2149</t>
  </si>
  <si>
    <t>1090115040000000000</t>
  </si>
  <si>
    <t>电梯自动扶梯及升降机专用配套件</t>
  </si>
  <si>
    <t>指专用配套附（配）件。</t>
  </si>
  <si>
    <t>2150</t>
  </si>
  <si>
    <t>1090116010000000000</t>
  </si>
  <si>
    <t>立体（高架）仓库存储系统</t>
  </si>
  <si>
    <t>包括有轨巷道堆垛机、有轨巷道堆垛机转移机、穿梭车、自动拣选机、立体仓库循环货架系统、其他立体仓库存储系统。</t>
  </si>
  <si>
    <t>2151</t>
  </si>
  <si>
    <t>1090116020000000000</t>
  </si>
  <si>
    <t>仓储货物堆放架</t>
  </si>
  <si>
    <t>包括钢铁制仓储用货架、铝制仓储用货架、锌制货架、其他仓储货物堆放架。</t>
  </si>
  <si>
    <t>2152</t>
  </si>
  <si>
    <t>1090116030000000000</t>
  </si>
  <si>
    <t>灌装码垛系统搬运设备</t>
  </si>
  <si>
    <t>包括灌装码垛系统专用输送设备、码包、堆包设备等。</t>
  </si>
  <si>
    <t>2153</t>
  </si>
  <si>
    <t>1090116040000000000</t>
  </si>
  <si>
    <t>机械式停车设备</t>
  </si>
  <si>
    <t>包括升降横移类停车设备、平面移动类停车设备、简易升降类停车设备、垂直循环类停车设备、水平循环类停车设备、巷道堆垛类停车设备、其他机械式停车设备。</t>
  </si>
  <si>
    <t>2154</t>
  </si>
  <si>
    <t>1090116050000000000</t>
  </si>
  <si>
    <t>机场专用搬运机械</t>
  </si>
  <si>
    <t>包括旅客登机桥、行李传送设备、飞机牵引车、机场集装箱（板）升降平台车、机场集装箱（板）搬运车、其他机场专用搬运机械、其他机械式停车设备。</t>
  </si>
  <si>
    <t>2155</t>
  </si>
  <si>
    <t>1090116060000000000</t>
  </si>
  <si>
    <t>搬运机械及装置</t>
  </si>
  <si>
    <t>包括矿车推动机、货车倾卸装置、铁路货车推车器、电动平车、薄气垫搬运设备（装置）、舞台机械化搬运设备、其他搬运机械及装置。</t>
  </si>
  <si>
    <t>2156</t>
  </si>
  <si>
    <t>1090116070000000000</t>
  </si>
  <si>
    <t>其他相关物料搬运设备</t>
  </si>
  <si>
    <t>2157</t>
  </si>
  <si>
    <t>1090116080000000000</t>
  </si>
  <si>
    <t>立体仓储及物料搬运设备专用配套件</t>
  </si>
  <si>
    <t>2158</t>
  </si>
  <si>
    <t>泵</t>
  </si>
  <si>
    <t>1090117010000000000</t>
  </si>
  <si>
    <t>指是输送液体或使液体增压的机械，不包括液压泵（详见1090120010000）、农用水泵（详见1090117020000）。</t>
  </si>
  <si>
    <t>2159</t>
  </si>
  <si>
    <t>1090117020000000000</t>
  </si>
  <si>
    <t>农用水泵</t>
  </si>
  <si>
    <t>指主要用于农业生产的水泵，包括农村水井用泵、农田作业面潜水泵、农用轻便离心泵、与喷灌机配套的喷灌自吸泵。</t>
  </si>
  <si>
    <t>2160</t>
  </si>
  <si>
    <t>1090117030000000000</t>
  </si>
  <si>
    <t>液体提升机</t>
  </si>
  <si>
    <t>包括升运鼓轮、链式或缆式提升机、带式提升机、阿基米德螺旋式提升机、其他液体提升机。</t>
  </si>
  <si>
    <t>2161</t>
  </si>
  <si>
    <t>1090117040000000000</t>
  </si>
  <si>
    <t>泵、液体提升机零件</t>
  </si>
  <si>
    <t>包括泵零件、液体提升机零件、液体泵零件、液体提升机零件、空气泵和真空泵零件。</t>
  </si>
  <si>
    <t>2162</t>
  </si>
  <si>
    <t>气体压缩机</t>
  </si>
  <si>
    <t>1090118000000000000</t>
  </si>
  <si>
    <t>包括制冷设备用压缩机（空调压缩机、冰箱压缩机、车用空调压缩机、其他制冷设备用压缩机）；非制冷设备用压缩机（容积式压缩机、回转式压缩机、速度式压缩机、其他非制冷设备用压缩机）；气体压缩机零件。</t>
  </si>
  <si>
    <t>2163</t>
  </si>
  <si>
    <t>阀门龙头</t>
  </si>
  <si>
    <t>1090119010000000000</t>
  </si>
  <si>
    <t>阀门</t>
  </si>
  <si>
    <t>包括普通阀门中的闸阀、截止阀、止回阀、蝶阀、球阀、安全阀、旋塞阀、隔膜阀、疏水阀、节流阀、减压阀、自动阻止气体倒流的阀门、高温高压截止阀、接头针形截止阀、内丝口针形截止阀、其他普通阀门、真空阀门中的蝶阀类、球阀类、挡板阀、翻板阀、电磁压差阀、充气阀类、微调阀类、隔膜阀类、角座阀类、管道阀类、其他真空阀门，不包括液压阀（详见109012001）。</t>
  </si>
  <si>
    <t>2164</t>
  </si>
  <si>
    <t>1090119020000000000</t>
  </si>
  <si>
    <t>龙头</t>
  </si>
  <si>
    <t>包括水龙头（水嘴）、单柄单控水嘴、冷热水混合水嘴、散热器放水龙头、润滑油龙头、带有软管或伸缩套管的润滑油龙头、用以润滑轮船的轴、罐瓶机用龙头、其他龙头。</t>
  </si>
  <si>
    <t>2165</t>
  </si>
  <si>
    <t>1090119030000000000</t>
  </si>
  <si>
    <t>阀门、龙头零件</t>
  </si>
  <si>
    <t>各类用于阀门和龙头的零配件。</t>
  </si>
  <si>
    <t>2166</t>
  </si>
  <si>
    <t>液压元件</t>
  </si>
  <si>
    <t>1090120010000000000</t>
  </si>
  <si>
    <t>包括液压泵、齿轮式液压泵、叶片式液压泵、轴向柱塞泵、径向柱塞泵、螺杆式液压泵、液压马达、齿轮马达、叶片马达、柱塞马达、摆动马达、低速大扭矩马达、液压阀、方向阀、压力阀、流量阀、比例阀、伺服阀、多路阀、插装阀、叠加阀、液压缸、高压重型液压缸、车辆工程系列液压缸、拉杆式液压缸、回转液压缸、摆动液压缸。</t>
  </si>
  <si>
    <t>2167</t>
  </si>
  <si>
    <t>1090120020000000000</t>
  </si>
  <si>
    <t>液压系统及装置</t>
  </si>
  <si>
    <t>指用液压技术实现的满足主机需要的动力传输或控制的系统，包括整体静液压传动装置、液压泵站、其他液压系统装置（包括机动船只用的喷水推进器（水力机））。</t>
  </si>
  <si>
    <t>2168</t>
  </si>
  <si>
    <t>1090120030000000000</t>
  </si>
  <si>
    <t>液压辅件</t>
  </si>
  <si>
    <t>包括液压蓄能器、冷却器、吸油系列过滤器、磁性系列过滤器、压力管路过滤器、回油系列过滤器、双筒系列过滤器、液压管件、油箱辅件。</t>
  </si>
  <si>
    <t>2169</t>
  </si>
  <si>
    <t>1090120040000000000</t>
  </si>
  <si>
    <t>液力机械及装置</t>
  </si>
  <si>
    <t>指将流体动能转换为机械能的装置，包括液力变矩器、向心涡轮定轴式、内分流双涡轮、向心涡轮三项、单向轴流式涡轮、单向向心涡轮、液力耦合器、调速型、限矩型、传动装置、液粘调速、调速机组、液粘离合器、其他液力机械及装置。</t>
  </si>
  <si>
    <t>2170</t>
  </si>
  <si>
    <t>气动元件</t>
  </si>
  <si>
    <t>1090121010000000000</t>
  </si>
  <si>
    <t>指使用受压的空气作为介质来进行能量转换、传递、控制和分配的元件，包括气动执行元件、气缸、气马达、管道式气动阀、管道式气动调节阀、气动控制元件（气阀）、方向控制阀、压力控制阀、流量控制阀、气源处理元件、二、三联件、油雾器（气动元件）、过滤器（气动元件）、干燥器（气动元件）、消声器（气动元件）。</t>
  </si>
  <si>
    <t>2171</t>
  </si>
  <si>
    <t>1090121020000000000</t>
  </si>
  <si>
    <t>气动系统及机械</t>
  </si>
  <si>
    <t>由气动动力源（包括气源处理元件）、气动控制元件、气动执行元件及所需的管道组成，完成工作机构的动作，包括气动系统和气动机械。</t>
  </si>
  <si>
    <t>2172</t>
  </si>
  <si>
    <t>1090121030000000000</t>
  </si>
  <si>
    <t>气动电磁线圈、气动管件系列</t>
  </si>
  <si>
    <t>用以气阀的电磁铁线圈以及气动管路用管接头、管夹、塑料管等，包括气动电磁线圈、气动管接头及管路。</t>
  </si>
  <si>
    <t>2173</t>
  </si>
  <si>
    <t>1090121990000000000</t>
  </si>
  <si>
    <t>其他气动装置</t>
  </si>
  <si>
    <t>2174</t>
  </si>
  <si>
    <t>真空应用设备</t>
  </si>
  <si>
    <t>1090122010000000000</t>
  </si>
  <si>
    <t>真空镀膜设备</t>
  </si>
  <si>
    <t>包括真空卷绕镀膜机、光学镀膜机、太阳能镀膜设备、其他真空镀膜设备。</t>
  </si>
  <si>
    <t>2175</t>
  </si>
  <si>
    <t>1090122020000000000</t>
  </si>
  <si>
    <t>真空浸渍设备</t>
  </si>
  <si>
    <t>包括其他真空浸渍设备、真空压力浸渍设备。</t>
  </si>
  <si>
    <t>2176</t>
  </si>
  <si>
    <t>1090122030000000000</t>
  </si>
  <si>
    <t>真空干燥设备</t>
  </si>
  <si>
    <t>包括真空耙式干燥机、双锥真空回转干燥机、真空冷冻干燥机、真空热风干燥设备、倾斜式真空干燥机、圆筒式真空干燥器、回转真空干燥机、其他真空干燥设备。</t>
  </si>
  <si>
    <t>2177</t>
  </si>
  <si>
    <t>1090122040000000000</t>
  </si>
  <si>
    <t>真空炉</t>
  </si>
  <si>
    <t>包括真空充氮退火炉、真空热处理炉、真空烧结炉、高温真空钎焊炉、真空熔炼炉、其他真空炉。</t>
  </si>
  <si>
    <t>2178</t>
  </si>
  <si>
    <t>1090122990000000000</t>
  </si>
  <si>
    <t>其他真空应用设备</t>
  </si>
  <si>
    <t>2179</t>
  </si>
  <si>
    <t>轴承</t>
  </si>
  <si>
    <t>1090123010000000000</t>
  </si>
  <si>
    <t>滚动轴承</t>
  </si>
  <si>
    <t>包括球轴承、深沟球轴承、调心球轴承、角接触球轴承、推力球轴承、滚子轴承、锥形滚子轴承、调心滚子轴承、滚针轴承、圆柱滚子轴承、带座外球面球轴承、组合轴承、直线运动轴承、关节轴承、转盘轴承、回转支承、其他滚动轴承。</t>
  </si>
  <si>
    <t>2180</t>
  </si>
  <si>
    <t>1090123020000000000</t>
  </si>
  <si>
    <t>滑动轴承</t>
  </si>
  <si>
    <t>包括未装配轴承座滑动轴承、已装配轴承座滑动轴承、其他滑动轴承。</t>
  </si>
  <si>
    <t>2181</t>
  </si>
  <si>
    <t>1090123030000000000</t>
  </si>
  <si>
    <t>轴承零配件</t>
  </si>
  <si>
    <t>包括钢球、滚珠、滚针、滚子、轴承保持器、轴承座、其他轴承零件（包括环（套圈）、定位圈、紧定套、固定座套等）。</t>
  </si>
  <si>
    <t>2182</t>
  </si>
  <si>
    <t>齿轮</t>
  </si>
  <si>
    <t>1090124010000000000</t>
  </si>
  <si>
    <t>齿轮传动轴</t>
  </si>
  <si>
    <t>包括齿轮传动轴、船舶用传动轴、曲柄及曲柄轴、活动关节轴、挠性轴、凸轮轴及偏心轴、副轴、其他齿轮传动轴。</t>
  </si>
  <si>
    <t>2183</t>
  </si>
  <si>
    <t>1090124020000000000</t>
  </si>
  <si>
    <t>包括圆柱齿轮、锥齿轮、非圆齿轮、齿条、差动齿轮、其他齿轮、其他粉末冶金齿轮、其他塑料齿轮、其他未列明齿轮。</t>
  </si>
  <si>
    <t>2184</t>
  </si>
  <si>
    <t>1090124030000000000</t>
  </si>
  <si>
    <t>齿轮传动装置（齿轮箱）</t>
  </si>
  <si>
    <t>指用于传递动力和转速，由齿轮传动件组成的传动装置，也称齿轮箱；主要包括齿轮减速机及变速箱。</t>
  </si>
  <si>
    <t>2185</t>
  </si>
  <si>
    <t>1090124040000000000</t>
  </si>
  <si>
    <t>滚珠、滚子螺杆及传动装置</t>
  </si>
  <si>
    <t>包括滚珠、滚子螺杆及传动装置、滚子螺杆传动轴、滚珠螺杆传动装置、摩擦圆盘联轴节、摩擦锥体联轴节、其他滚珠、滚子螺杆及传动装置。</t>
  </si>
  <si>
    <t>2186</t>
  </si>
  <si>
    <t>1090124050000000000</t>
  </si>
  <si>
    <t>飞轮及滑轮</t>
  </si>
  <si>
    <t>包括飞轮、滑轮、滑轮组。</t>
  </si>
  <si>
    <t>2187</t>
  </si>
  <si>
    <t>1090124060000000000</t>
  </si>
  <si>
    <t>离合器</t>
  </si>
  <si>
    <t>包括摩擦离合器、犬牙式（爪形）离合器、自动离心离合器、压缩空气离合器、液压离合器、超越离合器、其他离合器，不包括液粘离合器（详见109012004）。</t>
  </si>
  <si>
    <t>2188</t>
  </si>
  <si>
    <t>1090124070000000000</t>
  </si>
  <si>
    <t>联轴器</t>
  </si>
  <si>
    <t>包括套管联轴器、凸轮联轴器、挠性联轴器、液压联轴器、万向联轴器、其他联轴器。</t>
  </si>
  <si>
    <t>2189</t>
  </si>
  <si>
    <t>1090124080000000000</t>
  </si>
  <si>
    <t>齿轮、传动和驱动部件零件</t>
  </si>
  <si>
    <t>指各类用于齿轮、传动和驱动部件零配件。</t>
  </si>
  <si>
    <t>2190</t>
  </si>
  <si>
    <t>密封垫</t>
  </si>
  <si>
    <t>1090125000000000000</t>
  </si>
  <si>
    <t>密封垫及类似接合衬垫</t>
  </si>
  <si>
    <t>指用金属、非金属材料或金属片与其他材料复合制成的密封垫或类似接合衬垫，用于静连接部位的密封，由相对运动的并与旋转轴垂直的组成多组摩擦副，借机械力与介质压力产生密封作用的密封装置，其摩擦副可以是金属、石墨、陶瓷等各种材料，包括金属密封件、金属密封垫、多层金属片制密封垫、其他金属密封件、机械密封件、滑动密封环、弹簧密封环、其他机械密封件、其他密封垫及类似接合衬垫。</t>
  </si>
  <si>
    <t>2191</t>
  </si>
  <si>
    <t>窑炉电炉</t>
  </si>
  <si>
    <t>1090126010000000000</t>
  </si>
  <si>
    <t>炉用燃烧器</t>
  </si>
  <si>
    <t>指供各种液体、气体、煤粉、混合燃料燃烧的炉用燃烧器，包括重油燃烧器（雾化燃烧器）、油燃烧器、气体燃烧器、天然气燃烧器、煤气燃烧器、其他气体燃烧器、煤粉燃烧器、油气混合燃烧器、其他炉用燃烧器。</t>
  </si>
  <si>
    <t>2192</t>
  </si>
  <si>
    <t>1090126020000000000</t>
  </si>
  <si>
    <t>机械加煤机</t>
  </si>
  <si>
    <t>包括给煤机、机械炉篦（机械筛）、机械吹灰器、自动出渣器、其他机械加煤机。</t>
  </si>
  <si>
    <t>2193</t>
  </si>
  <si>
    <t>1090126030000000000</t>
  </si>
  <si>
    <t>工业电炉</t>
  </si>
  <si>
    <t>包括工业或实验室用电炉及电烘箱等加热设备。</t>
  </si>
  <si>
    <t>2194</t>
  </si>
  <si>
    <t>1090126040000000000</t>
  </si>
  <si>
    <t>非电热金属处理用炉</t>
  </si>
  <si>
    <t>指燃气或煤的矿砂或金属热处理用炉。</t>
  </si>
  <si>
    <t>2195</t>
  </si>
  <si>
    <t>1090126050000000000</t>
  </si>
  <si>
    <t>其他电炉</t>
  </si>
  <si>
    <t>2196</t>
  </si>
  <si>
    <t>1090126060000000000</t>
  </si>
  <si>
    <t>窑炉</t>
  </si>
  <si>
    <t>包括辊道窑、电热辊道窑、非电热辊道窑、隧道窑、电热隧道窑、非电热隧道窑、梭式窑、电热梭式窑、非电热梭式窑、推板窑、电推板窑炉、非电推板窑、保护气氛窑炉、电热保护气氛窑、非电热保护气氛窑炉、氮化窑、电热氮化窑、非电热氮化窑、烧成窑炉、电子陶瓷烧成窑炉、纳米材料烧成窑、其他烧成窑炉、电热全辊道窑、电热全自控催化剂辊道窑、燃气、煤辊道窑、高温推板式隧道电窑等、稀土隧道窑、铁粉还原隧道窑、空心砖烧成隧道窑、西式瓦烧成隧道窑、微晶玻璃晶化隧道窑、卫生洁具装配式隧道窑、空心砖干燥隧道窑等、卫生瓷重烧梭式窑、卫生瓷本烧梭式窑、耐火材料梭式窑、高压电瓷梭式窑、微晶玻璃板材梭式窑、纳米材料梭式窑、日用、美术、化工色料梭式窑等、隧道电推板窑、磁性材料烧结隧道式推板电窑、化工粉末煅烧隧道推板电炉、煅烧稀土材料隧道推板电窑、氢氮保护钼棒加热推板电窑等、氮气保护推板窑炉、氮气保护推板电隧道窑、纯氧保护气氛推板窑、钴酸锂电池材料双孔推板窑、多温区多点补氧工艺隧道式推板窑、氢还原窑炉、全自控高温氮化窑。</t>
  </si>
  <si>
    <t>2197</t>
  </si>
  <si>
    <t>1090126070000000000</t>
  </si>
  <si>
    <t>熔炉</t>
  </si>
  <si>
    <t>指烘烤干燥炉。</t>
  </si>
  <si>
    <t>2198</t>
  </si>
  <si>
    <t>1090126080000000000</t>
  </si>
  <si>
    <t>窑炉、熔炉及电炉用零件</t>
  </si>
  <si>
    <t>包括炉用燃烧器、机械加煤机零件、工业电炉及电烘箱零件、非电热炉及烘箱零件。</t>
  </si>
  <si>
    <t>2199</t>
  </si>
  <si>
    <t>风机风扇</t>
  </si>
  <si>
    <t>1090127010000000000</t>
  </si>
  <si>
    <t>风机</t>
  </si>
  <si>
    <t>包括纺织专用风机、防爆风机、离心式通风机、电站锅炉鼓引风机、锅炉用通风机（离心式）、通风换气用通风机（离心式）、工业炉用通风机（离心式）、矿井用风机（离心式）、煤粉用通风机（离心式）、高温风机（离心式）、空调风机（离心式）、消防风机（离心式）、烟草风机（离心式）、粮食风机（离心式）、船用风机（离心式）、排尘风机（离心式）、屋顶风机（离心式）、其他离心通风机、贯流通风机、轴流式通风机、锅炉用通风机（轴流式）、通风换气用通风机（轴流式）、工业炉用通风机（轴流式）、矿井用风机（轴流式）、煤粉用通风机（轴流式）、高温风机（轴流式）、空调风机（轴流式）、消防风机（轴流式）、烟草风机（轴流式）、粮食风机（轴流式）、船用风机（轴流式）、排尘风机（轴流式）、屋顶风机（轴流式）、纺织风机（轴流式）、其他轴流通风机、横流式通风机、混流式通风机、鼓风机、离心、轴流鼓风机、罗茨鼓风机、叶氏鼓风机、造气鼓风机、螺杆式鼓风机、其他鼓风机、其他风机。</t>
  </si>
  <si>
    <t>2200</t>
  </si>
  <si>
    <t>1090127020000000000</t>
  </si>
  <si>
    <t>工业风扇</t>
  </si>
  <si>
    <t>包括工业吊扇、工业换气扇、工业壁扇、工业用排气风扇、工业用排风扇（功率≤5W）、百叶排气风扇、机器和仪器（如计算机）等设备用排风扇、农牧风机（扇）、其他工业用排气风扇、其他工业风扇，不包括5W＜功率≤125W的家用和类似用途电风扇（详见109041601）。</t>
  </si>
  <si>
    <t>2201</t>
  </si>
  <si>
    <t>1090127030000000000</t>
  </si>
  <si>
    <t>工业用通风罩、循环气罩</t>
  </si>
  <si>
    <t>包括循环气罩、自由活塞式发生器、通风罩、循环气罩。</t>
  </si>
  <si>
    <t>2202</t>
  </si>
  <si>
    <t>1090127040000000000</t>
  </si>
  <si>
    <t>风机、工业风扇用零件</t>
  </si>
  <si>
    <t>指各类用于风机、工业风扇的零配件。</t>
  </si>
  <si>
    <t>2203</t>
  </si>
  <si>
    <t>1090128010000000000</t>
  </si>
  <si>
    <t>气体发生器</t>
  </si>
  <si>
    <t>包括发生炉煤气发生器、水煤气发生器、水解乙炔气体发生器、氧气发生器、氢气发生器、氮气发生器、空气发生器、乙烯发生器、其他气体发生器。</t>
  </si>
  <si>
    <t>2204</t>
  </si>
  <si>
    <t>1090128020000000000</t>
  </si>
  <si>
    <t>制氮设备</t>
  </si>
  <si>
    <t>包括深冷法制氮设备、变压吸附制氮设备、膜分离制氮设备、其他制氮设备</t>
  </si>
  <si>
    <t>2205</t>
  </si>
  <si>
    <t>1090128030000000000</t>
  </si>
  <si>
    <t>制氢设备</t>
  </si>
  <si>
    <t>包括水电解制氢设备、甲醇重整制氢设备、氨分解制氢设备、其他制氢设备。</t>
  </si>
  <si>
    <t>2206</t>
  </si>
  <si>
    <t>1090128040000000000</t>
  </si>
  <si>
    <t>制氧设备</t>
  </si>
  <si>
    <t>指制氧机，包括深冷法制氧设备、变压吸附制氧设备、膜分离制氧设备、其他制氧设备。</t>
  </si>
  <si>
    <t>2207</t>
  </si>
  <si>
    <t>1090128050000000000</t>
  </si>
  <si>
    <t>稀有气体提取设备</t>
  </si>
  <si>
    <t>指主要产品不是稀有气体的设备不列入此。</t>
  </si>
  <si>
    <t>2208</t>
  </si>
  <si>
    <t>1090128060000000000</t>
  </si>
  <si>
    <t>气体纯化设备</t>
  </si>
  <si>
    <t>指适用于含氧量≤3%的氮气、氢气、一氧化碳、二氧化碳、甲烷和惰性气体纯化，包括氢气提纯装置、加氢脱氧纯化装置、其他气体纯化设备。</t>
  </si>
  <si>
    <t>2209</t>
  </si>
  <si>
    <t>1090128070000000000</t>
  </si>
  <si>
    <t>气体液化设备</t>
  </si>
  <si>
    <t>包括天然气液化设备、氧液化设备、氮液化设备、氩液化设备、煤气液化设备、其他气体液化设备。</t>
  </si>
  <si>
    <t>2210</t>
  </si>
  <si>
    <t>1090128990000000000</t>
  </si>
  <si>
    <t>其他气体分离及液化设备</t>
  </si>
  <si>
    <t>2211</t>
  </si>
  <si>
    <t>1090129010000000000</t>
  </si>
  <si>
    <t>蒸馏或精馏设备</t>
  </si>
  <si>
    <t>包括制药用蒸馏水机、提净塔、粗馏塔、泡罩式粗馏塔、其他粗馏塔、精馏塔、斜孔板式精馏塔、釜式精镏塔、玻璃降膜再沸式精馏塔、高真空蒸馏塔、分子蒸馏设备、其他精馏塔、酒精回收设备、甲醇回收塔、酒精回收塔、多功能酒精回收器、废酒精回收系统、其他酒精回收设备、水洗塔、蒸馏锅、蒸馏釜、油酸蒸馏装置、挥发油提取器、填料式回收塔和列管式换热器、其他蒸馏或精馏设备。</t>
  </si>
  <si>
    <t>2212</t>
  </si>
  <si>
    <t>1090129020000000000</t>
  </si>
  <si>
    <t>发酵、提取设备</t>
  </si>
  <si>
    <t>包括发酵设备、普通罐型发酵设备、伍式罐型发酵设备、自吸式罐型发酵设备、锥型发酵设备、其他发酵设备、提取罐、多功能提取罐、动态提取罐、其他提取罐、物料罐（主要用于生化发酵生产、如生产味精、柠檬酸、酶制剂、甘油、制药、食品等行业）、其他发酵、提取设备。</t>
  </si>
  <si>
    <t>2213</t>
  </si>
  <si>
    <t>1090129030000000000</t>
  </si>
  <si>
    <t>浓缩设备</t>
  </si>
  <si>
    <t>包括污水处理用蒸发装置、蒸发器、真空蒸发器、薄膜蒸发器、氨蒸发器、旋转蒸发器、悬框式蒸发器、螺旋管蒸发器、其他蒸发器、浓缩机（罐）、真空减压浓缩罐、外循环浓缩锅、动态热回流提取浓缩机、真空浓缩器、其他浓缩机（罐）、结晶设备、套管结晶机、结晶釜、其他结晶设备、冻干设备、多功能真空冻干设备、其他冻干设备、外加热式真空蒸发器、离心式刮板薄膜蒸发器、刮膜式薄膜蒸发器、三效节能外循换环真空浓缩器、其他浓缩设备</t>
  </si>
  <si>
    <t>2214</t>
  </si>
  <si>
    <t>1090129040000000000</t>
  </si>
  <si>
    <t>干燥、分散、混合设备及类似设备</t>
  </si>
  <si>
    <t>包括干燥设备、流化床干燥设备、喷雾干燥设备、气流干燥设备、桨叶式干燥设备、盘式干燥设备、耙式干燥设备、厢式和带式干燥设备、回转干燥设备、转鼓干燥设备、太阳能干燥、微波干燥设备、远红外干燥设备、造粒设备、煅烧设备、蒸汽回转干燥机、流态化煅烧机、组合干燥设备、管束式干燥机、旋转闪蒸干燥机、其他干燥设备、均质乳化设备、真空均质乳化成套设备、真空均质乳化锅、高剪切混合乳化机、其他均质乳化设备、分散、混合设备、GF系列分散机、调速分散机、高速分散机、臂式非对称双螺锥形混合机、ZKH-V型混合机、其他分散、混合设备。</t>
  </si>
  <si>
    <t>2215</t>
  </si>
  <si>
    <t>1090129050000000000</t>
  </si>
  <si>
    <t>热交换装置</t>
  </si>
  <si>
    <t>包括浮头列管式换热器、石墨制浮头列管式换热器、其他浮头列管式换热器、重整换热器、加氢换热器、螺纹锁紧环式加氢换热器、其他加氢换热器、圆块孔式换热器、石墨制圆块孔式换热器、其他圆块孔式换热器、矩形块孔式换热器、石墨制矩形块孔式换热器、其他矩形块孔式换热器、螺旋板式换热器、淋洒式换热器、套筒式换热器、碟片式换热器、列管式再沸器、石墨制浮头列管式再沸器、其他列管式再沸器、其他热交换装置。</t>
  </si>
  <si>
    <t>2216</t>
  </si>
  <si>
    <t>1090129060000000000</t>
  </si>
  <si>
    <t>加热设备</t>
  </si>
  <si>
    <t>包括蒸煮设备、蒸煮器、汽蒸设备、杀菌锅、碱熔锅、中和槽、固碱锅、洗液锅、水油相溶解锅、其他蒸煮设备、压热器、水解木材用压热器、硫化橡胶用压热器、其他压热器、退火炉、分汽缸、其他加热设备，不包括造纸用蒸煮设备（详见109022101）。</t>
  </si>
  <si>
    <t>2217</t>
  </si>
  <si>
    <t>1090129070000000000</t>
  </si>
  <si>
    <t>冷却设备</t>
  </si>
  <si>
    <t>包括冰盐冷却装置、气体冷凝器、氮或其他气体的冷凝器、冷却塔、供粮食磨粉工业用的冷却塔、炼油、化工用高压空气冷却器、胶片冷却装置、注塑模具冷却机、其他冷却设备，不包括蒸汽冷凝器（详见109010101）。</t>
  </si>
  <si>
    <t>2218</t>
  </si>
  <si>
    <t>1090129990000000000</t>
  </si>
  <si>
    <t>其他利用温度变化加工机械</t>
  </si>
  <si>
    <t>2219</t>
  </si>
  <si>
    <t>1090130010000000000</t>
  </si>
  <si>
    <t>液体过滤、净化机械</t>
  </si>
  <si>
    <t>包括水过滤、净化机械及装置、反渗透装置、EDI装置、超滤设备、医用滤水器（超滤）、纳滤装置、精滤装置、机械过滤装置、软水器、离子交换器、中水回用装置（指洗车废水回用水处理设备）、其他水过滤、净化机械及装、压滤机、厢式压滤机、隔膜压榨式压滤机、板框式压滤机、带式压滤机、全自动压滤机、制药用水设备、其他压滤机、袋式过滤器、单式过滤器、双联过滤器、其他袋式过滤器、烛式过滤机、预涂式烛式过滤机、ZL烛式过滤机、倒立式烛式过滤机、ZTG烛式过滤机、烛式硅藻土过滤机、其他烛式过滤机、液体真空过滤器、转筒式真空过滤机、间歇式真空过滤机、高效真空净油机、其他液体真空过滤器、电渗析器、自动频繁倒极电渗析器、其他电渗析器、反渗透制水装置、PO反渗透净水设备系统、其他反渗透制水装置、其他液体过滤、净化机械，不包括家用型滤水器（详见1090417）、农产品加工专用压滤机（详见109018）。</t>
  </si>
  <si>
    <t>2220</t>
  </si>
  <si>
    <t>1090130020000000000</t>
  </si>
  <si>
    <t>气体过滤、净化机械及装置</t>
  </si>
  <si>
    <t>包括机械法气体过滤器、滤袋式过滤器、网式过滤器、转鼓过滤器、纸质过滤器、纤维填充过滤器、滤烟器、机械或物理法气体过滤器及净化器、板框过滤机、叶滤机、其他过滤机、其他机械法气体过滤器、气体真空过滤机、圆盘真空过滤机、转台真空过滤机、带式真空过滤机、转鼓真空过滤机、外滤面转鼓真空过滤机、密闭式转鼓真空过滤机、其他转鼓真空过滤机、其他气体真空过滤机、气体净化器、再生式气体净化器、有害气体净化器、其他气体净化器、涤气器（用于净化发生炉煤气或煤气）、干湿涤气器、旋转涤气器、其他涤气器、吸收器（塔）、降膜吸收器、石墨降膜吸收器、石墨制浮头列管式吸收器、其他吸收器（塔）、其他气体过滤、净化机械及装置（物理式或静电式），不包括家用型气体过滤、净化器（详见1090417）、大气污染治理净化装置（详见1090250）。</t>
  </si>
  <si>
    <t>2221</t>
  </si>
  <si>
    <t>1090130030000000000</t>
  </si>
  <si>
    <t>发动机燃油、进气过滤器</t>
  </si>
  <si>
    <t>包括滤油器（指供内燃发动机、机床等用的滤油器）、吸气过滤器、机动车净化装置、其他发动机燃油、进气过滤器。</t>
  </si>
  <si>
    <t>2222</t>
  </si>
  <si>
    <t>1090130040000000000</t>
  </si>
  <si>
    <t>离心机</t>
  </si>
  <si>
    <t>包括脱水离心机、污泥脱水离心机、高速脱水离心机、其他脱水用离心机、固液分离机、螺旋卸料沉降离心机、三足式沉降离心机、管式分离机、碟式分离机、刮刀卸料沉降离心机、其他固液分离机、过滤离心机、三足式上卸料过滤离心机、立式锥篮离心机、上悬式离心机、卧式刮刀卸料离心机、卧式活塞推料离心机、螺旋卸料过滤离心机、螺旋卸料沉降-过滤离心机、旁滤式离心机、其他过滤离心机、离心干燥机、颗粒离心干燥机、热风离心干燥机、普通离心式喷雾干燥机、高速离心喷雾干燥机、离心真空干燥机、其他离心干燥机、医用离心机、冷冻超速离心机、冷冻高速离心机、高速离心机、低速离心机、其他医用离心机、密闭离心机、SB密闭离心机、SB直联式密闭离心机、人工卸料密闭离心机、其他密闭离心机、供实验室用的离心机、其他离心机，不包括奶油分离器（详见1090215）、干衣机（详见1090253）和家用清洁卫生电器具（详见1090418）。</t>
  </si>
  <si>
    <t>2223</t>
  </si>
  <si>
    <t>1090130050000000000</t>
  </si>
  <si>
    <t>离心、过滤、净化机设备及其零件</t>
  </si>
  <si>
    <t>包括分离、过滤、净化机械零件、离心机零件、离心干燥机零件。</t>
  </si>
  <si>
    <t>2224</t>
  </si>
  <si>
    <t>制冷空调设备</t>
  </si>
  <si>
    <t>1090131010000000000</t>
  </si>
  <si>
    <t>工商用制冷设备</t>
  </si>
  <si>
    <t>包括工商用制冰机（最大产冰量为310kg/24h）、速冻机（制造冰的制冷设备）、冷饮机（降温速率很快的冻结、以便在被冻结的食品或其他物品中产生预期结晶结构的设备）、雪泥机、工商用冰淇淋机、软冰淇淋机、硬冰淇淋机、冰淇淋原料杀菌机炒冰机、单锅炒冰机、双锅炒冰机、食品真空冷冻干燥机（由使食品干燥的真空容器及加热系统、制冷系统、真空系统和电气空气系统等组成的成套设备）、谷物冷却机（一种用于粮食低温处藏、向粮仓提供一定温度、湿度空气的设备；主要包括制冷系统以及送风和净化装置、还可以包括调湿和风量调节装置）、组合式冷库、气调库、其他工商用制冷设备，不包括家用型制冰机（详见190414）、家用型冰淇淋机（详见190414）。</t>
  </si>
  <si>
    <t>2225</t>
  </si>
  <si>
    <t>1090131020000000000</t>
  </si>
  <si>
    <t>工商用冷藏、冷冻柜</t>
  </si>
  <si>
    <t>指工业用、医用及商用等非家用冷藏、冷冻柜，包括工商用冷藏、冷冻柜、冷冻冷藏陈列展示柜（带制冷机组的能展示内放冷藏商品的货柜）、冷冻陈列展示柜、冷藏陈列展示柜、食品冷冻冷藏箱（柜）（比家用冰箱容量大的隔热体、如厨房冰箱、商用冷藏柜等）、医用及科研用冷冻冷藏箱（柜）、工作台冰箱、其他工商用冷藏、冷冻柜，不包括家用和类似用途的冷藏冷冻箱、冷藏箱、冷冻箱、冷藏冷冻箱展示柜（详见190414）。</t>
  </si>
  <si>
    <t>2226</t>
  </si>
  <si>
    <t>1090131030000000000</t>
  </si>
  <si>
    <t>中央空调冷水/热泵机组</t>
  </si>
  <si>
    <t>指通过四通换向阀实现蒸发器与冷凝器的功能切换，达到使载冷剂（一般为水）被冷却（加热）的制冷机组；该机组一般被用作公共建筑中中央空调的主机。包括活塞式冷水（热泵）机组、涡旋式冷水（热泵）机组、螺杆式冷水（热泵）机组、离心式冷水（热泵）机组、溴化锂式冷水机组（以水为制冷剂、溴化锂水溶液为吸收剂、按吸收式制冷循环工作的冷水机组）、水源热泵机组（一种采用循环流动于共用管路中的水、从水井、湖泊或河流中抽取的水或在地下盘管中循环流动的水为冷（热）源、制取冷（热）风或冷（热）水的设备；包括一个使用侧换热设备、压缩机、热源侧换热设备、具有单制冷或制冷和制热功能；水源热泵机组按使用侧换热设备的形式分为冷热风型水源热泵机组（即水－空气型水源热泵机组）和冷热水型水源热泵机组（水－水型水源热泵机组））。</t>
  </si>
  <si>
    <t>2227</t>
  </si>
  <si>
    <t>1090131040000000000</t>
  </si>
  <si>
    <t>工商用空调设备</t>
  </si>
  <si>
    <t>包括房间空调器、制冷量＞14000W、窗式空调器、制冷量＞14000W、壁挂式空调器、制冷量＞14000W、其他房间空调器、制冷量＞14000W、单元式空调机组、屋顶式空调（热泵）机组、多联式空调（热泵）机组、风管送风式空调（热泵）机组、专用空调机组（工艺性）、机房空调机、洁净空调、医用空调、恒湿机、防爆空调、车用空调设备、轿车用空调、中/大巴用空调、工程车用空调、加湿设备、除湿设备、其他工商用空调设备，不包括制冷量≤14000W的家用和类似用途空调设备、家用房间空气调节器、家用加湿器、家用除湿器（详见1090415）。</t>
  </si>
  <si>
    <t>2228</t>
  </si>
  <si>
    <t>1090131050000000000</t>
  </si>
  <si>
    <t>工商用制冷、空调设备零部件</t>
  </si>
  <si>
    <t>指各类用于工商用制冷、空调设备零部件。</t>
  </si>
  <si>
    <t>2229</t>
  </si>
  <si>
    <t>风动电动工具</t>
  </si>
  <si>
    <t>1090132010000000000</t>
  </si>
  <si>
    <t>风动手提工具</t>
  </si>
  <si>
    <t>指手提式风动或液压工具，包括装有气动机（或气动活塞）、内燃机或其他非电动的动力机（例如、小型液力涡轮机）的工具、包括风动钻机、风镐（气镐）、风铲、手提式气动锯、手提式链锯、液压混凝土振动器、风动攻丝机、风动铰孔机、气动冲击扳手/液压扳手、风动镗孔机、风砂轮、风动锤、錾平锤、敲锈锤、堵缝锤、铆钉锤等、风动锉机、气动锉刀、风动研磨机、风板机、气动螺刀、机动螺丝刀、螺帽拧入或拧出器、气动剪刀、气动式手提夹钳工具、气动手提打包机、气动式油脂枪、手提式气动羊毛取样钻、其他手提式风动工具。</t>
  </si>
  <si>
    <t>2230</t>
  </si>
  <si>
    <t>1090132020000000000</t>
  </si>
  <si>
    <t>电动手提式工具</t>
  </si>
  <si>
    <t>指手提式电动液压开孔器，包括电钻（手提式）、冲击钻、手电钻、其他电钻、电锯、电动链锯、其他电锯、手提式电刨（包括电动刨削、修整、磨平器具及类似工具）、电动锤、电动琢锤、铲锤、捻缝锤、铆钉锤、电动锉削机、电动雕刻工具、电动射钉枪、电动铆钉枪、电动锉具、电动手提磨床、电动手提砂光机、电动手提抛光器、电剪刀、电动刷具、电动钢丝刷机、其他电动手提式工具。</t>
  </si>
  <si>
    <t>2231</t>
  </si>
  <si>
    <t>1090132030000000000</t>
  </si>
  <si>
    <t>风动和电动工具零件</t>
  </si>
  <si>
    <t>包括手提式链锯零件、风动手提式工具零件、电动手提式链锯用零件、其他风动和电动工具零件。</t>
  </si>
  <si>
    <t>2232</t>
  </si>
  <si>
    <t>喷枪</t>
  </si>
  <si>
    <t>1090133010000000000</t>
  </si>
  <si>
    <t>包括金属线材喷涂枪、自动喷枪、自动无气喷枪、空气自动喷枪、空气辅助无气自动喷枪、手动喷枪、手动无气喷枪、离子风喷枪（适用于电子、胶片）、精细空气喷枪、光触媒喷枪、光触媒喷涂专用喷枪、其他喷枪。</t>
  </si>
  <si>
    <t>2233</t>
  </si>
  <si>
    <t>1090133020000000000</t>
  </si>
  <si>
    <t>喷涂机</t>
  </si>
  <si>
    <t>包括喷漆设备、高能喷涂枪、推式喷涂枪、拉式喷涂枪、静电喷涂机、手动静电喷涂机、自动静电喷涂机、手动静电双系统喷涂机、手动静电漆枪、实验喷涂机、高压无气喷涂机（建筑装饰用）、二液无气喷涂机、管道内壁喷涂器、旋蝶喷漆设备、其他喷涂机。</t>
  </si>
  <si>
    <t>2234</t>
  </si>
  <si>
    <t>1090133030000000000</t>
  </si>
  <si>
    <t>喷射机械</t>
  </si>
  <si>
    <t>包括喷砂机、液体喷砂机、干式喷砂机、循环回收式喷砂机（指集喷砂、回收、循环、分离、除尘于一体、无污染及砂料四处飞扬现象、是新一代的环保型喷砂设备）、普压式手动喷砂机、其他喷砂机、喷汽机（用以除去金属机件上的油漆等）、灰浆机、喷砂房、其他喷射机械。</t>
  </si>
  <si>
    <t>2235</t>
  </si>
  <si>
    <t>1090133040000000000</t>
  </si>
  <si>
    <t>喷水器、喷雾器</t>
  </si>
  <si>
    <t>包括家用喷雾器、喷壶及类似喷射器具、船用洗舱机、水枪（指可喷射强大的水柱、用以从山坡等处冲落矿物（例如、金矿砂）的器具）、冲洗机械装置（包括汽车挡风玻璃及车头灯的冲洗机械装置）、其他喷水器、喷雾器，不包括农用喷射机械及器具（详见109023708）。</t>
  </si>
  <si>
    <t>2236</t>
  </si>
  <si>
    <t>1090133050000000000</t>
  </si>
  <si>
    <t>喷枪及类似器具零件</t>
  </si>
  <si>
    <t>包括家用液体或粉末喷射机械零件、其他喷枪及类似器具零件。</t>
  </si>
  <si>
    <t>2237</t>
  </si>
  <si>
    <t>包装设备</t>
  </si>
  <si>
    <t>1090134010000000000</t>
  </si>
  <si>
    <t>包装容器洗涤及干燥机械</t>
  </si>
  <si>
    <t>包括药品包装容器的清洁、洗涤、冲洗机械、清洁、洗涤、冲洗机械、安瓿擦瓶机、包装容器专用干燥机械、灭菌检漏设备、其他包装容器洗涤及干燥机械。</t>
  </si>
  <si>
    <t>2238</t>
  </si>
  <si>
    <t>1090134020000000000</t>
  </si>
  <si>
    <t>灌装、装填容器用机械</t>
  </si>
  <si>
    <t>指桶、琵琶桶、罐、瓶、坛、管、安瓿、箱、包、袋等容器的装填机器，常配有辅助性的自动计量或计重控制装置，以及对容器进行封口的设备，包括饮料及液体食品灌装设备、手提式液体食品灌装机、电动手提式的饮料及液体食品罐装设备、非手提式液体食品灌装机械、饮料真空包装机、饮料收缩包装机、饮料充气机、其他饮料及液体食品灌装设备、水泥灌装机、全自动水泥灌包机、其他水泥灌装机、固体产品灌装机（包括固体食品及其他产品灌装机、包装机）、包装机、固体产品真空包装机、裹包机、充填机、贴体包装机、吸塑包装机、塑料袋封口机、泡罩包装机、热成型包装机、物料整理排列机、移动式定量包装车、其他固体产品灌装机、包装机、其他灌装、装填容器用机械。</t>
  </si>
  <si>
    <t>2239</t>
  </si>
  <si>
    <t>1090134030000000000</t>
  </si>
  <si>
    <t>容器装封、贴标签及包封机</t>
  </si>
  <si>
    <t>指本类机械可配有定型、印刷、捆扎、装订、包边、胶贴、封口装置或对包装进行最后整理的装置包括把已装填好的罐头、瓶子等装入外包装（板条箱、箱子等）的机械，包括装箱机、装盒机、纸箱封口机、其他纸板箱装箱包装机、瓶、坛封口、加塞或压盖机械、封罐机、焊接封口机、封盖机、压盖机、旋盖机、振荡落盖装置、掀盖装置、其他瓶、坛封口、加塞或压盖机械、贴标签机械、贴标机、安瓿色标机、喷码机、标签压印器、其他贴标签机械、打包机及捆扎机、扎口机、捆扎机、便携式打包器械（指手工操作的便携式打包器械）、热缩包装机、其他打包机及捆扎机、其他容器装封、贴标签及包封机。</t>
  </si>
  <si>
    <t>2240</t>
  </si>
  <si>
    <t>1090134040000000000</t>
  </si>
  <si>
    <t>包装专用设备零件</t>
  </si>
  <si>
    <t>包括饮料及液体食品灌装设备零件、其他包装专用设备零件。</t>
  </si>
  <si>
    <t>2241</t>
  </si>
  <si>
    <t>衡器</t>
  </si>
  <si>
    <t>1090135010000000000</t>
  </si>
  <si>
    <t>工业用衡器</t>
  </si>
  <si>
    <t>包括地上衡、地上平台秤、地上汽车衡、地上钢材秤、地上轴重秤、地上轮重秤、地上牲畜秤、地上飞机秤、其他地上衡、地中衡、地中平台秤、地中汽车衡、地中钢材秤、地中轴重秤、地中轮重秤、地中牲畜秤、地中飞机秤、其他地中衡、轨道衡、标准轨道衡、自动轨道衡、静态轨道衡、轻轨衡（矿车衡）、煤塔秤、其他轨道衡、料斗秤、粮食秤、液体秤、容器秤、配料秤、秤量车、灌装秤、定量秤、包装秤、其他料斗秤、吊秤、有线式吊秤、无线式吊秤、无线直示式吊秤、无线传输式吊秤、其他吊秤、皮带秤、单托辊皮带秤、多托辊皮带秤、悬浮式皮带秤、悬臂式皮带秤、滚轮式皮带秤、核子皮带秤、其他皮带秤、分类秤、重量检验秤、重量分选秤、重量标签秤、其他分类秤、特种秤、叉车秤、容重秤、宝石秤、病床秤、其他特种秤、其他工业用衡器。</t>
  </si>
  <si>
    <t>2242</t>
  </si>
  <si>
    <t>1090135020000000000</t>
  </si>
  <si>
    <t>商业用衡器</t>
  </si>
  <si>
    <t>包括商业用案秤、计价案秤、计重案秤、计数案秤、包裹案秤、信函案秤、运费案秤、度盘案秤、百分案秤、其他商业用案秤、商业用台秤、计价台秤、计重台秤、计数台秤、包裹台秤、度盘台秤、百分台秤、其他商业用台秤。</t>
  </si>
  <si>
    <t>2243</t>
  </si>
  <si>
    <t>1090135030000000000</t>
  </si>
  <si>
    <t>称重系统</t>
  </si>
  <si>
    <t>包括机械式台秤和电子式台秤。</t>
  </si>
  <si>
    <t>2244</t>
  </si>
  <si>
    <t>1090135040000000000</t>
  </si>
  <si>
    <t>家用秤</t>
  </si>
  <si>
    <t>包括人体秤、婴儿秤、配餐秤、浴室秤、家用便携秤（指家用或类似用途的便于携带的秤（又称口袋秤、手掌秤、袖珍秤等））、其他家用秤、其他衡器（秤）。</t>
  </si>
  <si>
    <t>2245</t>
  </si>
  <si>
    <t>1090135050000000000</t>
  </si>
  <si>
    <t>衡器零配件</t>
  </si>
  <si>
    <t>包括衡器用砝码、秤砣、称重显示控制器、称重传感器、应变计、其他衡器零配件。</t>
  </si>
  <si>
    <t>2246</t>
  </si>
  <si>
    <t>1090135990000000000</t>
  </si>
  <si>
    <t>其他衡器（秤）</t>
  </si>
  <si>
    <t>2247</t>
  </si>
  <si>
    <t>金属铸件</t>
  </si>
  <si>
    <t>1090136010000000000</t>
  </si>
  <si>
    <t>铸铁件</t>
  </si>
  <si>
    <t>指无可锻性铸铁制品，包括灰铸铁、球墨铸铁、可锻铸铁、特种铸铁制品（包括耐热、耐磨、耐蚀铸铁件）、工业用灰铸铁制品（指工业领域中各行业、如汽车、机床、重型机械、工程机城、通用机械、轻工机械、纺织机械、石化机械、航天、航空、电站、造船、机车车辆等行业用铸铁件）、非工业用灰铸铁制品、工业用球墨铸铁制品、非工业用球墨铸铁制品、工业用可锻铸铁制品、非工业用可锻铸铁制品、消防用铸铁件、井盖井圈、供暖散热器、景观铸件等如消防栓及盖、火警柱；路旁栅栏、下水道及供水系统用铸件；电讯盖板、边侧防水盖板、进水井箅子、漏水箅子、下水道检查闸门、滤栅、阴沟盖及类似铸件等。</t>
  </si>
  <si>
    <t>2248</t>
  </si>
  <si>
    <t>1090136020000000000</t>
  </si>
  <si>
    <t>铸钢件</t>
  </si>
  <si>
    <t>指工业领域中各行业如汽车、机床、重型机械、工程机械、通用机械、轻工机械、纺织机械、石化机械、航天、航空、电站、造船机车车辆等行业用铸钢件，包括碳钢铸钢件、合金钢铸钢件、不锈钢铸钢件。</t>
  </si>
  <si>
    <t>2249</t>
  </si>
  <si>
    <t>1090136030000000000</t>
  </si>
  <si>
    <t>铜铸件</t>
  </si>
  <si>
    <t>包括工业用铜铸件、非工业用铜铸件。</t>
  </si>
  <si>
    <t>2250</t>
  </si>
  <si>
    <t>1090136040000000000</t>
  </si>
  <si>
    <t>铝铸件</t>
  </si>
  <si>
    <t>包括工业用铝铸件、非工业用铝铸件。</t>
  </si>
  <si>
    <t>2251</t>
  </si>
  <si>
    <t>1090136050000000000</t>
  </si>
  <si>
    <t>锌铸件</t>
  </si>
  <si>
    <t>2252</t>
  </si>
  <si>
    <t>1090136060000000000</t>
  </si>
  <si>
    <t>镁铸件</t>
  </si>
  <si>
    <t>2253</t>
  </si>
  <si>
    <t>1090136990000000000</t>
  </si>
  <si>
    <t>其他金属铸件</t>
  </si>
  <si>
    <t>2254</t>
  </si>
  <si>
    <t>锻件</t>
  </si>
  <si>
    <t>1090137010000000000</t>
  </si>
  <si>
    <t>包括模锻件（指在模锻锤、无砧座锤、模锻压机等锻造设备上闭模成形锻件）、自由锻件（指在自由锻锤、自由锻压机、快锻压机等锻造设备上开模、胎模成形锻件及钢锭、钢坯的开坯锻坯件等）、钢锭、钢坯开坯（各种锻材）、其他自由锻件、冷锻件、特殊成形锻件（指旋压成形、辊锻成形、环轧成形等特殊成形工艺成形的锻件）、有色金属锻件、铜锻件、铝锻件、钛合金锻件、其他有色金属锻件。</t>
  </si>
  <si>
    <t>2255</t>
  </si>
  <si>
    <t>1090137020000000000</t>
  </si>
  <si>
    <t>冲压件、钣金件</t>
  </si>
  <si>
    <t>包括冲压件、拉深件、冲裁件、其他冲压件（包括黑色金属和有色金属制品件）、钣金件、汽车、摩托车等运输机械钣金件、其他钣金件。</t>
  </si>
  <si>
    <t>2256</t>
  </si>
  <si>
    <t>1090137030000000000</t>
  </si>
  <si>
    <t>粉末冶金零件</t>
  </si>
  <si>
    <t>包括粉末冶金结构件、粉末冶金含油轴承、粉末冶金双金属制品、粉末冶金摩擦片、粉末冶金软、硬磁性零件。</t>
  </si>
  <si>
    <t>2257</t>
  </si>
  <si>
    <t>1090199000000000000</t>
  </si>
  <si>
    <t>其他通用设备和零件</t>
  </si>
  <si>
    <t>包括砑光机及类似机械、平整机、砑光机（包括橡胶砑光机、塑料砑光机、造纸砑光机等）、其他砑光机及类似机械（指其他滚压机械）、其他未列明通用设备、砑光机零件、滚筒、滚压机械零件、其他未列明通用设备用零件（包括非自动润滑脂壶、加脂嘴、手轮、杠杆及手柄、安全防护罩及底板、油封环、其他通用机械设备用零件）。</t>
  </si>
  <si>
    <t>2258</t>
  </si>
  <si>
    <t>专用设备</t>
  </si>
  <si>
    <t>矿山专用设备</t>
  </si>
  <si>
    <t>1090201010000000000</t>
  </si>
  <si>
    <t>建井设备</t>
  </si>
  <si>
    <t>包括钻井机、平巷掘进机、天井掘进设备、伞形钻架、抓岩机、其他建井设备</t>
  </si>
  <si>
    <t>2259</t>
  </si>
  <si>
    <t>1090201020000000000</t>
  </si>
  <si>
    <t>采掘、凿岩设备</t>
  </si>
  <si>
    <t>包括凿岩机、矿用钻车、钻孔设备、穿孔设备、装药填充设备、矿用挖掘机、装岩机、矿用铲斗式装载机、矿用装运机、矿用地下铲运机、矿用连续式装载机、矿车翻车机、刨煤机、截煤机、采掘辅助设备、其他采掘凿岩设备</t>
  </si>
  <si>
    <t>2260</t>
  </si>
  <si>
    <t>1090201030000000000</t>
  </si>
  <si>
    <t>矿山提升设备</t>
  </si>
  <si>
    <t>包括矿山提升设备、矿用提升绞车、矿用辅助绞车、其他矿山提升设备</t>
  </si>
  <si>
    <t>2261</t>
  </si>
  <si>
    <t>1090201040000000000</t>
  </si>
  <si>
    <t>矿物破碎机械</t>
  </si>
  <si>
    <t>包括颚式破碎机、旋回破碎机、圆锥破碎机、辊式破碎机、锤式破碎机、旋盘破碎机、反击式破碎机、立式复合破碎机、立式冲击破碎机、辊压机、破碎筛分联合设备（破碎站）、其他矿物破碎机械</t>
  </si>
  <si>
    <t>2262</t>
  </si>
  <si>
    <t>1090201050000000000</t>
  </si>
  <si>
    <t>矿物粉磨机械</t>
  </si>
  <si>
    <t>包括球、棒磨机、自（半）磨机、振动磨机、钢球磨煤机、辊盘式磨煤机、风扇磨煤机、微介质水泥磨机、摆式磨粉机（雷蒙磨）、砾磨机、管磨机、立式水泥磨机、其他矿物磨粉机械</t>
  </si>
  <si>
    <t>2263</t>
  </si>
  <si>
    <t>1090201060000000000</t>
  </si>
  <si>
    <t>矿物筛分、洗选设备</t>
  </si>
  <si>
    <t>包括振动筛、分级设备、磁选设备、浮选设备、重力选矿设备、脱水设备、其他矿物筛分设备、其他矿物洗选设备</t>
  </si>
  <si>
    <t>2264</t>
  </si>
  <si>
    <t>1090201070000000000</t>
  </si>
  <si>
    <t>矿山用牵引车及其矿车</t>
  </si>
  <si>
    <t>包括露天矿用移设车、地下矿用车辆、其他矿山用牵引车及矿车</t>
  </si>
  <si>
    <t>2265</t>
  </si>
  <si>
    <t>1090201080000000000</t>
  </si>
  <si>
    <t>矿山设备专用配套件</t>
  </si>
  <si>
    <t>指专用配套附（配）件</t>
  </si>
  <si>
    <t>2266</t>
  </si>
  <si>
    <t>1090201990000000000</t>
  </si>
  <si>
    <t>其他矿山专用设备</t>
  </si>
  <si>
    <t>2267</t>
  </si>
  <si>
    <t>石油开采设备</t>
  </si>
  <si>
    <t>1090202010000000000</t>
  </si>
  <si>
    <t>石油钻井设备</t>
  </si>
  <si>
    <t>包括陆地石油钻机、海洋石油钻采设备</t>
  </si>
  <si>
    <t>2268</t>
  </si>
  <si>
    <t>1090202020000000000</t>
  </si>
  <si>
    <t>采油设备</t>
  </si>
  <si>
    <t>指在经济有效的前提下，最大限度地把原油从油层中抽到地面上来所需要的设备；陆地采油设备包括抽油机有杆泵、潜油电动离心泵、水力活塞泵、射流泵等；海上采油设备是指专门为海上采油而设计的装置（平台或浮船）；按种类可分为固定式和移动式两种；固定式采油平台分为人工岛和固定式平台两类；移动式采油平台又可分为移动式采油平台（简称MPI）和移动式采油储油平台（简称MPSU）等；不包括开采近海油田或天然气田的固定式平台（详见109020201）。</t>
  </si>
  <si>
    <t>2269</t>
  </si>
  <si>
    <t>1090202030000000000</t>
  </si>
  <si>
    <t>修井设备</t>
  </si>
  <si>
    <t>系列修井机、其他修井设备</t>
  </si>
  <si>
    <t>2270</t>
  </si>
  <si>
    <t>1090202040000000000</t>
  </si>
  <si>
    <t>固井压裂设备</t>
  </si>
  <si>
    <t>包括泥浆固控系统、泥浆振动筛、防喷器及井口装置、除砂清洁器、泥浆清洁器、真空除气器、圆弧齿蜗轮泥浆搅拌器、砂泵、其他固井压裂设备</t>
  </si>
  <si>
    <t>2271</t>
  </si>
  <si>
    <t>1090202050000000000</t>
  </si>
  <si>
    <t>原油稳定站专用设备</t>
  </si>
  <si>
    <t>包括普通型高效分水器、智能型高效分水器、油井多项存储收集器、其他原油稳定站专用设备</t>
  </si>
  <si>
    <t>2272</t>
  </si>
  <si>
    <t>1090202060000000000</t>
  </si>
  <si>
    <t>石油专用工程车辆设备</t>
  </si>
  <si>
    <t>包括石油测井车、石油压裂车、石油混砂车、其他石油专用工程车辆设备</t>
  </si>
  <si>
    <t>2273</t>
  </si>
  <si>
    <t>1090202070000000000</t>
  </si>
  <si>
    <t>石油测井仪器设备</t>
  </si>
  <si>
    <t>包括双侧向测井仪、双感应-球形聚焦测井仪、微球型聚焦测井仪、高分辨率声波测井仪、声波变密度测井仪、自然伽马测井仪、补偿中子测井仪、小井眼系列测井仪、其他石油测井仪器设备</t>
  </si>
  <si>
    <t>2274</t>
  </si>
  <si>
    <t>1090202080000000000</t>
  </si>
  <si>
    <t>石油钻井工具</t>
  </si>
  <si>
    <t>包括井上工具、井下工具</t>
  </si>
  <si>
    <t>2275</t>
  </si>
  <si>
    <t>1090202090000000000</t>
  </si>
  <si>
    <t>石油钻探、开采专用设备零件</t>
  </si>
  <si>
    <t>包括石油或天然气钻机零件，其他石油钻探、开采专用设备零件</t>
  </si>
  <si>
    <t>2276</t>
  </si>
  <si>
    <t>建筑工程机械</t>
  </si>
  <si>
    <t>1090203010000000000</t>
  </si>
  <si>
    <t>挖掘、铲土运输机械</t>
  </si>
  <si>
    <t>包括挖掘机、推土机、平地机、铲运机、装载机、机械铲、路面开凿机、非自推进铲运机、其他挖掘、铲土运输机械。</t>
  </si>
  <si>
    <t>2277</t>
  </si>
  <si>
    <t>1090203020000000000</t>
  </si>
  <si>
    <t>压实机械</t>
  </si>
  <si>
    <t>包括机动压路机、非机动压路机、打夯机、其他压实机械</t>
  </si>
  <si>
    <t>2278</t>
  </si>
  <si>
    <t>1090203030000000000</t>
  </si>
  <si>
    <t>捣固机（车）</t>
  </si>
  <si>
    <t>包括机动捣固机、捣固车（建筑工程用）、非自推进式捣固机等</t>
  </si>
  <si>
    <t>2279</t>
  </si>
  <si>
    <t>1090203040000000000</t>
  </si>
  <si>
    <t>工程钻机</t>
  </si>
  <si>
    <t>包括锚固工程钻机、锚杆旋喷工程钻机、冲击式工程钻机、回旋工程钻机、三轴深搅工程钻机、其他工程钻机</t>
  </si>
  <si>
    <t>2280</t>
  </si>
  <si>
    <t>1090203050000000000</t>
  </si>
  <si>
    <t>桩工机械</t>
  </si>
  <si>
    <t>包括打桩机、拔桩机、压桩机、打桩锤、柴油锤打桩架、其他桩工机械</t>
  </si>
  <si>
    <t>2281</t>
  </si>
  <si>
    <t>1090203060000000000</t>
  </si>
  <si>
    <t>公共工程用机械</t>
  </si>
  <si>
    <t>包括摊铺机械、筑路机械、线路铺装机械、扫雪设备、管道疏通机械、其他公共工程用机械，不包括垃圾车（详见1090306），及其他类似的市政环卫车辆（详见109030702）。</t>
  </si>
  <si>
    <t>2282</t>
  </si>
  <si>
    <t>1090203070000000000</t>
  </si>
  <si>
    <t>建筑工程用货运自卸车</t>
  </si>
  <si>
    <t>不包括垃圾车（详见1090306）。</t>
  </si>
  <si>
    <t>2283</t>
  </si>
  <si>
    <t>1090203080000000000</t>
  </si>
  <si>
    <t>混凝土机械</t>
  </si>
  <si>
    <t>包括混凝土泵、混凝土泵车、混凝土搅拌车、散装水泥车、布料杆、其他混凝土机械</t>
  </si>
  <si>
    <t>2284</t>
  </si>
  <si>
    <t>1090203090000000000</t>
  </si>
  <si>
    <t>建筑工程用机械零件</t>
  </si>
  <si>
    <t>包括推土机机铲、挖掘机用铲、其他建筑工程用机械零件</t>
  </si>
  <si>
    <t>2285</t>
  </si>
  <si>
    <t>水泥专用设备</t>
  </si>
  <si>
    <t>1090204010000000000</t>
  </si>
  <si>
    <t>包括水泥生产的全套设备及散装水泥专用设备</t>
  </si>
  <si>
    <t>2286</t>
  </si>
  <si>
    <t>1090204020000000000</t>
  </si>
  <si>
    <t>建筑材料专用窑炉</t>
  </si>
  <si>
    <t>窑外分解窑、干法回转窑、其他水泥回转窑、混凝土砌块（砖）生产用养护窑、其他砖瓦生产专用窑炉。不包括粉碎、磨粉等通用设备</t>
  </si>
  <si>
    <t>2287</t>
  </si>
  <si>
    <t>1090204030000000000</t>
  </si>
  <si>
    <t>平板玻璃制造及深加工机械</t>
  </si>
  <si>
    <t>包括平板玻璃制造机械、平板玻璃深加工设备、其他平板玻璃及深加工制造机械</t>
  </si>
  <si>
    <t>2288</t>
  </si>
  <si>
    <t>1090204040000000000</t>
  </si>
  <si>
    <t>玻璃纤维加工机械</t>
  </si>
  <si>
    <t>包括光导纤维生产机械、玻璃纤维专用加工机械、其他玻璃纤维加工机械</t>
  </si>
  <si>
    <t>2289</t>
  </si>
  <si>
    <t>1090204050000000000</t>
  </si>
  <si>
    <t>建筑卫生陶瓷机械</t>
  </si>
  <si>
    <t>包括原料制备设备、建筑陶瓷机械、卫生陶瓷机械等</t>
  </si>
  <si>
    <t>2290</t>
  </si>
  <si>
    <t>1090204060000000000</t>
  </si>
  <si>
    <t>复合材料成型设备</t>
  </si>
  <si>
    <t>包括缠绕机、拉挤机、连续制板机、其他复合材料成型设备</t>
  </si>
  <si>
    <t>2291</t>
  </si>
  <si>
    <t>1090204070000000000</t>
  </si>
  <si>
    <t>非金属矿物混合搅拌机械</t>
  </si>
  <si>
    <t>包括混凝土配料机、混凝土或砂浆混合机、混凝土搅拌机（站）、沥青混凝土搅拌设备、干粉砂浆生产设备、双混式干混砂浆生产设备、矿石混合机、其他非金属矿物混合搅拌机械</t>
  </si>
  <si>
    <t>2292</t>
  </si>
  <si>
    <t>1090204080000000000</t>
  </si>
  <si>
    <t>建筑材料制品成型机械</t>
  </si>
  <si>
    <t>包括制管机械、非配筋小型混凝土块材生产机械、烧结类制砖生产机械、加气混凝土装备、瓦片模压机、石棉瓦设备、路面砖、路缘石成型机、电杆及类似制品成型机械、轻质隔墙体板成型设备、石膏制品模制成型机械、人工制砂成型机械、防水材料加工成型设备、保温绝热材料加工设备、其他建筑材料制品成型机械</t>
  </si>
  <si>
    <t>2293</t>
  </si>
  <si>
    <t>1090204090000000000</t>
  </si>
  <si>
    <t>矿石烘干机</t>
  </si>
  <si>
    <t>包括转筒烘干机、转筒干燥机、矿用烘干机、矿石干燥机、其他矿石烘干机</t>
  </si>
  <si>
    <t>2294</t>
  </si>
  <si>
    <t>1090204100000000000</t>
  </si>
  <si>
    <t>石材加工机床</t>
  </si>
  <si>
    <t>包括石材加工锯床、石材研磨及抛光机床、石材板材薄板生产线设备、其他石材加工机床</t>
  </si>
  <si>
    <t>2295</t>
  </si>
  <si>
    <t>1090204110000000000</t>
  </si>
  <si>
    <t>建筑材料及制品专用机械零件</t>
  </si>
  <si>
    <t>包括平板玻璃制造及深加工机械零件、其他建筑材料及制品专用机械零件</t>
  </si>
  <si>
    <t>2296</t>
  </si>
  <si>
    <t>玻璃陶瓷设备</t>
  </si>
  <si>
    <t>1090205010000000000</t>
  </si>
  <si>
    <t>玻璃制品制造机械</t>
  </si>
  <si>
    <t>包括玻璃热加工机械、压制玻璃器皿专用机械、玻璃吹制机械、其他玻璃制品制造机械</t>
  </si>
  <si>
    <t>2297</t>
  </si>
  <si>
    <t>1090205020000000000</t>
  </si>
  <si>
    <t>玻璃材料加工机床</t>
  </si>
  <si>
    <t>包括玻璃冷加工机床、其他玻璃材料加工机床</t>
  </si>
  <si>
    <t>2298</t>
  </si>
  <si>
    <t>1090205030000000000</t>
  </si>
  <si>
    <t>日用陶瓷制品成型机械</t>
  </si>
  <si>
    <t>指日用陶瓷坯泥粘聚或成型机械</t>
  </si>
  <si>
    <t>2299</t>
  </si>
  <si>
    <t>1090205040000000000</t>
  </si>
  <si>
    <t>玻璃、陶瓷制品专用设备零件</t>
  </si>
  <si>
    <t>包括玻璃冷加工机床零件、附件，其他玻璃、陶瓷制品专用设备零件。</t>
  </si>
  <si>
    <t>2300</t>
  </si>
  <si>
    <t>冶金专用设备</t>
  </si>
  <si>
    <t>1090206010000000000</t>
  </si>
  <si>
    <t>金属冶炼设备</t>
  </si>
  <si>
    <t>包括造块设备、炼焦设备、炼铁设备、炼钢设备、铁合金冶炼设备、有色金属冶炼设备等</t>
  </si>
  <si>
    <t>2301</t>
  </si>
  <si>
    <t>1090206020000000000</t>
  </si>
  <si>
    <t>铸造机械</t>
  </si>
  <si>
    <t>包括连续铸钢设备、铸锭设备、铸造机、铸砂造型制芯机、自动造型线、砂处理机、铸造清理机、熔炼浇注设备、金属型压铸机、砂芯或铸模烘干炉、铸造工具、其他铸造机械</t>
  </si>
  <si>
    <t>2302</t>
  </si>
  <si>
    <t>1090206030000000000</t>
  </si>
  <si>
    <t>金属轧制设备</t>
  </si>
  <si>
    <t>包括开坯轧机、板带材轧机、无缝钢管轧机、型材轧机、线材轧机、特殊轧机、轧材精整设备（轧机辅机设备）、轧材深加工设备等</t>
  </si>
  <si>
    <t>2303</t>
  </si>
  <si>
    <t>1090206040000000000</t>
  </si>
  <si>
    <t>冶金专用有轨车辆</t>
  </si>
  <si>
    <t>指专门为冶金企业生产配套的运送冶炼材料或其他功能的专用有轨车辆</t>
  </si>
  <si>
    <t>2304</t>
  </si>
  <si>
    <t>1090206050000000000</t>
  </si>
  <si>
    <t>冶金专用设备配套件</t>
  </si>
  <si>
    <t>指专用配套附（配）件，包括金属冶炼设备配套件、铸锭及连铸机用配套件、金属轧制设备用配套件、冶金专用有轨车辆配套件、其他冶金专用设备配套件</t>
  </si>
  <si>
    <t>2305</t>
  </si>
  <si>
    <t>1090206990000000000</t>
  </si>
  <si>
    <t>其他冶金专用设备</t>
  </si>
  <si>
    <t>2306</t>
  </si>
  <si>
    <t>炼化专用设备</t>
  </si>
  <si>
    <t>1090207010000000000</t>
  </si>
  <si>
    <t>塔类设备</t>
  </si>
  <si>
    <t>包括板式塔（包括筛板、浮网、泡罩）、填料塔、焦炭塔、干燥塔、冷却塔、造粒塔</t>
  </si>
  <si>
    <t>2307</t>
  </si>
  <si>
    <t>1090207020000000000</t>
  </si>
  <si>
    <t>反应器（釜）</t>
  </si>
  <si>
    <t>包括高压反应釜、聚合釜、烷化歧化反应釜、树脂反应釜、回转筒式反应器、多功能分散反应釜、石油化工用加氢反应器、其他反应器（釜）</t>
  </si>
  <si>
    <t>2308</t>
  </si>
  <si>
    <t>1090207030000000000</t>
  </si>
  <si>
    <t>化工专用炉</t>
  </si>
  <si>
    <t>包括变换炉、蒸汽煅烧炉、合成炉、乙烯裂解炉、电石炉、电烷化炉、废热锅炉、沸腾干氨炉、沸腾凉碱炉、其他化工专用炉</t>
  </si>
  <si>
    <t>2309</t>
  </si>
  <si>
    <t>1090207040000000000</t>
  </si>
  <si>
    <t>混合搅拌设备</t>
  </si>
  <si>
    <t>包括搅拌器（碳钢、碳钢制衬不锈钢、不锈钢）</t>
  </si>
  <si>
    <t>2310</t>
  </si>
  <si>
    <t>1090207050000000000</t>
  </si>
  <si>
    <t>化工用液体运送机械</t>
  </si>
  <si>
    <t>包括液环泵、化工用屏蔽泵、内圆弧齿轮输送泵、高粘度旋转活塞泵、蜗壳辐流泵、循环水泵、陶瓷清液泵、其他化工用液体运送机械</t>
  </si>
  <si>
    <t>2311</t>
  </si>
  <si>
    <t>橡胶加工设备</t>
  </si>
  <si>
    <t>1090208010000000000</t>
  </si>
  <si>
    <t>橡胶前加工机械</t>
  </si>
  <si>
    <t>包括橡胶破碎、搅拌、研磨、筛选、均化机械</t>
  </si>
  <si>
    <t>2312</t>
  </si>
  <si>
    <t>1090208020000000000</t>
  </si>
  <si>
    <t>橡胶初加工机械</t>
  </si>
  <si>
    <t>包括约片机、压片机（橡胶加工用）、压薄机、选粒机、胶乳凝固槽、洗涤机等</t>
  </si>
  <si>
    <t>2313</t>
  </si>
  <si>
    <t>1090208030000000000</t>
  </si>
  <si>
    <t>炼胶机械</t>
  </si>
  <si>
    <t>指橡胶或塑料等用的一种加工机械设备；主要供塑炼或混炼胶料之用；常用的油开放式炼胶机和密闭式炼胶机等；包括翻新炼胶机械。不包括再生橡胶精炼机（详见109020809）。</t>
  </si>
  <si>
    <t>2314</t>
  </si>
  <si>
    <t>1090208040000000000</t>
  </si>
  <si>
    <t>橡胶挤出机</t>
  </si>
  <si>
    <t>指热塑性塑料和橡胶主要加工成型的设备；将原料由挤出机的加料漏斗连续加入加热的料筒中，软化后借料筒内螺旋杆的作用，电机头口型挤出，经冷却定形，成为一定形状的连续制品，如管、棒、板等；包括橡胶胎面挤出机</t>
  </si>
  <si>
    <t>2315</t>
  </si>
  <si>
    <t>1090208050000000000</t>
  </si>
  <si>
    <t>橡胶压延机械</t>
  </si>
  <si>
    <t>指将混炼胶（或塑料）进行压片或压型的一种机械设备；根据用途可分为下列主要类型：⑴压型压延机，用以将胶料压成一定厚度和一定断面形状；⑵万能压延机，能进行擦胶、贴胶和压片各项工作；⑶实验用压延机，供试验用</t>
  </si>
  <si>
    <t>2316</t>
  </si>
  <si>
    <t>1090208060000000000</t>
  </si>
  <si>
    <t>橡胶注射机</t>
  </si>
  <si>
    <t>简称注射机，主要用于生产密封圈、防震垫、防尘罩、电器绝缘零件、瓶塞、鞋底、工矿雨鞋、吸尘软管、劳保手套以及热水袋和气门嘴胶垫等橡胶模型制品</t>
  </si>
  <si>
    <t>2317</t>
  </si>
  <si>
    <t>1090208070000000000</t>
  </si>
  <si>
    <t>橡胶成型压力机</t>
  </si>
  <si>
    <t>指将混炼胶（或塑料）进行压型的一种机械设备，包括充气轮胎模塑成型机、力车胎成型机、胶管成型机、橡胶带成组成型机、胶球成型机、其他橡胶成型压力机</t>
  </si>
  <si>
    <t>2318</t>
  </si>
  <si>
    <t>1090208080000000000</t>
  </si>
  <si>
    <t>橡胶硫化设备</t>
  </si>
  <si>
    <t>在橡胶工业中，指生橡胶与硫磺和促进剂等在一定的温度和压力下作用而成熟橡胶的加工设备</t>
  </si>
  <si>
    <t>2319</t>
  </si>
  <si>
    <t>1090208090000000000</t>
  </si>
  <si>
    <t>再生橡胶设备</t>
  </si>
  <si>
    <t>包括破胶机、橡胶精炼机、其他再生橡胶设备</t>
  </si>
  <si>
    <t>2320</t>
  </si>
  <si>
    <t>1090208100000000000</t>
  </si>
  <si>
    <t>裁切橡胶专用机械</t>
  </si>
  <si>
    <t>包括胶丝切割机、单刀切胶机、橡胶定长裁断装置、内胎阀孔切割机、海绵滚切机、橡胶切条机、衬里片割机、其他裁切橡胶专用机械</t>
  </si>
  <si>
    <t>2321</t>
  </si>
  <si>
    <t>1090208110000000000</t>
  </si>
  <si>
    <t>橡胶制品卷绕、包覆机械</t>
  </si>
  <si>
    <t>指橡胶轮胎、管件卷绕、包覆机械</t>
  </si>
  <si>
    <t>2322</t>
  </si>
  <si>
    <t>1090208120000000000</t>
  </si>
  <si>
    <t>橡胶干燥、去水、刺孔机械</t>
  </si>
  <si>
    <t>包括辊式干燥机、螺杆去水机、转筒式脱胶罐</t>
  </si>
  <si>
    <t>2323</t>
  </si>
  <si>
    <t>1090208130000000000</t>
  </si>
  <si>
    <t>橡胶制品加工机械</t>
  </si>
  <si>
    <t>包括二爪加重式扩胎机、内胎接头机、轮胎胎胚刺孔机、胶管穿管机、吸引胶管解绳机、吸引胶管解水布机、其他橡胶制品加工机械</t>
  </si>
  <si>
    <t>2324</t>
  </si>
  <si>
    <t>1090208140000000000</t>
  </si>
  <si>
    <t>橡胶专用生产设备零件</t>
  </si>
  <si>
    <t>包括炼胶辊、其他橡胶专用生产设备零件</t>
  </si>
  <si>
    <t>2325</t>
  </si>
  <si>
    <t>塑料加工设备</t>
  </si>
  <si>
    <t>1090209010000000000</t>
  </si>
  <si>
    <t>注塑机</t>
  </si>
  <si>
    <t>不包括用于光盘的精密注塑机（详见109022301）。</t>
  </si>
  <si>
    <t>2326</t>
  </si>
  <si>
    <t>1090209020000000000</t>
  </si>
  <si>
    <t>挤塑机</t>
  </si>
  <si>
    <t>包括单螺杆挤出机、双螺杆挤出机、组合式挤出机、双阶式挤出机、往复式挤出机、塑料造粒机、其他挤塑机</t>
  </si>
  <si>
    <t>2327</t>
  </si>
  <si>
    <t>1090209030000000000</t>
  </si>
  <si>
    <t>吹塑机</t>
  </si>
  <si>
    <t>包括塑料吹瓶机、自动模内贴标机、其他吹塑机</t>
  </si>
  <si>
    <t>2328</t>
  </si>
  <si>
    <t>1090209040000000000</t>
  </si>
  <si>
    <t>塑料成型机械</t>
  </si>
  <si>
    <t>包括塑料中空成型机、塑料压延成型机、压塑机、滚塑机、发泡成型机、真空模塑机、其他塑料成型机械</t>
  </si>
  <si>
    <t>2329</t>
  </si>
  <si>
    <t>1090209050000000000</t>
  </si>
  <si>
    <t>塑料破碎、研磨、筛选、均化机械</t>
  </si>
  <si>
    <t>包括塑料破碎机、塑料研磨机、塑料搅拌机、塑料切粒机、其他塑料筛选、均化机械</t>
  </si>
  <si>
    <t>2330</t>
  </si>
  <si>
    <t>1090209060000000000</t>
  </si>
  <si>
    <t>塑料二次加工机械</t>
  </si>
  <si>
    <t>包括塑料热成型机、塑料真空蒸镀机、塑料异型材拼装机械、其他塑料二次加工机械</t>
  </si>
  <si>
    <t>2331</t>
  </si>
  <si>
    <t>1090209070000000000</t>
  </si>
  <si>
    <t>塑料加工辅助机械或装置</t>
  </si>
  <si>
    <t>包括自动计量供料装置、塑料边角料自动回收装置、注塑制品自动取出装置、注塑模具冷却机等</t>
  </si>
  <si>
    <t>2332</t>
  </si>
  <si>
    <t>1090209080000000000</t>
  </si>
  <si>
    <t>连续混炼挤出造粒机</t>
  </si>
  <si>
    <t>2333</t>
  </si>
  <si>
    <t>1090209090000000000</t>
  </si>
  <si>
    <t>塑料加工专用设备零件</t>
  </si>
  <si>
    <t>2334</t>
  </si>
  <si>
    <t>木材加工机械</t>
  </si>
  <si>
    <t>1090210010000000000</t>
  </si>
  <si>
    <t>木工机床</t>
  </si>
  <si>
    <t>包括木材、软木加工机床</t>
  </si>
  <si>
    <t>2335</t>
  </si>
  <si>
    <t>1090210020000000000</t>
  </si>
  <si>
    <t>木质板材挤压加工机械</t>
  </si>
  <si>
    <t>包括粘聚木纤维、木片、锯屑或软木粉用的挤压机、特种压力机等木材处理机</t>
  </si>
  <si>
    <t>2336</t>
  </si>
  <si>
    <t>1090210030000000000</t>
  </si>
  <si>
    <t>木材处理及制品加工机械</t>
  </si>
  <si>
    <t>包括木材干燥机、木材剥皮去节机、喷水树皮剥离机、软木处理机、木粉磨制机械、制桶机、其他木材处理及制品加工机械</t>
  </si>
  <si>
    <t>2337</t>
  </si>
  <si>
    <t>1090210040000000000</t>
  </si>
  <si>
    <t>木材加工机械用零件、附件</t>
  </si>
  <si>
    <t>包括木材加工机床、木材专用机械用零件、附件</t>
  </si>
  <si>
    <t>2338</t>
  </si>
  <si>
    <t>模具</t>
  </si>
  <si>
    <t>1090211010000000000</t>
  </si>
  <si>
    <t>金属铸造用型箱、型模底板</t>
  </si>
  <si>
    <t>包括金属铸造用型箱、型模底板、阳模等</t>
  </si>
  <si>
    <t>2339</t>
  </si>
  <si>
    <t>1090211020000000000</t>
  </si>
  <si>
    <t>金属、硬质合金用模具</t>
  </si>
  <si>
    <t>包括金属冲压模具、金属铸造模具、金属锻造模具、金属粉末冶金模具、丝模具、其他金属和硬质合金用模具</t>
  </si>
  <si>
    <t>2340</t>
  </si>
  <si>
    <t>1090211030000000000</t>
  </si>
  <si>
    <t>玻璃制品用模具</t>
  </si>
  <si>
    <t>包括玻璃建筑材料用模具、制瓶模、中空玻璃器皿模具、璃绝缘子模具、玻璃加工成形模具、其他玻璃制品用模具</t>
  </si>
  <si>
    <t>2341</t>
  </si>
  <si>
    <t>1090211040000000000</t>
  </si>
  <si>
    <t>矿物材料用模具</t>
  </si>
  <si>
    <t>包括陶瓷制品用模具、水泥制品用模具、砂轮成型模具、石膏制品用模具、灰泥制品用模具、其他矿物材料用模具</t>
  </si>
  <si>
    <t>2342</t>
  </si>
  <si>
    <t>1090211050000000000</t>
  </si>
  <si>
    <t>塑料用模具</t>
  </si>
  <si>
    <t>包括塑料注射模、塑料压注模、塑料压缩模、塑料挤出模、塑封模、其他塑料用模具</t>
  </si>
  <si>
    <t>2343</t>
  </si>
  <si>
    <t>1090211060000000000</t>
  </si>
  <si>
    <t>橡胶用模具</t>
  </si>
  <si>
    <t>包括橡胶注射模、橡胶压胶模、硫化轮胎用囊式模具、其他橡胶用模具</t>
  </si>
  <si>
    <t>2344</t>
  </si>
  <si>
    <t>1090211070000000000</t>
  </si>
  <si>
    <t>模架、模具标准件</t>
  </si>
  <si>
    <t>指根据标准化的技术标准生产的模架、模具成型产品</t>
  </si>
  <si>
    <t>2345</t>
  </si>
  <si>
    <t>1090211990000000000</t>
  </si>
  <si>
    <t>其他模具</t>
  </si>
  <si>
    <t>2346</t>
  </si>
  <si>
    <t>1090212000000000000</t>
  </si>
  <si>
    <t>硬质材料加工机床及其零件</t>
  </si>
  <si>
    <t>包括骨、硬橡胶、硬塑料等硬质材料加工机床</t>
  </si>
  <si>
    <t>2347</t>
  </si>
  <si>
    <t>1090213000000000000</t>
  </si>
  <si>
    <t>非金属相关成型、加工机械</t>
  </si>
  <si>
    <t>包括非金属矿物材料成型机械，通用加料、分配装置，其他非金属相关成型、加工机械</t>
  </si>
  <si>
    <t>2348</t>
  </si>
  <si>
    <t>食品制造机械</t>
  </si>
  <si>
    <t>1090214010000000000</t>
  </si>
  <si>
    <t>烹煮、调制、腌制食品设备</t>
  </si>
  <si>
    <t>包括烘炒设备、烹煮器、烹炸设备、食品工业用压热器、食品工业用冷却器、巴氏杀菌器以及其他烹煮、调制、腌制食品设备</t>
  </si>
  <si>
    <t>2349</t>
  </si>
  <si>
    <t>1090214020000000000</t>
  </si>
  <si>
    <t>食品用烤炉及烘箱</t>
  </si>
  <si>
    <t>包括糕点、饼干、面包房用烤炉及烘箱</t>
  </si>
  <si>
    <t>2350</t>
  </si>
  <si>
    <t>1090214030000000000</t>
  </si>
  <si>
    <t>糕点、米面食品类加工专用机械</t>
  </si>
  <si>
    <t>包括用于制造面包、饼干、糕点、通心粉、面条或类似产品生产机械</t>
  </si>
  <si>
    <t>2351</t>
  </si>
  <si>
    <t>1090214040000000000</t>
  </si>
  <si>
    <t>糖果生产专用机械</t>
  </si>
  <si>
    <t>包括糖霜用碾磨、捣碎机，糖果拌和机，糖果拉条机，糖衣锅，糖果模制、切制或成形机，糖果滚压机械，其他糖果生产专用机械</t>
  </si>
  <si>
    <t>2352</t>
  </si>
  <si>
    <t>1090214050000000000</t>
  </si>
  <si>
    <t>可可及巧克力生产专用机械</t>
  </si>
  <si>
    <t>包括咖啡豆去壳去皮机、可可豆脱壳去芽机械、可可豆碾粉机械、可可混合机、可可揉捏机及碾磨机、提取可可脂压榨机、可可粉用生产机械、可可脂可可粉糖等混合机械、巧克力均化处理机械、巧克力机压块及模制机、其他可可及巧克力生产专用机械</t>
  </si>
  <si>
    <t>2353</t>
  </si>
  <si>
    <t>1090214060000000000</t>
  </si>
  <si>
    <t>调味食品加工机械</t>
  </si>
  <si>
    <t>指将调味食品原材料加工成成品或半成品的机械设备</t>
  </si>
  <si>
    <t>2354</t>
  </si>
  <si>
    <t>1090214990000000000</t>
  </si>
  <si>
    <t>其他食品制造机械</t>
  </si>
  <si>
    <t>2355</t>
  </si>
  <si>
    <t>1090215010000000000</t>
  </si>
  <si>
    <t>乳品分离、搅拌加工机械</t>
  </si>
  <si>
    <t>包括奶油分离器、打碎及均化机、搅乳机、黄油加工机、搅乳加工联合机、乳品模制机械、奶酪压制机、均质机、奶粉喷粉机械，分离、净化、调脂三用机，其他乳品分离、搅拌加工机械</t>
  </si>
  <si>
    <t>2356</t>
  </si>
  <si>
    <t>1090215020000000000</t>
  </si>
  <si>
    <t>乳品加热及冷却设备</t>
  </si>
  <si>
    <t>包括牛奶巴氏灭菌设备、牛奶浓缩设备、牛奶冷却设备、奶酪加工及熟化桶、多效蒸发器、乳品热交换器、人造黄油固化槽、其他乳品加热及冷却设备</t>
  </si>
  <si>
    <t>2357</t>
  </si>
  <si>
    <t>1090215990000000000</t>
  </si>
  <si>
    <t>其他乳品加工机械</t>
  </si>
  <si>
    <t>2358</t>
  </si>
  <si>
    <t>1090216010000000000</t>
  </si>
  <si>
    <t>原料压榨、轧碎机械</t>
  </si>
  <si>
    <t>指制酒、果汁原料的压榨机、轧碎机械</t>
  </si>
  <si>
    <t>2359</t>
  </si>
  <si>
    <t>1090216020000000000</t>
  </si>
  <si>
    <t>酿酒设备</t>
  </si>
  <si>
    <t>包括酿酒用催芽机、麦芽压榨机、麦芽浆桶、泄料桶、其他酿酒设备</t>
  </si>
  <si>
    <t>2360</t>
  </si>
  <si>
    <t>1090216030000000000</t>
  </si>
  <si>
    <t>制酒、饮料加热及冷却设备</t>
  </si>
  <si>
    <t>指用以对制酒、果汁饮料材料进行加热、煮沸、烹煮、浓缩、蒸发、气化、冷却等简单处理的通用设备</t>
  </si>
  <si>
    <t>2361</t>
  </si>
  <si>
    <t>1090216040000000000</t>
  </si>
  <si>
    <t>醋化机械设备（制醋用）</t>
  </si>
  <si>
    <t>2362</t>
  </si>
  <si>
    <t>1090216990000000000</t>
  </si>
  <si>
    <t>其他酒及饮料加工机械</t>
  </si>
  <si>
    <t>2363</t>
  </si>
  <si>
    <t>烟草及盐加工机械</t>
  </si>
  <si>
    <t>1090217010000000000</t>
  </si>
  <si>
    <t>烟草加工机械</t>
  </si>
  <si>
    <t>包括打叶复烤生产线、烟叶制丝生产线、烟用打叶复烤生产线、烟叶制丝生产线、烟用加温加湿机械、烟用解把机械、烟用除杂筛分机械、烟用叶梗分离机械、烟用烘烤机械、烟用预压打包机械、烟用开（拆）包机械、烟用叶片分切机械、烟用切丝机械、烟用烘丝机械、烟用冷却机械、烟用香精香料调配及加料加香机械、烟用压梗机械、烟丝膨胀机械、烟用输送机械、烟用储存机械、再造烟叶机械、烟用卷接机械、烟用包装机械、烟用滤棒成型机械、烟用装封箱机械、废烟支烟丝回收机械、其他烟草加工机械</t>
  </si>
  <si>
    <t>2364</t>
  </si>
  <si>
    <t>1090217020000000000</t>
  </si>
  <si>
    <t>采盐及盐加工机械</t>
  </si>
  <si>
    <t>包括采盐机械、盐加工机械</t>
  </si>
  <si>
    <t>2365</t>
  </si>
  <si>
    <t>农产品加工设备</t>
  </si>
  <si>
    <t>1090218010000000000</t>
  </si>
  <si>
    <t>制糖机械</t>
  </si>
  <si>
    <t>包括甘蔗榨汁机械、甜菜榨糖机械、蔗糖加工机械、制糖用加热及冷却机械、提取糖或炼糖用机械、其他制糖机械</t>
  </si>
  <si>
    <t>2366</t>
  </si>
  <si>
    <t>1090218020000000000</t>
  </si>
  <si>
    <t>屠宰及肉制品加工机械</t>
  </si>
  <si>
    <t>包括屠宰分割设备、肉制品加工机械、其他屠宰及肉制品加工机械</t>
  </si>
  <si>
    <t>2367</t>
  </si>
  <si>
    <t>1090218030000000000</t>
  </si>
  <si>
    <t>油脂加工机械</t>
  </si>
  <si>
    <t>指动植物油脂榨油提取加工机械</t>
  </si>
  <si>
    <t>2368</t>
  </si>
  <si>
    <t>1090218040000000000</t>
  </si>
  <si>
    <t>水果、坚果或蔬菜加工机械</t>
  </si>
  <si>
    <t>包括蔬菜脱水机械、水果去皮机、去荚机械、去梗机械、水果磨切机械、切菜机、切丝机、切丁机、切片机、酱菜切口机、水浴灭菌机、蔬菜速冻机、水果籽去核机、蔬菜去籽去核机、软化机、水果破碎机、水果榨汁机、蔬菜榨汁机、果汁浓缩机、蔬菜腌制机械、果酱加工机械、调味酱加工机械、番茄酱加工机械，本类不含家用食品加工电动器具，详见109041705。</t>
  </si>
  <si>
    <t>2369</t>
  </si>
  <si>
    <t>1090218050000000000</t>
  </si>
  <si>
    <t>薯类加工机械</t>
  </si>
  <si>
    <t>包括薯类切片切丝机、薯类磨浆机、薯类搅糊机等</t>
  </si>
  <si>
    <t>2370</t>
  </si>
  <si>
    <t>1090218060000000000</t>
  </si>
  <si>
    <t>食用菌生产机械</t>
  </si>
  <si>
    <t>包括菌类装袋机、木耳袋装粉机、木耳栽种机、木耳压块机等</t>
  </si>
  <si>
    <t>2371</t>
  </si>
  <si>
    <t>1090218070000000000</t>
  </si>
  <si>
    <t>养蚕机械</t>
  </si>
  <si>
    <t>包括切桑叶机、蚕种催青机、加热补湿器、蚕种浸酸架、养脱蚕用水机、蚕茧收烘处理器具等</t>
  </si>
  <si>
    <t>2372</t>
  </si>
  <si>
    <t>1090218080000000000</t>
  </si>
  <si>
    <t>淀粉加工机械</t>
  </si>
  <si>
    <t>指生产淀粉的机械设备及其专门配套设备</t>
  </si>
  <si>
    <t>2373</t>
  </si>
  <si>
    <t>1090218090000000000</t>
  </si>
  <si>
    <t>水产品加工机械</t>
  </si>
  <si>
    <t>包括鱼类处理加工机械、虾类处理加工机械、贝类加工机械、贝类加工机械、藻类和海带加工机械、水产熟制品加工机械、其他水产品加工机械</t>
  </si>
  <si>
    <t>2374</t>
  </si>
  <si>
    <t>饲料生产设备</t>
  </si>
  <si>
    <t>1090219010000000000</t>
  </si>
  <si>
    <t>饲料粉碎机（饲料专用设备）</t>
  </si>
  <si>
    <t>包括饲料磨粉机、颗粒饲料微粉碎机、油饼轧碎机、青饲料切片机或压碎机、其他饲料粉碎机</t>
  </si>
  <si>
    <t>2375</t>
  </si>
  <si>
    <t>1090219020000000000</t>
  </si>
  <si>
    <t>配制、加工饲料用机械</t>
  </si>
  <si>
    <t>包括饲料混合机（饲料专用设备）、料制粒机、饲料膨化机（饲料专用设备）等</t>
  </si>
  <si>
    <t>2376</t>
  </si>
  <si>
    <t>1090220010000000000</t>
  </si>
  <si>
    <t>食品生产设备零件</t>
  </si>
  <si>
    <t>包括食品生产用模具或焙锅、其他设备零件</t>
  </si>
  <si>
    <t>2377</t>
  </si>
  <si>
    <t>1090220020000000000</t>
  </si>
  <si>
    <t>乳品加工机械零件</t>
  </si>
  <si>
    <t>包括黄油搅拌桶、黄油加工机的滚筒及放料盘、黄油及奶酪模制用模具</t>
  </si>
  <si>
    <t>2378</t>
  </si>
  <si>
    <t>1090220030000000000</t>
  </si>
  <si>
    <t>酒及饮料加工机械零件</t>
  </si>
  <si>
    <t>包括榨汁机压榨滚筒、轧碎机的带齿滚筒、轧碎机磨碎器、果汁收集器、压榨板及机架、水果轧碎机用带齿滚筒及刀片</t>
  </si>
  <si>
    <t>2379</t>
  </si>
  <si>
    <t>1090220040000000000</t>
  </si>
  <si>
    <t>烟草加工及制作机械零件</t>
  </si>
  <si>
    <t>2380</t>
  </si>
  <si>
    <t>1090220050000000000</t>
  </si>
  <si>
    <t>谷物磨粉工业用机械零件</t>
  </si>
  <si>
    <t>包括谷物磨粉工业用筛及筛架、混合或分离滚筒、谷物磨粉机的滚筒或变换器、其他谷物磨粉工业用机械零件</t>
  </si>
  <si>
    <t>2381</t>
  </si>
  <si>
    <t>1090220990000000000</t>
  </si>
  <si>
    <t>其他食品加工专用设备零件</t>
  </si>
  <si>
    <t>包括食品生产设备零件、乳品加工机械零件、酒及饮料加工机械零件、烟草加工及制作机械零件、谷物磨粉工业用机械零件、其他食品加工专用设备零件</t>
  </si>
  <si>
    <t>2382</t>
  </si>
  <si>
    <t>造纸专用设备</t>
  </si>
  <si>
    <t>1090221010000000000</t>
  </si>
  <si>
    <t>制浆设备</t>
  </si>
  <si>
    <t>包括制浆原料处理设备，洗涤、筛选、漂白、打浆等设备</t>
  </si>
  <si>
    <t>2383</t>
  </si>
  <si>
    <t>1090221020000000000</t>
  </si>
  <si>
    <t>造纸机</t>
  </si>
  <si>
    <t>包括多层纸或纸板生产设备、制造测验用样纸的小型机械</t>
  </si>
  <si>
    <t>2384</t>
  </si>
  <si>
    <t>1090221030000000000</t>
  </si>
  <si>
    <t>纸或纸板整理机械</t>
  </si>
  <si>
    <t>复卷机、卷纸机、打包线、打包机、涂布机、烤版机、纸张浸渍机、绉纸加工机、纸张调湿机、压纹机、压花机、瓦楞纸加工机、瓦楞纸板生产线、其他纸整理机械、其他纸板整理机械</t>
  </si>
  <si>
    <t>2385</t>
  </si>
  <si>
    <t>1090221040000000000</t>
  </si>
  <si>
    <t>纸制品生产专用机械</t>
  </si>
  <si>
    <t>纸包专用生产机械、纸袋专用生产机械、信封专用生产机械</t>
  </si>
  <si>
    <t>2386</t>
  </si>
  <si>
    <t>1090221050000000000</t>
  </si>
  <si>
    <t>纸浆、造纸及纸制品机械零件</t>
  </si>
  <si>
    <t>包括纤维素纸浆机械用零件、造纸及纸板机械用零件、纸制品机械用零件</t>
  </si>
  <si>
    <t>2387</t>
  </si>
  <si>
    <t>印刷专用设备</t>
  </si>
  <si>
    <t>1090222010000000000</t>
  </si>
  <si>
    <t>印前设备</t>
  </si>
  <si>
    <t>包括平版制版设备、凹版制版设备、凸版制版设备、直接制版系统（CTP）、特种模压机、打样机、喷绘机、晒版机、显影机、铸字机、其他印前设备</t>
  </si>
  <si>
    <t>2388</t>
  </si>
  <si>
    <t>1090222020000000000</t>
  </si>
  <si>
    <t>印刷机设备</t>
  </si>
  <si>
    <t>包括平版印刷机（胶印机）、凸版印刷机、柔版印刷机、凹版印刷机、数字印刷机、网式印刷机、印刷装订联动机、组合印刷机、重复图案印刷设备、特种印刷设备、制卡设备、其他印刷机设备</t>
  </si>
  <si>
    <t>2389</t>
  </si>
  <si>
    <t>1090222030000000000</t>
  </si>
  <si>
    <t>装订机械</t>
  </si>
  <si>
    <t>包括折页机（印刷设备）、配页机、搭页机、数纸机、锁线装订机、胶订机、金属线缝合机、三面切书机、装订联动机械、无线胶订书刊生产线、平装胶订生产线、精装书籍装订生产线、其他装订机械</t>
  </si>
  <si>
    <t>2390</t>
  </si>
  <si>
    <t>1090222040000000000</t>
  </si>
  <si>
    <t>印刷包装机械</t>
  </si>
  <si>
    <t>包括印刷捆扎机、印刷打包机、堆积机、糊盒机等</t>
  </si>
  <si>
    <t>2391</t>
  </si>
  <si>
    <t>1090222050000000000</t>
  </si>
  <si>
    <t>印刷用辅助机械</t>
  </si>
  <si>
    <t>2392</t>
  </si>
  <si>
    <t>1090222060000000000</t>
  </si>
  <si>
    <t>印刷、装订机械零件</t>
  </si>
  <si>
    <t>包括印刷机械用零件、印刷用辅助机械零件、书本装订机械用零件、其他印刷装订机械零件</t>
  </si>
  <si>
    <t>2393</t>
  </si>
  <si>
    <t>信息化学品设备</t>
  </si>
  <si>
    <t>1090223010000000000</t>
  </si>
  <si>
    <t>光盘复制生产设备</t>
  </si>
  <si>
    <t>包括用于光盘精密注塑机、真空金属溅镀机、保护胶涂覆机、金属母盘生产设备、其他光盘复制生产设备</t>
  </si>
  <si>
    <t>2394</t>
  </si>
  <si>
    <t>1090223020000000000</t>
  </si>
  <si>
    <t>录音带、录像带复制生产设备</t>
  </si>
  <si>
    <t>包括高速数码复录母机、高速数码复录子机、裁带机、其他录音带录像带复制生产设备</t>
  </si>
  <si>
    <t>2395</t>
  </si>
  <si>
    <t>1090223030000000000</t>
  </si>
  <si>
    <t>软磁盘复制生产设备</t>
  </si>
  <si>
    <t>包括拷贝机、格式化仪、其他软磁盘复制生产设备</t>
  </si>
  <si>
    <t>2396</t>
  </si>
  <si>
    <t>1090223040000000000</t>
  </si>
  <si>
    <t>感光胶片生产设备</t>
  </si>
  <si>
    <t>包括电影胶片生产设备、摄影胶片生产设备、医疗胶片生产设备、其他感光胶片生产设备</t>
  </si>
  <si>
    <t>2397</t>
  </si>
  <si>
    <t>1090223050000000000</t>
  </si>
  <si>
    <t>感光纸及类似品生产设备</t>
  </si>
  <si>
    <t>2398</t>
  </si>
  <si>
    <t>1090223060000000000</t>
  </si>
  <si>
    <t>摄影、复印化学制剂生产设备</t>
  </si>
  <si>
    <t>包括摄影用化学制剂生产设备、复印用化学制剂生产设备</t>
  </si>
  <si>
    <t>2399</t>
  </si>
  <si>
    <t>1090223990000000000</t>
  </si>
  <si>
    <t>其他信息化学品生产设备</t>
  </si>
  <si>
    <t>2400</t>
  </si>
  <si>
    <t>制药专用设备</t>
  </si>
  <si>
    <t>1090224010000000000</t>
  </si>
  <si>
    <t>化学药原料药生产设备</t>
  </si>
  <si>
    <t>包括药用反应设备、药用结晶设备、药用萃取设备、其他化学药原料药生产设备</t>
  </si>
  <si>
    <t>2401</t>
  </si>
  <si>
    <t>1090224020000000000</t>
  </si>
  <si>
    <t>饮片生产机械</t>
  </si>
  <si>
    <t>包括洗药机、润药机、切药机、筛选机、炒药机等</t>
  </si>
  <si>
    <t>2402</t>
  </si>
  <si>
    <t>1090224030000000000</t>
  </si>
  <si>
    <t>制药专用粉碎机械</t>
  </si>
  <si>
    <t>包括机械式药用粉碎机、气流式粉碎机、低温粉碎机、药用粉碎机组、其他药用粉碎机械</t>
  </si>
  <si>
    <t>2403</t>
  </si>
  <si>
    <t>1090224040000000000</t>
  </si>
  <si>
    <t>药品专用包装机械</t>
  </si>
  <si>
    <t>包括药用计数充填机、安瓿印字包装机、胶囊印字机、药用泡罩包装机、多功能药用瓶装包装机、药用袋装包装机、药用盒装包装机、微型铝塑包装机、空心胶囊制造机、其他药品专用包装机械</t>
  </si>
  <si>
    <t>2404</t>
  </si>
  <si>
    <t>1090224050000000000</t>
  </si>
  <si>
    <t>制剂生产设备</t>
  </si>
  <si>
    <t>包括中成药制剂生产设备</t>
  </si>
  <si>
    <t>2405</t>
  </si>
  <si>
    <t>1090224060000000000</t>
  </si>
  <si>
    <t>药物检测设备及仪器</t>
  </si>
  <si>
    <t>包括药物检测设备、药物检测仪器</t>
  </si>
  <si>
    <t>2406</t>
  </si>
  <si>
    <t>1090224070000000000</t>
  </si>
  <si>
    <t>脏器生化制药机械</t>
  </si>
  <si>
    <t>2407</t>
  </si>
  <si>
    <t>照明器具生产设备</t>
  </si>
  <si>
    <t>1090225010000000000</t>
  </si>
  <si>
    <t>玻壳加工机械</t>
  </si>
  <si>
    <t>包括灯泡、灯管、电子真空器件及类似品的玻壳加工机械（封装机械）</t>
  </si>
  <si>
    <t>2408</t>
  </si>
  <si>
    <t>1090225020000000000</t>
  </si>
  <si>
    <t>灯丝、灯头玻璃零件加工机械</t>
  </si>
  <si>
    <t>包括基座垫块加工设备、灯头加工设备、灯丝支架加工设备、以及其他灯丝、灯头玻璃零件加工机械</t>
  </si>
  <si>
    <t>2409</t>
  </si>
  <si>
    <t>1090225030000000000</t>
  </si>
  <si>
    <t>灯泡及类似品封装机</t>
  </si>
  <si>
    <t>包括灯泡、灯管、电子真空器件及类似品的封装机械，以及配套装置</t>
  </si>
  <si>
    <t>2410</t>
  </si>
  <si>
    <t>1090225040000000000</t>
  </si>
  <si>
    <t>灯泡及类似品封装机零件</t>
  </si>
  <si>
    <t>包括灯泡、灯管、电子真空器件及类似品的封装机械零件</t>
  </si>
  <si>
    <t>2411</t>
  </si>
  <si>
    <t>日化专用设备</t>
  </si>
  <si>
    <t>1090226010000000000</t>
  </si>
  <si>
    <t>合成洗涤剂专用设备</t>
  </si>
  <si>
    <t>包括喷粉塔、高压泵、配料罐、后配料混合器、其他合成洗涤剂专用设备</t>
  </si>
  <si>
    <t>2412</t>
  </si>
  <si>
    <t>1090226020000000000</t>
  </si>
  <si>
    <t>肥皂成型专用设备</t>
  </si>
  <si>
    <t>包括压条机、皂类切割机、香皂真空出条机、皂类自动打印机、其他肥皂成型专用设备</t>
  </si>
  <si>
    <t>2413</t>
  </si>
  <si>
    <t>1090226030000000000</t>
  </si>
  <si>
    <t>牙膏、化妆品、香精、香料专用设备</t>
  </si>
  <si>
    <t>包括牙膏配制机、真空均质制膏机、香精、香料搅拌机、软管冲挤机、刮扳式浸花机以及其他牙膏、化妆品专用设备</t>
  </si>
  <si>
    <t>2414</t>
  </si>
  <si>
    <t>1090226040000000000</t>
  </si>
  <si>
    <t>火柴专用生产设备</t>
  </si>
  <si>
    <t>包括火柴浸渍机、其他火柴专用生产设备</t>
  </si>
  <si>
    <t>2415</t>
  </si>
  <si>
    <t>1090226990000000000</t>
  </si>
  <si>
    <t>其他日用化工专用设备</t>
  </si>
  <si>
    <t>2416</t>
  </si>
  <si>
    <t>其他日用品生产设备</t>
  </si>
  <si>
    <t>1090227010000000000</t>
  </si>
  <si>
    <t>搪瓷制品生产设备</t>
  </si>
  <si>
    <t>包括搪瓷烧成炉、搪瓷施釉设备、搪瓷制坯设备、搪瓷涂搪设备、搪瓷饰花设备、搪瓷静电喷涂设备、其他搪瓷制品生产设备</t>
  </si>
  <si>
    <t>2417</t>
  </si>
  <si>
    <t>1090227020000000000</t>
  </si>
  <si>
    <t>文教体育用品专用机械</t>
  </si>
  <si>
    <t>包括铅笔木杆加工机械、石墨铅笔芯挤出机械、粉笔用模制机械、纤维灰浆制品模制成型机械、灰泥制品模制成型机械、其他文教体育用品专用机械</t>
  </si>
  <si>
    <t>2418</t>
  </si>
  <si>
    <t>1090227030000000000</t>
  </si>
  <si>
    <t>日用杂品生产专用设备</t>
  </si>
  <si>
    <t>包括制木纽扣用机械、拉链设备、煤制品生产专用机械、毛刷加工机械、其他日用杂品生产专用设备</t>
  </si>
  <si>
    <t>2419</t>
  </si>
  <si>
    <t>纺织专用设备</t>
  </si>
  <si>
    <t>1090228010000000000</t>
  </si>
  <si>
    <t>化学纺织纤维加工专用机械</t>
  </si>
  <si>
    <t>包括化学纺织纤维原料制取、熔融、拉伸、变形或切断的机械</t>
  </si>
  <si>
    <t>2420</t>
  </si>
  <si>
    <t>1090228020000000000</t>
  </si>
  <si>
    <t>棉纺前纺设备</t>
  </si>
  <si>
    <t>棉纺的抓、开、混、清设备。</t>
  </si>
  <si>
    <t>2421</t>
  </si>
  <si>
    <t>1090228030000000000</t>
  </si>
  <si>
    <t>毛、麻预处理机械</t>
  </si>
  <si>
    <t>包括毛预处理机械、麻预处理机械以及其他毛、麻预处理机械</t>
  </si>
  <si>
    <t>2422</t>
  </si>
  <si>
    <t>1090228040000000000</t>
  </si>
  <si>
    <t>丝、绢预处理机械</t>
  </si>
  <si>
    <t>用于真丝、绢纺原料处理的机械</t>
  </si>
  <si>
    <t>2423</t>
  </si>
  <si>
    <t>1090228050000000000</t>
  </si>
  <si>
    <t>纺织纤维梳理机</t>
  </si>
  <si>
    <t>指用于梳理棉、毛、化学短纤维、韧皮纤维（亚麻、苎麻等）等的机械包括棉纤维型、毛纤维型、麻纤维型及其他梳理机</t>
  </si>
  <si>
    <t>2424</t>
  </si>
  <si>
    <t>1090228060000000000</t>
  </si>
  <si>
    <t>精梳机械</t>
  </si>
  <si>
    <t>指棉、毛、麻等精梳机械</t>
  </si>
  <si>
    <t>2425</t>
  </si>
  <si>
    <t>1090228070000000000</t>
  </si>
  <si>
    <t>成条、针梳机</t>
  </si>
  <si>
    <t>用于成条、针梳等机械</t>
  </si>
  <si>
    <t>2426</t>
  </si>
  <si>
    <t>1090228080000000000</t>
  </si>
  <si>
    <t>粗纱机</t>
  </si>
  <si>
    <t>包括棉纺粗纱机、毛纺粗纱机、麻纺粗纱机、绢纺粗纱机、其他粗纱机</t>
  </si>
  <si>
    <t>2427</t>
  </si>
  <si>
    <t>1090228090000000000</t>
  </si>
  <si>
    <t>细纱机</t>
  </si>
  <si>
    <t>指环锭纺、转杯纺、喷气纺、摩擦纺等各类用于棉毛麻丝纺制细纱的机械</t>
  </si>
  <si>
    <t>2428</t>
  </si>
  <si>
    <t>1090228100000000000</t>
  </si>
  <si>
    <t>纺织纱线处理机械</t>
  </si>
  <si>
    <t>指各类纱的加捻、并合、络纱等的机械</t>
  </si>
  <si>
    <t>2429</t>
  </si>
  <si>
    <t>1090228110000000000</t>
  </si>
  <si>
    <t>织造准备设备</t>
  </si>
  <si>
    <t>包括整经机（纺织设备）、浆纱机、捻丝机、丝束直接纺纱机、穿经架及穿筘机、整经筒子架、并轴机、整浆联合机、其他织造准备设备</t>
  </si>
  <si>
    <t>2430</t>
  </si>
  <si>
    <t>1090228120000000000</t>
  </si>
  <si>
    <t>织机</t>
  </si>
  <si>
    <t>包括用纺织纱线（包括泥炭纤维纱线）或其他纤维纱线（例如，金属纱线、玻璃纤维纱线或石棉纤维纱线）织造织物的纺织机械</t>
  </si>
  <si>
    <t>2431</t>
  </si>
  <si>
    <t>1090228130000000000</t>
  </si>
  <si>
    <t>针织机械</t>
  </si>
  <si>
    <t>包括纬编机、纬编准备机械、圆型纬编机、横机、袜机、经编整经机、特利考经编机、拉舍尔经编机、缝编机、钩编机、其他针织机械</t>
  </si>
  <si>
    <t>2432</t>
  </si>
  <si>
    <t>1090228140000000000</t>
  </si>
  <si>
    <t>非织造机械</t>
  </si>
  <si>
    <t>包括干法成网机械、湿法成网机械、聚合物直接成网机械、加固机械、后整理机械、非织造布生产线联合机、其他非织造机械</t>
  </si>
  <si>
    <t>2433</t>
  </si>
  <si>
    <t>1090228150000000000</t>
  </si>
  <si>
    <t>纺织废料回用、处理设备</t>
  </si>
  <si>
    <t>包括纺织用废棉处理设备、纺织用废纺处理设备</t>
  </si>
  <si>
    <t>2434</t>
  </si>
  <si>
    <t>1090228160000000000</t>
  </si>
  <si>
    <t>印染机械</t>
  </si>
  <si>
    <t>包括印染前处理设备、染色设备、印花设备、整理设备、成品设备、印染辅机及通用单元设备、其他印染机械</t>
  </si>
  <si>
    <t>2435</t>
  </si>
  <si>
    <t>1090228170000000000</t>
  </si>
  <si>
    <t>织造辅助机械及装置</t>
  </si>
  <si>
    <t>包括织造辅助机械、织机辅助装置</t>
  </si>
  <si>
    <t>2436</t>
  </si>
  <si>
    <t>1090228180000000000</t>
  </si>
  <si>
    <t>纺织机械及其辅助机械零件、附件</t>
  </si>
  <si>
    <t>包括化学纺织纤维机械零件，纺织机械专用零、部件，织机及其辅助机械零件，针织机械及其辅助机械零件，其他纺织机械及其辅助机械零件、附件</t>
  </si>
  <si>
    <t>2437</t>
  </si>
  <si>
    <t>皮革专用设备</t>
  </si>
  <si>
    <t>1090229010000000000</t>
  </si>
  <si>
    <t>生皮处理机械</t>
  </si>
  <si>
    <t>对生皮（从动物身上剥下来的皮）进行浸水、脱毛、浸灰、软化、浸酸等一系列加工处理的机械。包括脱毛机(用以将生皮上预先用化学方法松脱的毛发除去)、制革去肉机、刮皮机、挤水伸展机、皮革拉软机、量革机、其他生皮处理机械。</t>
  </si>
  <si>
    <t>2438</t>
  </si>
  <si>
    <t>1090229020000000000</t>
  </si>
  <si>
    <t>皮革鞣制加工机械</t>
  </si>
  <si>
    <t>对生皮进行鞣制(使生皮转变成革）处理的机械。鞣制是鞣剂分子向皮内渗透并与生皮胶原分子活性基团结合而发生性质改变的过程。鞣制使皮胶原多肽链之间生成交联键，增加了胶原结构的稳定性，提高了收缩温度及耐湿热稳定性，改善了抗酸、碱、酶等化学品的能力。包括鞣革机（锤磨机）、滚筒敲打机、锤打机、锤实机、修刮或剖皮机、皮革砂磨机、刷皮机、皮革柔软整理机、打光机、起粒机、其他皮革鞣制加工机械。</t>
  </si>
  <si>
    <t>2439</t>
  </si>
  <si>
    <t>1090229030000000000</t>
  </si>
  <si>
    <t>皮革制品制作机械</t>
  </si>
  <si>
    <t>包括制造或修补生皮（包括毛皮）或皮革制品（例如，鞋靴、手套、茄克衫及其他衣着用品、鞍具、书籍封面、手提包、旅行容器等）的机械。含皮革制品通用制作机械：片皮机（皮革切片或削皮机）、皮革特定形状切割机、皮革穿孔机、皮革刺孔机、皮箱接头机、其他皮革制品通用制作机械；鞋靴专用生产机械：片底机、片帮机、皮革切槽机、楦鞋机、主跟成型机、合布机、抿边机、粘底机、上底机、底工转车、帮角熨平机（包括鞋底边缘或鞋跟边缘的修整、磨光或后处理机械）、鞋靴拉撑机、其他鞋靴专用生产机械；其他皮革制品制作机械。</t>
  </si>
  <si>
    <t>2440</t>
  </si>
  <si>
    <t>1090229040000000000</t>
  </si>
  <si>
    <t>毛皮及其制品制作及修理机械</t>
  </si>
  <si>
    <t>对毛皮（指带毛的动物皮）进行鞣制、染整等制作的机械，制作毛皮制品的机械及对毛皮、毛皮制品进行修理修补的机械。包括毛皮加工机（将皮毛修齐、剪去长毛的专用机械）、毛皮加工机（皮毛刷毛机械）、皮毛染色机械、其他毛皮及其制品制作及修理机械。</t>
  </si>
  <si>
    <t>2441</t>
  </si>
  <si>
    <t>1090229050000000000</t>
  </si>
  <si>
    <t>生皮、皮革处理、鞣制及加工机械零件</t>
  </si>
  <si>
    <t>组成生皮、皮革处理、鞣制及加工机械和机器的不可分拆的单个制件。</t>
  </si>
  <si>
    <t>2442</t>
  </si>
  <si>
    <t>服装加工机械</t>
  </si>
  <si>
    <t>1090230010000000000</t>
  </si>
  <si>
    <t>缝纫机及其零件</t>
  </si>
  <si>
    <t>包括普通家用型缝纫机(作锁式线迹缝纫，装上相应的附件后能作绣花、卷边、镶嵌、锁眼等缝纫的机械)、多功能家用型缝纫机(具有普通家用缝纫机功能，并有多种曲折缝纫功能的缝纫机。如：拼缝、包边、嵌线、锁眼、钉扣，通过花样装置能刺绣图案等。包括机械控制、电子控制和电脑控制的多功能家用型缝纫机)、其他家用型缝纫机(包括家用小包缝机等)、工业用电控平缝机(指用微型计算机控制，具有自动剪线、拔线、倒缝、定位针及抬压脚等功能，直线缝锁式线迹的工业用缝纫机)、工业用相关电控缝纫机(指用微型计算机控制，具有自动剪线、拔线、倒缝、定位针及抬压脚等功能的曲折缝、套结、钉扣、锁眼等工业用电控缝纫机；不包括刺绣机/绣花机)、工业用非电控缝纫机(包括非电控平缝机、包缝机、绷缝机、套结机、钉扣机、锁眼机、曲折缝缝纫机及其他工业用非电控缝纫机)、刺绣机/绣花机(包括单头刺绣机和多头刺绣机)、缝纫机零部件（包括缝纫机针、缝纫机旋梭、缝纫机架、缝纫机台板、其他缝纫机零部件）</t>
  </si>
  <si>
    <t>2443</t>
  </si>
  <si>
    <t>1090230020000000000</t>
  </si>
  <si>
    <t>服装裁剪定型设备</t>
  </si>
  <si>
    <t>包括裁剪机、蒸汽人像机、蒸、烫机、拉布机、粘合机、其他服装裁剪定型设备。</t>
  </si>
  <si>
    <t>2444</t>
  </si>
  <si>
    <t>1090230030000000000</t>
  </si>
  <si>
    <t>羽绒加工设备</t>
  </si>
  <si>
    <t>包括羽绒预分机、羽绒除灰机、羽绒四厢分毛机、羽绒洗脱机/水洗机(含RDY30羽绒专用打包机、除灰小样机等辅助设备)、羽绒烘干机（羽绒专用烘干设备）、充绒机（装填绒被褥或褥垫的机械）、其他羽绒加工设备。不包括服装裁剪、缝纫、定型设备（详见109023002）。</t>
  </si>
  <si>
    <t>2445</t>
  </si>
  <si>
    <t>1090230040000000000</t>
  </si>
  <si>
    <t>制帽机械</t>
  </si>
  <si>
    <t>包括毡呢压机、滚筒压机（用以使帽坯完全毡化）、毡呢帽扩张机（使锥形帽坯进一步成形，并将锥形顶端滚圆）、帽边成形机（帽边通过锥形滚筒时，将其压制成形）、帽坯磨光机（即用浮石或纱布将毡帽坯面上突出的毛发磨去）、帽沿上浆机、楦帽机、沙压机、帽模、其他制帽机械。</t>
  </si>
  <si>
    <t>2446</t>
  </si>
  <si>
    <t>电工机械设备</t>
  </si>
  <si>
    <t>1090231010100000000</t>
  </si>
  <si>
    <t>线圈绕线机</t>
  </si>
  <si>
    <t>包括电线线圈卷绕机、绝缘材料线圈绕线机、线圈包扎设备、定子线圈绕线机、电磁铁线圈绕线机、其他线圈绕线机。</t>
  </si>
  <si>
    <t>2447</t>
  </si>
  <si>
    <t>1090231010200000000</t>
  </si>
  <si>
    <t>嵌线设备</t>
  </si>
  <si>
    <t>包括绕嵌线机、定子绕组嵌线机、其他嵌线设备。</t>
  </si>
  <si>
    <t>2448</t>
  </si>
  <si>
    <t>1090231010300000000</t>
  </si>
  <si>
    <t>绝缘处理设备</t>
  </si>
  <si>
    <t>包括槽绝缘片插入机、自动连续沉浸机、滚浸机、其他绝缘处理设备。</t>
  </si>
  <si>
    <t>2449</t>
  </si>
  <si>
    <t>1090231020000000000</t>
  </si>
  <si>
    <t>电线、电缆专用生产机械</t>
  </si>
  <si>
    <t>包括拉线机、型线轧拉机、拉线联合机组、铜粉流屑过滤机、镀锡机、高速绞线机、压出机、其他电线、电缆专用生产机械。</t>
  </si>
  <si>
    <t>2450</t>
  </si>
  <si>
    <t>1090231030000000000</t>
  </si>
  <si>
    <t>电器绝缘材料设备</t>
  </si>
  <si>
    <t>包括上胶设备、不干胶带涂机、卷制设备、钢/铝塑热贴复合机组、绝缘材料涂复卷管机、板纸复合机组、其他电器绝缘材料设备。</t>
  </si>
  <si>
    <t>2451</t>
  </si>
  <si>
    <t>1090231040000000000</t>
  </si>
  <si>
    <t>电池生产专用设备</t>
  </si>
  <si>
    <t>包括蓄电池流程生产线、圆筒干电池生产线、扣式电池生产线、太阳能电池生产线、其他电池生产专用设备。</t>
  </si>
  <si>
    <t>2452</t>
  </si>
  <si>
    <t>1090231990000000000</t>
  </si>
  <si>
    <t>其他电工机械专用设备</t>
  </si>
  <si>
    <t>2453</t>
  </si>
  <si>
    <t>电子工业设备</t>
  </si>
  <si>
    <t>1090232010000000000</t>
  </si>
  <si>
    <t>半导体材料、器件及集成电路生产设备</t>
  </si>
  <si>
    <t>包括晶体生长及晶圆制备设备、电子材料切片机、电子器件研磨机、电子器件抛光机、硅片倒角机、外延设备。</t>
  </si>
  <si>
    <t>2454</t>
  </si>
  <si>
    <t>1090232020000000000</t>
  </si>
  <si>
    <t>制版设备</t>
  </si>
  <si>
    <t>2455</t>
  </si>
  <si>
    <t>1090232030000000000</t>
  </si>
  <si>
    <t>掩模修补设备</t>
  </si>
  <si>
    <t>2456</t>
  </si>
  <si>
    <t>1090232040000000000</t>
  </si>
  <si>
    <t>芯片制造设备</t>
  </si>
  <si>
    <t>包括光学光刻设备、电子束光刻机、离子束投影光刻机、邻近X射线光刻机、蚀刻设备、掺杂设备、退火设备、快速热处理设备、薄膜生长设备、化学气相淀积设备、中测设备。</t>
  </si>
  <si>
    <t>2457</t>
  </si>
  <si>
    <t>1090232050000000000</t>
  </si>
  <si>
    <t>封装测试设备</t>
  </si>
  <si>
    <t>包括晶圆划片设备、贴膜设备、键合设备、芯片贴装机、引线键合机、封装设备、焊凸形成设备。</t>
  </si>
  <si>
    <t>2458</t>
  </si>
  <si>
    <t>1090232060000000000</t>
  </si>
  <si>
    <t>检测设备</t>
  </si>
  <si>
    <t>包括晶片检测设备、掩膜检查设备、晶圆检测设备、线宽测量设备、终测设备。</t>
  </si>
  <si>
    <t>2459</t>
  </si>
  <si>
    <t>1090232070000000000</t>
  </si>
  <si>
    <t>电子元件及机电组件生产设备</t>
  </si>
  <si>
    <t>包括碳膜、金属膜电阻生产设备、片式电阻、电阻网络生产设备、电感器件、特种变压器生产设备、厚膜电路生产设备、薄膜电路生产设备、电位器生产设备、陶瓷电容器生产设备、薄膜电容器生产设备、铝电解电容器生产设备、敏感元件生产设备、传感器生产设备、压电晶体生产设备、压电陶瓷滤波器生产设备、表面波滤波器生产设备、磁性材料及器件生产设备、电声器件生产设备、开关接插件生产设备、特种线缆加工设备、镍氢电池生产设备、锂离子电池生产设备、太阳能电池片生产设备、其他电子元件及机电组件生产设备。</t>
  </si>
  <si>
    <t>2460</t>
  </si>
  <si>
    <t>1090232080000000000</t>
  </si>
  <si>
    <t>电子真空器件生产设备</t>
  </si>
  <si>
    <t>包括玻壳生产设备、真空开关管生产设备、彩管生产设备、其他电子真空器件生产设备。</t>
  </si>
  <si>
    <t>2461</t>
  </si>
  <si>
    <t>1090232090000000000</t>
  </si>
  <si>
    <t>平板显示器件（FPD）生产设备</t>
  </si>
  <si>
    <t>包括液晶显示器件（LCD）生产设备、等离子显示器件（PDP）生产设备、VFD生产设备、其他平板显示器件生产设备。</t>
  </si>
  <si>
    <t>2462</t>
  </si>
  <si>
    <t>1090232100000000000</t>
  </si>
  <si>
    <t>净化设备及类似设备</t>
  </si>
  <si>
    <t>包括空气净化设备、高纯气体制取设备、超纯水制取设备、废水处理设备、电磁屏蔽设备、防静电设备、其他净化设备及类似设备。</t>
  </si>
  <si>
    <t>2463</t>
  </si>
  <si>
    <t>1090232110000000000</t>
  </si>
  <si>
    <t>环境模拟和可靠性设备</t>
  </si>
  <si>
    <t>包括力学试验设备、气候环境模拟试验设备、综合试验箱。</t>
  </si>
  <si>
    <t>2464</t>
  </si>
  <si>
    <t>1090232120000000000</t>
  </si>
  <si>
    <t>电子整机装联设备</t>
  </si>
  <si>
    <t>包括有引线元器件整机装配生产设备、表面贴装（SMT）设备。</t>
  </si>
  <si>
    <t>2465</t>
  </si>
  <si>
    <t>1090232990000000000</t>
  </si>
  <si>
    <t>其他电子工业专用设备</t>
  </si>
  <si>
    <t>指未列明的半导体器件和集成电路设备及其他设备</t>
  </si>
  <si>
    <t>2466</t>
  </si>
  <si>
    <t>金属处理机械</t>
  </si>
  <si>
    <t>1090233010000000000</t>
  </si>
  <si>
    <t>金属表面处理机械</t>
  </si>
  <si>
    <t>包括全自动氧化生产线、全自动磷化生产线、其他金属表面处理机械含抛丸清理机、钢瓶除锈机、酸洗设备等</t>
  </si>
  <si>
    <t>2467</t>
  </si>
  <si>
    <t>1090233020000000000</t>
  </si>
  <si>
    <t>电解设备及装置</t>
  </si>
  <si>
    <t>包括电解箱、其他电解设备及装置。</t>
  </si>
  <si>
    <t>2468</t>
  </si>
  <si>
    <t>1090233030000000000</t>
  </si>
  <si>
    <t>电镀设备及装置</t>
  </si>
  <si>
    <t>包括全自动直线形电镀生产线、全自动环形垂直升降生产线、全自动卷对卷连续镀生产线、其他电镀设备及装置。</t>
  </si>
  <si>
    <t>2469</t>
  </si>
  <si>
    <t>1090233990000000000</t>
  </si>
  <si>
    <t>其他金属处理机械</t>
  </si>
  <si>
    <t>包括吸引胶管脱铁芯机、钢丝搓齿机</t>
  </si>
  <si>
    <t>2470</t>
  </si>
  <si>
    <t>航空航天设备</t>
  </si>
  <si>
    <t>1090234000000000000</t>
  </si>
  <si>
    <t>航空、航天设备，相关专用设备</t>
  </si>
  <si>
    <t>包括航天试验专用设备、宇航模拟设备、其他航天试验专用设备、航天器总装调试设备含电子式飞行模拟器、名为“林克式地面飞行训练器”的设备等、同位素分离机械、装置、生产重水（氧化氘）机械或装置、浓缩铀235机械或装置、电磁式同位素分离器（卡留管）、其他同位素分离机械、装置含零件。</t>
  </si>
  <si>
    <t>2471</t>
  </si>
  <si>
    <t>农用车</t>
  </si>
  <si>
    <t>1090235010000000000</t>
  </si>
  <si>
    <t>拖拉机</t>
  </si>
  <si>
    <t>包括大型拖拉机（配套动力大于等于73.5kW（100马力）的大型轮式拖拉机、大型履带式拖拉机）、中型拖拉机（配套动力为18.4～73.5kW（25～100马力），不含73.5kW（100马力）的中型轮式拖拉机、中型履带式拖拉机）、小型拖拉机（小型四轮拖拉机配套动力小于18.4kW（25马力）、手扶拖拉机、其他小型拖拉机。</t>
  </si>
  <si>
    <t>2472</t>
  </si>
  <si>
    <t>1090235020000000000</t>
  </si>
  <si>
    <t>特种结构拖拉机</t>
  </si>
  <si>
    <t>包括运输型拖拉机、船式拖拉机（机耕船）、高架拖拉机、坡地拖拉机、其他特种结构拖拉机。</t>
  </si>
  <si>
    <t>2473</t>
  </si>
  <si>
    <t>1090235040000000000</t>
  </si>
  <si>
    <t>农林用自装或自卸式挂车</t>
  </si>
  <si>
    <t>包括农用半挂车、自装或自卸式挂车、其他农林用自装或自卸式挂车。</t>
  </si>
  <si>
    <t>2474</t>
  </si>
  <si>
    <t>1090235030000000000</t>
  </si>
  <si>
    <t>船式拖拉机（机耕船）</t>
  </si>
  <si>
    <t>2475</t>
  </si>
  <si>
    <t>农业机械</t>
  </si>
  <si>
    <t>1090236010000000000</t>
  </si>
  <si>
    <t>土壤耕整机械</t>
  </si>
  <si>
    <t>指开垦、翻土、耕地、犁地、松土等农用机械。包括耕地机械（翻转犁、铧式犁、圆盘犁、栅条犁、旋耕机、耕整机、微耕机、田园管理机、开沟机（器）、浅松机、深松机、浅耕深松机、机滚船、机耕船、其他耕地机械）、整地机械（钉齿耙、弹齿耙、圆盘耙、滚子耙、驱动耙、起垄机、镇压器、合墒器、灭茬机、其他整地机械）、其他土壤耕整机械。</t>
  </si>
  <si>
    <t>2476</t>
  </si>
  <si>
    <t>1090236020000000000</t>
  </si>
  <si>
    <t>种植施肥机械</t>
  </si>
  <si>
    <t>包括播种机械（条播机、穴播机、异性种子播种机、小粒种子播种机、根茎类种子播种机、水稻（水、旱）直播机、撒播机、免耕播种机、其他播种机械）、育苗机械（秧盘播种成套设备、秧田播种机、种子处理设备、营养钵压制机、起苗机、其他育苗机械设备）、栽植机械（蔬菜移栽机、油菜直播机、水稻插秧机、水稻抛秧机、水稻摆秧机、甘蔗种植机、草皮栽补机、树木移栽机、其他栽植机械）、施肥机械（施肥机（化肥）、撒肥机（厩肥）、追肥机、中耕追肥机、其他施肥机械）、地膜机械（地膜覆盖机、残膜回收机、其他地膜机械）、其他种植施肥机械。</t>
  </si>
  <si>
    <t>2477</t>
  </si>
  <si>
    <t>1090236030000000000</t>
  </si>
  <si>
    <t>田间管理机械</t>
  </si>
  <si>
    <t>包括中耕机械（中耕机、培土机、除草机、埋藤机、其他中耕机械）、植保机械（手动喷雾器含背负式、压缩式、踏板式，电动喷雾器含背负式、手提式，机动喷雾喷粉机，机动喷雾机含担架式、推车式，喷杆喷雾机含牵引式、自走式、悬挂式，喷杆喷雾机含牵引式，烟雾机含常温烟雾机、热烟雾机，杀虫灯含灭蛾灯、诱虫灯，其他植保机械）、修剪机械（嫁接设备、茶树修剪机、果树修剪机、草坪修剪机、割灌机（田间机械）、其他修剪机械）、其他田间管理机械。</t>
  </si>
  <si>
    <t>2478</t>
  </si>
  <si>
    <t>1090236040000000000</t>
  </si>
  <si>
    <t>收获机械</t>
  </si>
  <si>
    <t>包括谷物收获机械（自走轮式谷物联合收获机（全喂入）、自走履带式谷物联合收获机（全喂入）、背负式谷物联合收割机、牵引式谷物联合收割机、半喂入联合收割机、梳穗联合收割机、大豆收获专用割台、割晒机、割捆机、其他谷物收获机械）、玉米收获机械（背负式玉米收获机、牵引式玉米收获机、自走式玉米联合收获机、穗茎兼收玉米收获机、其他玉米收获机械）、棉麻作物收获机械（棉花收获机、麻类作物收获机、其他棉麻作物收获机械）、果实收获机械（葡萄收获机、果实捡拾机、草莓收获机、其他果实收获机械）、蔬菜收获机械（豆类蔬菜收获机、叶类蔬菜收获机、果类蔬菜收获机、其他蔬菜收获机）、花卉（茶叶）采收机械（花卉采收机、啤酒花收获机、采茶机、其他花卉（茶叶）采收机械）、籽粒作物收获机械（油菜籽收获机、葵花籽收获机、草籽收获机、花生收获机、其他籽粒作物收获机械）、根茎作物收获机械（薯类收获机、大蒜收获机、甜菜收获机、药材挖掘机、甘蔗收获机、甘蔗割铺机、甘蔗剥叶机、其他根茎作物收获机械）、饲料作物收获机械（青饲料收获机、牧草收获机、割草机、翻晒机、搂草机、捡拾压捆机、压捆机、其他饲料作物收获机械）、茎秆收集处理机械（秸秆粉碎还田机、高秆作物割晒机、其他茎秆收集处理机械）、其他收获机械。</t>
  </si>
  <si>
    <t>2479</t>
  </si>
  <si>
    <t>1090236050000000000</t>
  </si>
  <si>
    <t>收获后处理机械</t>
  </si>
  <si>
    <t>脱粒机械（稻麦脱粒机、玉米脱粒机、脱扬机、其他脱粒机械）、清选机械（粮食清选机、种子清选机、甜菜清理机、籽棉清理机、扬场机、其他清选机械）、剥壳（去皮）机械（玉米剥壳机、花生脱壳机、棉籽剥壳机、干坚果脱壳机、青豆脱壳机、大蒜去皮机、其他剥壳（去皮）机械）、农产品干燥机械（粮食烘干机、种子烘干机、籽棉烘干机、果蔬烘干机、药材烘干机、油菜籽烘干机、其他农产品干燥机械）、种子加工机械（脱芒（绒）机、种子分级机、种子包衣机、种子加工机组、种子丸化处理机、棉籽脱绒成套设备、其他种子加工机械）、仓储机械（金属筒仓、输粮机、简易保鲜储藏设备、其他仓储机械）、其他收获后处理机械。</t>
  </si>
  <si>
    <t>2480</t>
  </si>
  <si>
    <t>1090236060000000000</t>
  </si>
  <si>
    <t>设施农业设备</t>
  </si>
  <si>
    <t>指专门用于设施农业的设备。包括日光温室设施设备、塑料大棚设施设备、连栋温室设施设备、其他设施农业设备。</t>
  </si>
  <si>
    <t>2481</t>
  </si>
  <si>
    <t>1090236070000000000</t>
  </si>
  <si>
    <t>农田基本建设机械</t>
  </si>
  <si>
    <t>包括农田挖掘机械（农田挖掘机、开沟机（开渠用）、农田挖坑机、农田推土机、其他农田挖掘机械）、农田平地机械（农田平地机、农田铲运机、其他农田平地机械）、其他农田基本建设机械。</t>
  </si>
  <si>
    <t>2482</t>
  </si>
  <si>
    <t>1090236080100000000</t>
  </si>
  <si>
    <t>微灌设备</t>
  </si>
  <si>
    <t>包括微喷、滴灌、渗灌设备</t>
  </si>
  <si>
    <t>2483</t>
  </si>
  <si>
    <t>1090236089900000000</t>
  </si>
  <si>
    <t>其他喷灌机械设备</t>
  </si>
  <si>
    <t>2484</t>
  </si>
  <si>
    <t>1090236090000000000</t>
  </si>
  <si>
    <t>园艺、草坪专用机械</t>
  </si>
  <si>
    <t>包括无土栽培机械和设施、草坪及运动场地滚压机、草坪机动割草机、起草皮机、其他园艺、草坪专用机械</t>
  </si>
  <si>
    <t>2485</t>
  </si>
  <si>
    <t>1090237010000000000</t>
  </si>
  <si>
    <t>林地清理机械</t>
  </si>
  <si>
    <t>指清除灌木丛、矮林丛的茎、树根等用机械，包括割灌机（林地机械）、除灌机、挖坑机、其他林地清理机械。</t>
  </si>
  <si>
    <t>2486</t>
  </si>
  <si>
    <t>1090237020000000000</t>
  </si>
  <si>
    <t>造林机械</t>
  </si>
  <si>
    <t>包括植树机（植树器）、容器苗栽植机、飞机播种装置、树木挖根机、树木移植机、树木削枝机、其他造林机械</t>
  </si>
  <si>
    <t>2487</t>
  </si>
  <si>
    <t>1090237030000000000</t>
  </si>
  <si>
    <t>营林机械</t>
  </si>
  <si>
    <t>包括林木种子加工机械、采种机、树木种子处理及脱粒机。</t>
  </si>
  <si>
    <t>2488</t>
  </si>
  <si>
    <t>1090237040000000000</t>
  </si>
  <si>
    <t>风力灭火机具</t>
  </si>
  <si>
    <t>包括风力灭火机、风力灭火器。</t>
  </si>
  <si>
    <t>2489</t>
  </si>
  <si>
    <t>1090237050000000000</t>
  </si>
  <si>
    <t>竹木采集机械</t>
  </si>
  <si>
    <t>包括伐木机、伐木集材机、树桩挖除机、竹木材出河机、摇树机、其他竹木采集机械。</t>
  </si>
  <si>
    <t>2490</t>
  </si>
  <si>
    <t>1090237060000000000</t>
  </si>
  <si>
    <t>木材运输机械</t>
  </si>
  <si>
    <t>包括运材挂车、其他木材运输机械。</t>
  </si>
  <si>
    <t>2491</t>
  </si>
  <si>
    <t>1090237070000000000</t>
  </si>
  <si>
    <t>木生产专用工具</t>
  </si>
  <si>
    <t>包括原木装车机、抓具、木材出河机、木材装载机、编扎机、装排机。</t>
  </si>
  <si>
    <t>2492</t>
  </si>
  <si>
    <t>1090238010000000000</t>
  </si>
  <si>
    <t>草原建设机械</t>
  </si>
  <si>
    <t>包括牧草补播种机、草地深松机、网围栏设备、其他草原建设机械。</t>
  </si>
  <si>
    <t>2493</t>
  </si>
  <si>
    <t>1090238020000000000</t>
  </si>
  <si>
    <t>饲料（草）加工机械设备</t>
  </si>
  <si>
    <t>包括青贮切碎机、铡草机、揉丝机、压块机、饲料粉碎机（畜牧机械）、饲料混合机（畜牧机械）、饲料破碎机、饲料分级筛、饲料打浆机、颗粒饲料压制机、饲料搅拌机、饲料加工成套设备、饲料膨化机（畜牧机械）、其他饲料（草）加工机械设备。</t>
  </si>
  <si>
    <t>2494</t>
  </si>
  <si>
    <t>1090238030000000000</t>
  </si>
  <si>
    <t>畜牧饲养机械</t>
  </si>
  <si>
    <t>包括孵化机、育雏保温伞、螺旋喂料机、送料机、饮水器、清粪机（车）、鸡笼鸡架、消毒机、药浴机、网围栏、其他畜牧饲养机械。</t>
  </si>
  <si>
    <t>2495</t>
  </si>
  <si>
    <t>1090238040000000000</t>
  </si>
  <si>
    <t>畜产品采集加工机械设备</t>
  </si>
  <si>
    <t>包括挤奶机、剪羊毛机、牛奶分离机、储奶罐、家禽脱羽设备、家禽浸烫设备、生猪浸烫设备、生猪刮毛设备、屠宰加工成套设备、其他畜产品采集加工机械设备。</t>
  </si>
  <si>
    <t>2496</t>
  </si>
  <si>
    <t>1090238050000000000</t>
  </si>
  <si>
    <t>养蜂设备</t>
  </si>
  <si>
    <t>包括榨蜜机、巢础机、蜂巢重熔用热水浴器、其他养蜂设备。</t>
  </si>
  <si>
    <t>2497</t>
  </si>
  <si>
    <t>1090238990000000000</t>
  </si>
  <si>
    <t>其他畜牧机械</t>
  </si>
  <si>
    <t>指其他畜禽动物饲养机械</t>
  </si>
  <si>
    <t>2498</t>
  </si>
  <si>
    <t>1090239010000000000</t>
  </si>
  <si>
    <t>渔业养殖机械</t>
  </si>
  <si>
    <t>包括投饵机械、增氧机械、工厂化养殖机械、网箱养殖设备、藻类养殖机械、水体净化处理设备、水产品采集机械、其他渔业养殖机械。</t>
  </si>
  <si>
    <t>2499</t>
  </si>
  <si>
    <t>1090239020000000000</t>
  </si>
  <si>
    <t>捕捞机械</t>
  </si>
  <si>
    <t>包括绞钢机械、起网机械、起钓机械、绞贝类捕捞机械、其他捕捞机械。</t>
  </si>
  <si>
    <t>2500</t>
  </si>
  <si>
    <t>1090239030000000000</t>
  </si>
  <si>
    <t>鱼货起卸设备</t>
  </si>
  <si>
    <t>包括船用吸鱼机、码头吸鱼机、鱼货出舱机、其他鱼货起卸设备。</t>
  </si>
  <si>
    <t>2501</t>
  </si>
  <si>
    <t>1090239040000000000</t>
  </si>
  <si>
    <t>渔业织网机械</t>
  </si>
  <si>
    <t>包括织网机、编网机、绕线机、整经机（捕捞机械）。</t>
  </si>
  <si>
    <t>2502</t>
  </si>
  <si>
    <t>1090239050000000000</t>
  </si>
  <si>
    <t>网片处理机械</t>
  </si>
  <si>
    <t>包括网片定型机、网片拉伸机、网片染色机、网片脱水机。</t>
  </si>
  <si>
    <t>2503</t>
  </si>
  <si>
    <t>1090239990000000000</t>
  </si>
  <si>
    <t>其他渔业捕捞养殖机械</t>
  </si>
  <si>
    <t>2504</t>
  </si>
  <si>
    <t>1090240010000000000</t>
  </si>
  <si>
    <t>碾米机</t>
  </si>
  <si>
    <t>包括碾米机、砻谷机、谷糙分离机、砻碾组合米机、碾米加工成套设备、其他碾米机械。</t>
  </si>
  <si>
    <t>2505</t>
  </si>
  <si>
    <t>1090240020000000000</t>
  </si>
  <si>
    <t>磨粉（浆）机械</t>
  </si>
  <si>
    <t>包括打麦机、洗麦机、磨粉机、面粉加工成套设备、磨浆机、其他磨粉（浆）机械。</t>
  </si>
  <si>
    <t>2506</t>
  </si>
  <si>
    <t>1090240030000000000</t>
  </si>
  <si>
    <t>茶叶加工机械</t>
  </si>
  <si>
    <t>包括杀青机、揉捻机、切茶机、炒茶机、拣梗机、茶叶压实机械、茶叶加工成套机械、茶叶炒（烘）干机、茶叶萎凋机、茶叶揉切机、茶叶解块筛选机、茶叶发酵机、茶叶烘干机、茶叶筛分机、茶叶风选机、茶叶炒车机、茶叶切细机、特种茶叶加工机械、其他茶叶加工机械。</t>
  </si>
  <si>
    <t>2507</t>
  </si>
  <si>
    <t>1090240040000000000</t>
  </si>
  <si>
    <t>纺织纤维初加工机械</t>
  </si>
  <si>
    <t>包括棉花加工机械（轧花机、皮棉清理机、剥绒机、棉花打包机、其他棉花加工机械）、麻类加工机械（刮麻机、剥麻机、洗麻机、其他麻类加工机械）、蚕丝捻丝前预处理机（蚕茧成套剥衣机、抽丝用容器、其他蚕丝捻丝前预处理机）、其他纺织纤维初加工机械（含除去生丝纱上瘤节、粗丝等用的机械）。</t>
  </si>
  <si>
    <t>2508</t>
  </si>
  <si>
    <t>1090240050000000000</t>
  </si>
  <si>
    <t>农产品清洁、分选机械</t>
  </si>
  <si>
    <t>包括蛋类清洁、分选机械（蛋类光电检验器、蛋类光电分级器、其他蛋类清洁、分选机械）、种子、谷物清洁、分选机械（谷物清洁机及分级机、磁性分级机、电磁分级机、谷物或干豆去壳机、风选机、分级簸扬机、旋转簸扬机、种子或谷物挑选机、筛选带、种子专用分选、分级机械、清洁、分选及分级操作联合机械、其他种子、谷物清洁、分选机械）、果蔬清洁、分选机械（水果分级机、水果打蜡机、蔬菜清洗机、薯类分级机、蔬菜分级机、其他果蔬清洁、分选机械）。</t>
  </si>
  <si>
    <t>2509</t>
  </si>
  <si>
    <t>1090240060000000000</t>
  </si>
  <si>
    <t>农用包装机械</t>
  </si>
  <si>
    <t>2510</t>
  </si>
  <si>
    <t>1090240070000000000</t>
  </si>
  <si>
    <t>竹、藤、棕、草材料制品加工机械</t>
  </si>
  <si>
    <t>指用柳条、竹料、藤、草、木条、塑料等编织篮筐等的机械。包括柳条、藤条加工机械（柳条、藤条等剥皮、分切、削圆等加工机械），柳竹藤草、塑料编织机械，其他竹、藤、棕、草材料制品加工机械。</t>
  </si>
  <si>
    <t>2511</t>
  </si>
  <si>
    <t>1090240990000000000</t>
  </si>
  <si>
    <t>其他农产品初加工机械</t>
  </si>
  <si>
    <t>2512</t>
  </si>
  <si>
    <t>1090241000000000000</t>
  </si>
  <si>
    <t>农林牧渔机械零配件</t>
  </si>
  <si>
    <t>包括拖拉机零配件、农用喷射机械或器具零件、整地或耕作机械零件（农业、园艺及林业用整地或耕作机械的零件）、作物收获机械零件（包括作物收割、脱粒、打包机械的零件）、联合收割机零件、其他作物收获机械零件、畜牧业机械零件、家禽饲养、孵卵及育雏机械零件、挤奶机零件（包括供挤奶机用的桶、盖、脉动器、挤奶杯及其配件）、其他畜牧业机械零件。</t>
  </si>
  <si>
    <t>2513</t>
  </si>
  <si>
    <t>医疗仪器器械</t>
  </si>
  <si>
    <t>1090242010000000000</t>
  </si>
  <si>
    <t>医用X射线设备</t>
  </si>
  <si>
    <t>包括X射线诊断设备（常规透视用X射线机、乳腺X射线机、泌尿系统诊断X射线机、胃肠检查用X射线机、X射线骨密度测量设备、摄影用X射线机、骨科X射线设备、胸部荧光缩影X射线装置、数字减影X射线机、便携式X射线机、其他X射线诊断设备）、射线断层摄影设备（CT机）（头部CT机、全身CT机、螺旋CT机、螺旋扇扫CT机、其他射线断层摄影设备）、牙科用X射线应用设备（牙科（单牙）X射线机、口腔颔面全景X射线机含全颔X射线机、其他牙科用X射线应用设备）、医疗用X射线应用设备（深层治疗X射线设备、浅层治疗X射线设备、接触治疗X射线设备、其他医用X射线治疗设备）、外科用X射线应用设备（X射线手术影像设备、手术用床旁X射线机、介入治疗X射线机、其他外科用X射线应用设备）、兽医用X射线应用设备、低剂量X射线安全检查设备、其他医用X射线设备。</t>
  </si>
  <si>
    <t>2514</t>
  </si>
  <si>
    <t>1090242020000000000</t>
  </si>
  <si>
    <t>X射线附属设备及部件</t>
  </si>
  <si>
    <t>包括X射线管、X光发生器、检查用家具及医用射线设备零件。X射线管、管组件或源组件含工业用、其他用途的X光管（X射线管、医用固定阳极X射线管、旋转阳极X射线管、X射线CT管、栅极X射线管及管组件含栅极X射线管及管组件、源组件、其他X射线附属设备及部件指其他医用X射线管及管组件、源组件）、X射线相关附属设备及部件（X射线影像增强器、医用透视荧光屏、医用增感屏含医用中速、高速增感屏、牙用增感屏、X光发生器、其他X射线相关附属设备及部件）、医用X射线机配套用家具（X射线检查用电动胃肠床、电动摄影平床、电动导管床、电动断层床、无轨悬吊装置、X射线管用电动立柱式支持装置、其他医用X射线机配套用家具）、医用X线设备零件。</t>
  </si>
  <si>
    <t>2515</t>
  </si>
  <si>
    <t>1090242030000000000</t>
  </si>
  <si>
    <t>医用α、β、γ射线应用设备</t>
  </si>
  <si>
    <t>包括医用高能射线治疗设备（医用电子直线加速器、医用回旋加速器、医用中子治疗机、医用质子治疗机、其他医用高能射线治疗设备）、医用放射性核素诊断设备（PECT（正电子发射断层扫描装置）、SPECT（单光子发射断层扫描装置）、放射性核素透视机、r射线探测仪、放射性核素扫描仪、甲状腺放射性核素显像、放射性核素骨密度测量设备、核素听诊器、其他医用放射性核素诊断设备）、医用放射性核素治疗设备（钴60治疗机、核素后装近距离治疗机、医用核素远距离治疗装置、植入式放射源、其他医用放射性核素治疗设备）、核素标本测定装置（放射免疫测定仪、其他核素标本测定装置）、医用离子射线检验设备、其他医用射线应用设备。</t>
  </si>
  <si>
    <t>2516</t>
  </si>
  <si>
    <t>1090242040000000000</t>
  </si>
  <si>
    <t>医用超声诊断、治疗仪器及设备</t>
  </si>
  <si>
    <t>包括医用超声诊断仪器设备（B型超声波诊断仪含眼科专用B超诊断仪、便携式B型超声诊断设备、其他B型超声波诊断仪，彩色超声波诊断仪含全数字化复合式彩超仪、超声彩色血流成像设备、“模-数”复合式专用型彩超仪、机械扇形或复合式彩超仪，M型超声波诊断仪，A型超声波诊断仪含眼科专用A超诊断仪器，C型超声波诊断仪，超声多普勒设备含经颅超声多普勒设备、超声多普勒胎音（心）仪，超声血流检测设备，超声骨密度检测设备含超声骨密度（骨质）仪，超声胃镜，超声结肠镜，超声内窥镜，超声宫内镜，复合式扫描超声诊断仪，相控阵超声诊断仪，多普勒超声血流成像仪，超声胎儿监护仪，其他医用超声诊断仪器设备）、超声手术及聚焦治疗装置（眼科乳化手术系统、超声手术刀、超声癌症治疗机、超声外科吸引装置、经颅超声多普勒、高强度聚焦超声系统（HIFO）、其他超声手术及聚焦治疗装置）、超声治疗设备（超声治疗机、超声雾化器、穴位超声治疗机、超声骨折治疗机、超声洁牙机、超声去脂仪、超声理疗美容仪、其他超声治疗设备）、超声换能器（探头）（腔内换能器、导管式换能器、穿刺换能器、血管换能器、线阵换能器、凸阵换能器、环阵换能器、单晶片换能器、相控阵换能器、连续多普勒笔形换能器、声表面波换能器、浅表高频换能器、食道超声换能器、其他超声换能器（探头））、其他医用超声治疗仪器及设备。</t>
  </si>
  <si>
    <t>2517</t>
  </si>
  <si>
    <t>1090242050000000000</t>
  </si>
  <si>
    <t>医用电气诊断仪器及装置</t>
  </si>
  <si>
    <t>包括功能检查或生理参数检查用装置。心电诊断仪器（心电图记录仪含胎儿心电图机、心电向量图机、单导心电图机、多导心电图机、心电图综合测试仪，心音描记器指以心音图形式记录心脏声音的专门仪器，也可作为心电图记录仪使用，心动冲击图仪器，心磁图仪器，心输出量测定仪器，心脏检查器，心电阻描记器指测量由心功能所引起的电阻变化用的电气设备，心电分析仪含心电多相分析仪，晚电位测试仪，无损伤心功能检测仪，心率变异性检测仪，运动心电功量计，心电遥测仪，心电电话传递系统，实时心律分析记录仪，长程心电记录仪，心电标测图仪，心电工作站，其他心电诊断仪器）、脑电诊断仪器（脑电图机、脑电阻仪、脑电流描记器、脑电波分析仪、脑地形图仪、脑电实时分析记录仪、其他脑电诊断仪器）、医用磁共振设备（核磁共振成像装置含医用磁共振成像设备、骨密度仪、甲状腺功能测定仪、永磁型共振成像系统、常导型磁共振成像系统、超导型磁共振成像系统、其他医用磁共振设备）、血流量、容量测定装置（脑血流描述器、阻抗血流图仪、电磁血流量计、无创心输出量计、脉搏描述器用于记录动脉压和血容量、心脏血管功能综合测试仪、其他血流量、容量测定装置）、电子压力测定装置（无创性电子血压计，插入式血压计，体脂肪计，电子血压脉搏仪，动态血压监护仪，眼压、眼震电图仪用于记录眼动脉压、眼静脉压或眼内压的变化包括三笔眼震电图机、电子眼压描述器，视网膜电描述器用于测定视网膜的动脉压，其他电子压力测定装置）、电声诊断仪器（听力计及类似设备指通过频率变化的方式进行听力测验包括听力计、小儿测听计，心音图仪，舌音图仪，胃肠电流图仪，诱发电位检测系统，其他电声诊断仪器）、闪烁摄影装置指带有闪烁计数器的设备，可将所测数据转换成模拟信号供医疗诊断用（医用伽玛（γ）照相机、闪烁扫描器、其他闪烁摄影装置）、紫红外线诊断、治疗设备（医用红外热像仪、红外经乳腺诊断仪、红外线凝固仪器、紫外线治疗机、红外线治疗机、远红外辐射治疗机、其他紫红外线诊断、治疗设备）、其他医用电气诊断仪器及装置含肌电诊断仪器</t>
  </si>
  <si>
    <t>2518</t>
  </si>
  <si>
    <t>1090242060000000000</t>
  </si>
  <si>
    <t>医用激光诊断、治疗仪器及设备</t>
  </si>
  <si>
    <t>包括激光诊断仪器（氦镉激光器、激光白内障诊断装置、激光眼科诊断仪、激光肿瘤光谱诊断装置、激光荧光肿瘤诊断仪、眼科激光扫描仪、2类（弱激光）激光诊断仪、激光血液分析仪、激光多普勒血流仪、其他激光诊断仪器）、激光手术和治疗设备（气体激光手术设备、眼科激光光凝机、固体激光手术设备、3B类半导体激光治疗仪、4类（强激光）半导体激光治疗仪、氮分子激光治疗仪、晶体激光乳化设备、激光血管焊接机、介入式激光诊治仪器含He-Ne激光血管内照射治疗仪、其他激光手术和治疗设备）、弱激光体外治疗仪器（氦氖激光治疗机、氦镉激光治疗机、3A（弱激光）半导体激光治疗机、激光针灸治疗仪、其他弱激光体外治疗仪器）、激光手术器械（激光显微手术器、LASIK用角膜板层刀、其他激光手术器械）。</t>
  </si>
  <si>
    <t>2519</t>
  </si>
  <si>
    <t>1090242070000000000</t>
  </si>
  <si>
    <t>医用高频仪器设备</t>
  </si>
  <si>
    <t>包括高频手术和电凝设备（高频电刀、高频扁桃体手术器、高频息肉手术器、高频眼科电凝器、内窥镜高频手术器、后尿道电切开刀、高频腋臭治疗仪、高频鼻甲电凝器、高频痔疮治疗仪、射频控温热凝器、其他高频手术和电凝设备）、高频电熨设备（高频电灼器、高频妇科电熨器、高频五官科电熨器、其他高频电熨设备）</t>
  </si>
  <si>
    <t>2520</t>
  </si>
  <si>
    <t>1090242080000000000</t>
  </si>
  <si>
    <t>微波、射频、高频诊断治疗设备</t>
  </si>
  <si>
    <t>包括微波诊断设备（微波肿瘤诊断仪、其他微波诊断设备）、微波治疗设备（微波手术刀、微波肿瘤热疗仪、微波前列腺治疗仪、微波治疗机、其他微波治疗设备）、射频治疗设备（射频前列腺治疗仪、射频消融治疗仪、内生物肿瘤热疗系统、肿瘤射频热疗机、短波治疗机、超短波电疗机、其他射频治疗设备）、高频电极装置（电凝钳、电凝镊、手术电极、其他高频电极装置）、其他微波、射频、高频诊断治疗设备</t>
  </si>
  <si>
    <t>2521</t>
  </si>
  <si>
    <t>1090242090000000000</t>
  </si>
  <si>
    <t>中医诊断、治疗仪器设备</t>
  </si>
  <si>
    <t>包括中医诊断仪器（中医诊断仪、痛阈测量仪、经络分析仪、其他中医诊断仪器）、中医治疗仪器（综合电针仪、电麻仪、定量针麻仪、电子穴位测定治疗仪、探穴针麻仪、穴位测试仪、耳穴探测治疗机、其他中医治疗仪器）</t>
  </si>
  <si>
    <t>2522</t>
  </si>
  <si>
    <t>1090242100000000000</t>
  </si>
  <si>
    <t>病人监护设备及器具</t>
  </si>
  <si>
    <t>包括无创病人监护仪器（心律失常监护报警器、麻醉气体监护扩护仪、呼吸功能监护仪、睡眠监护评价系统、分娩监护仪、带T段分析监护仪、其他无创病人监护仪器）、有创式电生理仪器（体外震波碎石机、病人有创监护系统、颅内压监护仪、有创心输出量计、有创多导生理记录仪、心内希氏束电图机、心内外膜标测图仪、有创性电子血压计、其他有创式电生理仪器）生物反馈仪（肌电生物反馈仪、温度生物反馈仪、心率反馈仪、其他生物反馈仪）、体外反搏及其辅助循环装置（气囊式体外反搏装置、睡眠呼吸治疗系统、心电电极、心电导联线、其他体外反搏及其辅助循环装置）、医用记录仪器（热笔记录仪、热阵记录仪、喷笔记录仪、光记录仪、磁记录仪、X-Y记录仪、固态记录仪、其他医用记录仪器）其他病人监护设备及器具。</t>
  </si>
  <si>
    <t>2523</t>
  </si>
  <si>
    <t>1090242110000000000</t>
  </si>
  <si>
    <t>临床检验分析仪器及诊断系统</t>
  </si>
  <si>
    <t>包括血液分析仪器设备（血红蛋白测定仪、血小板聚集仪、全自动血细胞分析仪、全自动涂片机、流式细胞分析仪、全自动凝血纤溶分析仪、半自动血细胞分析仪、血凝分析仪、自动血库系统、血糖分析仪、血流变仪、血液粘度计、红细胞变形仪、血液流变参数测试仪、血栓弹力仪、其他血液分析仪器设备）、血气分析系统（全自动血气分析仪、组织氧含量测定仪、血氧饱和度测试仪、CO2红外分析仪、经皮血氧分压监测仪、血气酸碱分析仪、电化学测氧仪、其他血气分析系统）、生理研究实验仪器（方波生理仪、生物电脉冲分析仪、生物电脉冲频率分析仪、微电极控制器、微操纵器、微电极监视器、其他生理研究实验仪器）、生化分析仪器（全自动生化分析仪、全自动快速（干式）生化分析仪、全自动多项电解质分析仪、半自动生化分析仪、半自动单/多项电解质分析仪、其他生化分析仪器）、免疫分析系统（全自动免疫分析仪、特定蛋白分析仪、化学发光测定仪、荧光免疫分析仪、酶免仪、半自动酶标仪、荧光显微检测系统、其他免疫分析系统）、细菌分析系统（细菌测定系统、结核杆菌分析仪、药敏分析仪、快速细菌培养仪、幽门螺旋杆菌测定仪、其他细菌分析系统）、基因和生命科学仪器（全自动医用PCR分析系统、精子分析仪、生物芯片阅读仪、PCR扩增仪、其他基因和生命科学仪器）、自动尿液分析仪、临床医学检验辅助设备、其他临床检验分析仪器及诊断系统</t>
  </si>
  <si>
    <t>2524</t>
  </si>
  <si>
    <t>1090242120000000000</t>
  </si>
  <si>
    <t>医用电泳仪</t>
  </si>
  <si>
    <t>包括低压电泳仪、中压电泳仪、高压电泳仪</t>
  </si>
  <si>
    <t>2525</t>
  </si>
  <si>
    <t>1090242130000000000</t>
  </si>
  <si>
    <t>医用化验和基础设备器具</t>
  </si>
  <si>
    <t>包括医用培养箱主要由透明塑料制的箱体、电气加温装置、安全报警装置、氧气及空气过滤和调节装置组成（CO2培养箱、超净恒温培养箱、厌氧培养装置、其他医用培养箱）、病理分析前处理设备（切片机（医用）、整体切片机、自动组织脱水机、染色机、包埋机、组织处理机、其他病理分析前处理设备）、血液化验器具（红白血球吸管、采血管含定量采血管、真空采血管、微量血液搅拌器、微量血液振荡器、其他血液化验器具）、其他医用化验和基础设备器具。</t>
  </si>
  <si>
    <t>2526</t>
  </si>
  <si>
    <t>1090243010000000000</t>
  </si>
  <si>
    <t>牙钻机</t>
  </si>
  <si>
    <t>包括电动牙钻机、涡轮牙钻机、其他牙钻机。</t>
  </si>
  <si>
    <t>2527</t>
  </si>
  <si>
    <t>1090243020000000000</t>
  </si>
  <si>
    <t>口腔综合治疗设备</t>
  </si>
  <si>
    <t>指装有牙科设备的牙科用椅。包括牙科综合治疗机、牙科综合治疗台、其他口腔综合治疗设备</t>
  </si>
  <si>
    <t>2528</t>
  </si>
  <si>
    <t>1090243030000000000</t>
  </si>
  <si>
    <t>牙钻机配件</t>
  </si>
  <si>
    <t>包括牙钻机专用牙钻、牙钻机专用金刚砂片、牙钻机专用刷子、其他牙钻机配件</t>
  </si>
  <si>
    <t>2529</t>
  </si>
  <si>
    <t>1090243040000000000</t>
  </si>
  <si>
    <t>牙科手机</t>
  </si>
  <si>
    <t>包括牙科直手机、连扣直手机、牙科弯手机、连扣弯手机、低速牙科手机、涡轮手机、电动手机、其他牙科手机</t>
  </si>
  <si>
    <t>2530</t>
  </si>
  <si>
    <t>1090243050000000000</t>
  </si>
  <si>
    <t>洁牙、补牙设备</t>
  </si>
  <si>
    <t>包括牙根管长度测定仪、牙打磨机、牙抛光机、牙冠机、光固化机（器）、医用洁牙机、牙髓活力测试仪、根管治疗仪、包埋材料搅拌机、其他洁牙、补牙设备</t>
  </si>
  <si>
    <t>2531</t>
  </si>
  <si>
    <t>1090243060000000000</t>
  </si>
  <si>
    <t>口腔综合治疗设备配件</t>
  </si>
  <si>
    <t>包括三用喷枪、强力吸引器、吸唾器、电动抽吸系统、牙模测试仪、银汞调和器、其他口腔综合治疗设备配件</t>
  </si>
  <si>
    <t>2532</t>
  </si>
  <si>
    <t>1090243070000000000</t>
  </si>
  <si>
    <t>口腔科手术器械</t>
  </si>
  <si>
    <t>包括口腔科用刀(粘固粉调刀、牙龈刀、水门调刀、蜡型雕刻刀、石膏切刀、调刀等)、口腔科用凿(阻生牙骨凿、牙釉凿、牙骨凿)、口腔科用剪(牙龈剪、金冠剪等)、口腔科用牙钳(牙槽咬骨钳、拔牙钳、切断牙钳、舌钳、根钳、扩大钳等)、口腔科用牙挺(牙根尖挺、丁字形牙挺)、口腔科专用镊、夹(牙用镊（棉花镊）、成形片夹、残根镊（牙根镊）、长镊)、切除颌骨用器械(切除颌骨及上颌窦的牙骨凿、牙骨锤、牙骨膜分离器、牙龈分离器、骨刮、牙用锉、牙骨剪及类似器械)</t>
  </si>
  <si>
    <t>2533</t>
  </si>
  <si>
    <t>1090243080000000000</t>
  </si>
  <si>
    <t>口腔治疗用器械</t>
  </si>
  <si>
    <t>包括治疗牙神经用器械包括牙探针、脓肿探针、牙周袋探针（刻度牙探针）、神经钩、神经针、神经探寻器、拔髓针及其他拔出器，清洁牙龈及牙槽专用器械包括治疗牙石、牙垢的牙刮器、刮匙及牙釉质凿，口腔镜，口腔治疗用枪头包括水枪头、热气枪头，口腔治疗通用器械包括汞合金输送器、研光器、根管充填器、粘固粉充填器、银汞合金充填器、去冠器、咬合器、弓形成型器、磨牙带环就位器，其他口腔治疗用器械包括拔髓针柄、吹火管、印模托盘、煮牙盒、结扎杆、带环推子</t>
  </si>
  <si>
    <t>2534</t>
  </si>
  <si>
    <t>1090244010000000000</t>
  </si>
  <si>
    <t>热力消毒设备及器具</t>
  </si>
  <si>
    <t>指普通消毒设备及器具，包括压力蒸汽灭菌设备（立式、卧式矩形、卧式圆形压力蒸汽灭菌器）、干热消毒灭菌设备、煮沸消毒设备（电热煮沸消毒器、自动控制电热煮沸消毒器）、其他热力消毒设备及器具</t>
  </si>
  <si>
    <t>2535</t>
  </si>
  <si>
    <t>1090244020000000000</t>
  </si>
  <si>
    <t>气体消毒灭菌设备</t>
  </si>
  <si>
    <t>包括环氧乙烷灭菌器、轻便型自动气体灭菌器、其他气体消毒灭菌设备</t>
  </si>
  <si>
    <t>2536</t>
  </si>
  <si>
    <t>1090244030000000000</t>
  </si>
  <si>
    <t>特种消毒灭菌设备</t>
  </si>
  <si>
    <t>包括辐射消毒灭菌设备（医用伽玛r射线灭菌装置、紫外线消毒器、红外线灭菌器等）、超声波消毒设备、微波消毒设备、真空蒸气灭菌器（预真空蒸气灭菌器）、脉动真空压力蒸汽灭菌器、高压电离灭菌设备（手术室用高压电离灭菌设备、病房用高压电离灭菌设备）、医用内窥镜清洗机、其他特种消毒灭菌设备</t>
  </si>
  <si>
    <t>2537</t>
  </si>
  <si>
    <t>1090244040000000000</t>
  </si>
  <si>
    <t>医用消毒灭菌器具</t>
  </si>
  <si>
    <t>指医疗器械配套消毒灭菌器具，包括灭菌指示条、其他医用消毒灭菌器具。</t>
  </si>
  <si>
    <t>2538</t>
  </si>
  <si>
    <t>1090245010000000000</t>
  </si>
  <si>
    <t>诊断专用器械</t>
  </si>
  <si>
    <t>包括体温计、听诊器、叩诊锤（无电能）、血压测量仪器及器具、测颅器、骨盆测量器，呼吸功能测定装置、诊察治疗设备、检镜及反光器具、其他诊断专用器械。</t>
  </si>
  <si>
    <t>2539</t>
  </si>
  <si>
    <t>1090245020000000000</t>
  </si>
  <si>
    <t>内窥镜</t>
  </si>
  <si>
    <t>包括诊断用内窥镜（观察用硬管内窥镜-膀胱镜、诊断用纤维内窥镜-支气管镜包括支气管电子内窥镜、诊断用纤维内窥镜-上消化道镜包括上消化道电子内窥镜、诊断用纤维内窥镜-结肠镜包括结肠电子内窥镜、诊断用纤维内窥镜-大肠镜包括大肠电子内窥镜、观察用硬管内窥镜-喉镜、观察用硬管内窥镜-鼻镜、观察用硬管内窥镜-子宫镜、观察用硬管内窥镜-直肠镜、观察用硬管内窥镜-羊水镜、内窥镜冷光源、胰腺电子内窥镜、其他诊断用内窥镜）、手术用窥镜包括心血管、有创、腔内手术用窥镜（有创内窥镜-腹腔镜、有创内窥镜-关节镜、有创内窥镜-肾镜、有创内窥镜-胰腺镜、有创内窥镜-椎间盘镜有创内窥镜-脑窦镜、有创内窥镜-胆道镜、心内窥镜、血管内窥镜、腔内手术用内窥镜-经尿道电切镜、高频电切手术用窥镜包括纤维内窥镜、硬管内窥镜、其他手术用窥镜）、其他内窥镜</t>
  </si>
  <si>
    <t>2540</t>
  </si>
  <si>
    <t>1090245030000000000</t>
  </si>
  <si>
    <t>注射穿刺器械</t>
  </si>
  <si>
    <t>包括注射器不论是否装有针头包括普通注射器、穿刺注射器、麻醉注射器、冲洗注射器、伤口清洗注射器、吸引器（带或不带唧筒）、眼、耳或喉的注射器、子宫及其他妇科注射器（玻璃注射器、一次性注射器、其他注射器）、管状金属针头包括结扎针、接种针、验血针、皮下注射针等（静脉采血针、一次性注射针、一次性静脉输液针、一次性使用光纤针、留置针）、医用缝合针、套针包括穿刺用套针、胆囊套针、普通套针等、套管、插管、导管、吸管及类似品、其他注射穿刺器械</t>
  </si>
  <si>
    <t>2541</t>
  </si>
  <si>
    <t>1090245040000000000</t>
  </si>
  <si>
    <t>眼科专用仪器及器具</t>
  </si>
  <si>
    <t>包括视轴矫正或视力检查用设备、眼科诊断用设备。弱视镜、眼膜曲率器视网膜镜、斜视镜、角膜散光计、角膜镜、验光镜箱眼压计、开睑器、检眼镜、其他眼科专用仪器及器具含支承验光镜片的试镜架、视力测定尺、测试表等。</t>
  </si>
  <si>
    <t>2542</t>
  </si>
  <si>
    <t>1090245050000000000</t>
  </si>
  <si>
    <t>兽医专用仪器及机械</t>
  </si>
  <si>
    <t>包括阉割、牲畜生产用仪器及器械（去势器、阉割夹钳、割虎钳及镊子、卵巢切除器械、产科专用钳子及钩子、牲畜生产机械助产器、其他牲畜生产用仪器及器械含产科专用索带、头围等）、牲畜乳房疾病治疗仪器（乳头扩张器、乳头穿刺探针、母牛产褥热治疗器械、母牛生乳热治疗器械、其他牲畜乳房疾病治疗仪器）、其他兽医专用器械（人工授精器、剪尾器、截角器、器官疾病治疗喷雾器含治疗动物呼吸、消化、泌尿、生殖等器官疾病的喷雾器、专用控制器械即在手术时防止挣扎用的开口器、脚枷等、药物特殊注射器含准备装填麻醉药或其他药剂（抗血清、疫苗等）、远距离注射器、投药器械、检查鸡雏雌雄用内窥器、其他未列明兽医专用器械含专门的灌药用嚼子、治疗蹄裂病的钩子（用于闭合蹄裂））</t>
  </si>
  <si>
    <t>2543</t>
  </si>
  <si>
    <t>1090245060000000000</t>
  </si>
  <si>
    <t>外科手术器械</t>
  </si>
  <si>
    <t>包括显微外科手术器械、显微外科用刀、凿、显微外科用剪、显微外科用钳、显微外科用镊、夹、显微外科用针、钩、显微合拢器、其他显微外科手术器械、基础外科手术器械、通用外科用刀、通用外科用剪、通用外科用钳、通用外科用镊、夹、通用外科用针、钩、通用外科用开口器、通用外科用皮肤刮匙、其他基础外科手术器械、神经外科手术器械、神经外科脑内用刀、神经外科脑内用钳、神经外科脑内用镊、神经外科脑内用钩、神经外科脑内用刮匙、后颅凹牵开器、脑膜剥离器、脑活检抽吸器、脑吸引器、脑打针锤、手摇颅骨钻、其他神经外科手术器械、眼科手术器械、眼科手术用刀剪、眼科手术用钳、眼科手术用镊、夹、眼科手术用针、钩、角膜环钻、眼用板铲、玻璃体切割器、其他眼科手术器械、耳鼻喉科手术器械、耳鼻喉科用刀、耳鼻喉科用凿、耳鼻喉科用剪、耳鼻喉科用钳、耳鼻喉科用镊、夹、耳鼻喉科用针、耳鼻喉科用钩、耳用刮匙、耳鼻喉科用镜、乳突牵开器、扁桃体吸引管、乳突吸引管、其他耳鼻喉科手术器械、胸腔心血管外科手术器械、胸腔心血管外科用刀、胸腔心血管外科用剪、胸腔心血管外科用钳、夹、血管阻断钳、胸腔心血管止血钳、胸腔心血管外科用夹器、胸腔心血管外科用针、钩、胸腔心血管外科用吸引器、胸腔心血管外科用扩张器、胸腔心血管外科用剥离器具、胸腔心血管外科用钻、打洞器、其他胸腔心血管外科手术器械、腹部外科手术器械、腹部外科用剪、腹部外科用钳、腹外科用针、腹外科用钩、荷包成型器、腹壁固定牵开器、单（双）胆石匙、其他腹部外科手术器械、泌尿肛肠外科手术器械、泌尿肛肠科用剪、泌尿肛肠科用钳、泌尿肛肠科用针、泌尿肛肠科用钩、尿道扩张器、肛门镜、其他泌尿肛肠外科手术器械、妇产科用手术器械、妇产科用剪、妇产科用钳、妇产科用镊、妇产科用针、妇产科用钩、妇科用牵开器、输卵管通液器（输卵管通气管）、骨盆测量计、子宫刮匙、宫内节育器、其他妇产科用手术器械、矫形外科（骨科）手术器械、矫形外科（骨科）用刀、矫形外科（骨科）用锥、矫形外科（骨科）用钻、矫形外科（骨科）用剪、矫形外科（骨科）用钳、矫形外科（骨科）用锯、矫形外科（骨科）用凿、矫形外科（骨科）用锉、矫形外科（骨科）用钩、矫形外科（骨科）用针、矫形外科（骨科）用刮器、矫形外科（骨科）用有源器械、矫形外科（骨科）固定用器械、其他矫形外科（骨科）手术器械、烧伤（整形）科手术器械、烧伤（整形）用刀、烧伤（整形）用凿、烧伤（整形）用钳、烧伤（整形）用镊、夹、烧伤（整形）科用设备、烧伤（整形）科用设备、烧伤（整形）科用器具、其他烧伤（整形）科手术器械、手术机器人、手术导航系统、脑立体定向仪、其他外科手术器械</t>
  </si>
  <si>
    <t>2544</t>
  </si>
  <si>
    <t>1090245070000000000</t>
  </si>
  <si>
    <t>手术室、急救室、诊疗室设备及器具</t>
  </si>
  <si>
    <t>包括输血设备、单采血浆机、人体血液处理机、腹水浓缩机、血液成分输血装置、血液成分分离机、血液过滤装置、血液净化管路、人工心肺机血路、自体血回输装置、吸附器、血液解毒（灌流灌注）器、血液净化体外循环血路（管道）、其他输血设备、麻醉设备及附件、立式麻醉机、综合麻醉机、小儿麻醉机、麻醉开口器、麻醉咽喉镜、麻醉面罩、其他麻醉设备及附件、呼吸机、电动呼吸机、气动呼吸机、高频喷射呼吸机、同步呼吸机、其他呼吸机、呼吸设备配件、手术及急救装置、止血带、输液、注射辅助装置、洗胃机、灌肠机（医疗）、洗肠机、胃肠冲吸器、胃肠减压器、输卵管通气机、其他手术及急救装置、负压吸引装置、流产吸引器、负压吸引器、其他负压吸引装置</t>
  </si>
  <si>
    <t>2545</t>
  </si>
  <si>
    <t>1090245080000000000</t>
  </si>
  <si>
    <t>中医治疗器具</t>
  </si>
  <si>
    <t>包括中医用针、中医用钩、叉（含针灸针（毫针）、皮肤针（七星针、梅花针）、三棱针）、灸类器械、拔火罐类器械含负压罐、中医骨伤器具、其他中医治疗器具（含小针刀、刮痧板）。</t>
  </si>
  <si>
    <t>2546</t>
  </si>
  <si>
    <t>1090245990000000000</t>
  </si>
  <si>
    <t>其他医疗、外科及兽医用器械</t>
  </si>
  <si>
    <t>2547</t>
  </si>
  <si>
    <t>1090246010000000000</t>
  </si>
  <si>
    <t>机械治疗器具</t>
  </si>
  <si>
    <t>包括电动按摩器具、震颤按摩器、超声波安眠器、磁力按摩床、按摩褥垫、其他电动按摩器具、手动式按摩器、手握式按摩圈、足底按摩轮、橡胶滚筒按摩器具、其他手动式按摩器、机械疗法器械、上肢综合训练器、手指功能恢复器具、旋转活动脚部器具、活动躯干器具、练习行走器具、下肢康复运动器、机动式多功能器具、其他机械疗法器械、氧气治疗器、空气加压氧舱、氧气加压氧舱、其他氧气治疗器、臭氧治疗器、喷雾治疗器、人工呼吸器、心理功能测验装置、测验下意识反应能力装置、测验肢体灵巧程度装置、旋转椅、智商测试装置、其他心理功能测验装置、牵引装置、胸背部矫正装置、防治打鼾器械、仿真性辅助器具、其他机械治疗器具。不包括家用按摩器具（详见1090419）。</t>
  </si>
  <si>
    <t>2548</t>
  </si>
  <si>
    <t>1090246020000000000</t>
  </si>
  <si>
    <t>电疗仪器</t>
  </si>
  <si>
    <t>包括音频电疗机、差频电疗机、体内低频脉冲治疗仪、电化学癌症治疗机、离子导入治疗仪、高压低频脉冲治疗机、高压电位治疗仪、场效应治疗仪（热垫式治疗仪）、电击治疗设备、其他电疗仪器</t>
  </si>
  <si>
    <t>2549</t>
  </si>
  <si>
    <t>1090246030000000000</t>
  </si>
  <si>
    <t>光谱辐射治疗仪器</t>
  </si>
  <si>
    <t>包括常规光源医疗机、光量子血液治疗机、光谱治疗仪、强光辐射治疗仪、其他光谱辐射治疗仪器、</t>
  </si>
  <si>
    <t>2550</t>
  </si>
  <si>
    <t>1090246040000000000</t>
  </si>
  <si>
    <t>透热疗法设备</t>
  </si>
  <si>
    <t>用于医治某些可采用热作用治疗的疾病（例如，风湿病、神经痛、牙科疾病），采用高频电流（短波、超声波、超短波等电流）和使用各种形状（例如，片状、环状、管状）的电极进行工作</t>
  </si>
  <si>
    <t>2551</t>
  </si>
  <si>
    <t>1090246050000000000</t>
  </si>
  <si>
    <t>磁疗设备</t>
  </si>
  <si>
    <t>包括磁疗机、磁感应电疗机、低频电磁综合治疗机、特定电磁波治疗机</t>
  </si>
  <si>
    <t>2552</t>
  </si>
  <si>
    <t>1090246060000000000</t>
  </si>
  <si>
    <t>离子电渗治疗设备</t>
  </si>
  <si>
    <t>离子电渗治疗设备，通过电流将活性药物（水杨酸钠、水杨酸锂、碘化钾、组胺等）透过皮肤导入病灶</t>
  </si>
  <si>
    <t>2553</t>
  </si>
  <si>
    <t>1090246070000000000</t>
  </si>
  <si>
    <t>眼科康复治疗仪器</t>
  </si>
  <si>
    <t>包括视力训练仪、弱视治疗仪、其他眼科康复治疗仪器</t>
  </si>
  <si>
    <t>2554</t>
  </si>
  <si>
    <t>1090246080000000000</t>
  </si>
  <si>
    <t>水疗仪器</t>
  </si>
  <si>
    <t>2555</t>
  </si>
  <si>
    <t>1090246090000000000</t>
  </si>
  <si>
    <t>低温治疗仪器</t>
  </si>
  <si>
    <t>即冷疗仪器包括液氮冷疗机、宫腔冷冻治疗仪、冷冻低温治疗机、低温变速降温仪、压缩式冷冻治疗仪、体内肿瘤低温治疗仪、肝脏冷冻治疗仪、直肠癌低温治疗仪、其他低温治疗仪器、</t>
  </si>
  <si>
    <t>2556</t>
  </si>
  <si>
    <t>1090246100000000000</t>
  </si>
  <si>
    <t>医用刺激器</t>
  </si>
  <si>
    <t>包括带刺激器心脏工作站、声刺激器、光刺激器、电刺激器、磁刺激器、其他医用刺激器</t>
  </si>
  <si>
    <t>2557</t>
  </si>
  <si>
    <t>1090246110000000000</t>
  </si>
  <si>
    <t>体外循环设备</t>
  </si>
  <si>
    <t>包括肾脏透析设备（人工肾）、血液透析机、血液透析管、血液透析装置、血液透析滤过装置、透析血路、中空纤维透析器、多层平板型透析器、其他肾脏透析设备（人工肾）、人工心肺设备及辅助装置、人工心肺机、气泡去除器、微栓过滤器、其他人工心肺设备及辅助装置、氧合器、鼓泡式氧合器、膜式氧合器、其他氧合器、其他体外循环设备。</t>
  </si>
  <si>
    <t>2558</t>
  </si>
  <si>
    <t>1090246120000000000</t>
  </si>
  <si>
    <t>婴儿保育设备</t>
  </si>
  <si>
    <t>主要由透明塑料制的箱体、电气加温装置、安全报警装置、氧气及空气过滤和调节装置组成。包括早产儿培养箱、辐射式新生儿抢救台、新生儿运输培养箱、其他婴儿保育设备。</t>
  </si>
  <si>
    <t>2559</t>
  </si>
  <si>
    <t>1090246130000000000</t>
  </si>
  <si>
    <t>医院制气供气设备及装置</t>
  </si>
  <si>
    <t>包括医用制氧机、氧浓度监察仪、氧气减压装置、手提氧气发生器、制氧袋、吸排氧三通阀箱、吸氧调节器、排氧装置、其他医院制气供气设备及装置</t>
  </si>
  <si>
    <t>2560</t>
  </si>
  <si>
    <t>1090246140000000000</t>
  </si>
  <si>
    <t>呼吸器具</t>
  </si>
  <si>
    <t>自备式呼吸器具指通过自带氧气瓶或压缩空气瓶供气、带呼吸装置辐射防护服包括带呼吸装置的防污染保护服、其他呼吸器具包括与气密潜水服配套的潜水头盔、氧气袋、输氧面罩、鼻氧管</t>
  </si>
  <si>
    <t>2561</t>
  </si>
  <si>
    <t>1090246150000000000</t>
  </si>
  <si>
    <t>防毒面具</t>
  </si>
  <si>
    <t>2562</t>
  </si>
  <si>
    <t>1090246160000000000</t>
  </si>
  <si>
    <t>医用低温设备</t>
  </si>
  <si>
    <t>包括冷冻干燥血浆机、真空冷冻干燥箱、尸体冷冻、冷藏箱、低温生物降温仪、其他医用低温设备。不包括血液、脏器冷藏装置冷藏箱（详见109013102）</t>
  </si>
  <si>
    <t>2563</t>
  </si>
  <si>
    <t>1090247010000000000</t>
  </si>
  <si>
    <t>矫形器具</t>
  </si>
  <si>
    <t>用于预防或矫治躯体畸变，或病后或手术后的器官支撑、固定。包括植入式人工器具、人造关节、人工椎体、人造乳房、人工颅骨、人工颌骨、人工肛门封闭器、其他植入式人工器具、矫形或骨折用器具、颌骨治疗器具、肱骨夹、矫治脊柱器具、疝带及疝气治疗器具、脚部矫形器具、矫形鞋、特种鞋垫、牙箍、圈环、其他矫形或骨折用器具、其他矫形器具。</t>
  </si>
  <si>
    <t>2564</t>
  </si>
  <si>
    <t>1090247020000000000</t>
  </si>
  <si>
    <t>穿戴或植入式人造人体器官</t>
  </si>
  <si>
    <t>包括假牙（包括用瓷料或塑料（特别是丙烯酸聚合物）制成的实心假牙、空心假牙）、假牙固定件（包括托牙（全口或部分）、用于保护真牙的预制金属牙冠等其他物品）、义眼（眼内填充物（玻璃体等））、人造假肢、其他穿戴或植入式人造人体器官（包括人工角、人造眼内椎晶状体等）</t>
  </si>
  <si>
    <t>2565</t>
  </si>
  <si>
    <t>1090247030000000000</t>
  </si>
  <si>
    <t>助听器</t>
  </si>
  <si>
    <t>包括外带式助听器、植入式助听器。</t>
  </si>
  <si>
    <t>2566</t>
  </si>
  <si>
    <t>1090247040000000000</t>
  </si>
  <si>
    <t>心脏起搏器</t>
  </si>
  <si>
    <t>包括植入式心脏起搏器、体外心脏起搏器、心脏除颤器、心脏调搏器、主动脉内囊反搏器、心脏除颤起搏器、其他心脏起搏器。</t>
  </si>
  <si>
    <t>2567</t>
  </si>
  <si>
    <t>1090247050000000000</t>
  </si>
  <si>
    <t>植入人体支夹（器）</t>
  </si>
  <si>
    <t>包括血管吻合夹（器）、血管内支架、食管支架、动脉瘤支架、其他植入人体支夹（器）</t>
  </si>
  <si>
    <t>2568</t>
  </si>
  <si>
    <t>1090247060000000000</t>
  </si>
  <si>
    <t>有创医用传感器（植入体内）</t>
  </si>
  <si>
    <t>2569</t>
  </si>
  <si>
    <t>1090247990000000000</t>
  </si>
  <si>
    <t>其他假肢、人工器官及植（介）入器械</t>
  </si>
  <si>
    <t>指其他穿戴或植入人体器具，包括助语器（人工喉）、导盲器等</t>
  </si>
  <si>
    <t>2570</t>
  </si>
  <si>
    <t>1090248010000000000</t>
  </si>
  <si>
    <t>手术台床</t>
  </si>
  <si>
    <t>包括电动、液压手术台床指通用或专用外科手术台可以通过调校、倾斜、旋转或升高以使病人按各种不同手术的要求而处于适当的位置的手术台，电动综合手术台、综合产床、骨科手术床、烫伤翻转床、特种矫形手术台供复杂手术（例如，臀部、肩部、脊柱手术）之用，其他电动、液压手术台床含括泌尿科、膀胱镜等检查或手术用床，手动手术床含综合手术床、普通产床、轻便产床、坐式产床、骨科整形床、解剖台，牙科椅指没有装上牙科器械的牙科用椅（包括麻醉椅床），但它们带有装在中心支架上作升降、倾斜，有时还能旋转的机械装置，不论是否装有照明器具等装置，液压牙科椅、电动牙科椅、机械牙科椅、其他牙科椅</t>
  </si>
  <si>
    <t>2571</t>
  </si>
  <si>
    <t>1090248020000000000</t>
  </si>
  <si>
    <t>病床及相关医用家具</t>
  </si>
  <si>
    <t>包括病床（带机械装置病床包括附加设施、电动间隙牵引床、普通病床、防褥疮床垫包括电动防褥疮床垫、充气式防褥疮座垫、其他病床）、医用特制坐具、担架、消毒及类似用途家具（包括手推式器械消毒车、特制消毒脸盆、自动开启的消毒敷料箱）、装有脚轮架床指运送病人的装有脚轮的架床、其他病用家具（包括医疗治理、按摩等用的台、床及类似家具）。</t>
  </si>
  <si>
    <t>2572</t>
  </si>
  <si>
    <t>1090248030000000000</t>
  </si>
  <si>
    <t>医用家具零件</t>
  </si>
  <si>
    <t>包括牙科椅零件（牙科椅专用头靠、靠背、搁脚板、扶手、肘靠等）、其他医用家具零件（安装在手术台上专门用于防止病人身体挪动的物品，例如，肩、小腿或大腿的扣夹、腿垫、固定头部的头靠、臂或胸的支架及类似品）</t>
  </si>
  <si>
    <t>2573</t>
  </si>
  <si>
    <t>污染防治设备</t>
  </si>
  <si>
    <t>1090249010000000000</t>
  </si>
  <si>
    <t>大气污染防治设备</t>
  </si>
  <si>
    <t>包括除尘设备（不包括家用除尘器（详见109041805））、静电除尘器（静电过滤器、高效静电除尘枪、离子除尘枪、离子吹尘枪、静电消除器、板极式静电除尘器、管极式静电除尘器）、袋式除尘器（械振动式袋式除尘器、分室反吹式袋式除尘器、脉冲喷吹式袋式除尘器、回转反吹袋式除尘器）、旋风式除尘器、湿式除尘器（湿式烟气脱硫除尘装置、湿式静电除尘器、花岗石类湿式烟气脱硫除尘装置）、颗粒层除尘器、组合式电除尘器、其他除尘设备指其他非家用除尘设备，压缩空气除尘器、空气净化装置、氧化还原净化装置、生物法净化装置、冷凝净化装置、辐照净化装置、其他空气净化装置、除尘器配件、袋式除尘器配件（清灰装置、滤袋框架、电磁脉冲阀、脉冲喷吹控制仪等）、电除尘器配件（高压电源、低压电源、输灰系统等）、吸附装置、吸收装置、其他除尘器配件</t>
  </si>
  <si>
    <t>2574</t>
  </si>
  <si>
    <t>1090249020000000000</t>
  </si>
  <si>
    <t>水质污染防治设备</t>
  </si>
  <si>
    <t>包括沉淀、过滤装置、平流沉砂装置、辐流沉砂装置、旋流沉砂装置、曝气沉砂装置、管式沉砂装置、搅拌沉砂装置、平流沉淀装置、辐流沉淀装置、其他沉淀、过滤装置、池类设备、澄清池、上浮池、隔油池、粗滤池、调节池、搅拌池、生物处理设备、生物滤池、生物滤塔、生物流化床、生物活性炭床、生物转盘、其他生物处理设备、化学法处理设备、氧化还原装置、湿式催化氧化装置、兼氧活性污泥反应器、其他化学法处理设备、厌氧类设备、水解酸化厌氧反应器、厌氧污泥床、厌氧流化床、厌氧膨胀床、折流板厌氧反应器、厌氧生物膜反应器、其他厌氧类设备、物理法处理设备、萃取装置、混凝装置、絮凝装置、气浮分离装置、膜分离装置、离子交换装置、中和装置、螺旋桨式搅拌机、框式双桨搅拌机、带罐框架式搅拌机、其他物理法处理设备、污泥处理设备及装置、污泥浓缩装置、污泥脱水装置、污泥干燥装置、污泥消化装置、污泥焚烧装置、其他污泥处理设备及装置、组合式污水处理装置、一体化污水处理装置、水质污染防治用格栅、其他水质污染防治设备</t>
  </si>
  <si>
    <t>2575</t>
  </si>
  <si>
    <t>1090249030000000000</t>
  </si>
  <si>
    <t>固体废弃物处理设备</t>
  </si>
  <si>
    <t>包括废弃物专用处理机械、废弃物压缩装置、废弃物剪切式破碎机、废弃物湿式破碎机、废弃物筛分机、气流分选机、永磁滚筒、辊筒式静电分选机、光电分选机、其他废弃物专用处理机械、垃圾焚烧炉、垃圾焚化电炉、平推式炉排炉、斜推式炉排炉、逆推式炉排炉、辊筒式炉排炉、流化床焚烧炉、回转窑室焚烧炉、其他垃圾焚烧炉、无害化处理设备、堆肥翻堆机、堆肥发酵装置、水泥固化装置、塑料固化装置、熔融固化装置、其他无害化处理设备、资源再利用设备、填埋气体回收利用设备、废物转化回收装置、废液处理用分离器、酸、碱回收设备、汞回收设备、废物回收装置、其他资源再利用设备</t>
  </si>
  <si>
    <t>2576</t>
  </si>
  <si>
    <t>1090249040000000000</t>
  </si>
  <si>
    <t>噪音与振动控制设备</t>
  </si>
  <si>
    <t>包括消声器（噪音控制设备）、阻性消声器、抗性消声器、阻抗复合消声器、微穿孔板消声器、高压气体排放消声器、有源（主动）消声器、特殊消声器、消声装置配件、其他消声器、噪音与振动控制材料及元件、薄板共振吸声结构、穿孔板共振吸声结构、空间吸声体、装饰性吸声体、隔声罩、隔声屏障、隔振器、隔振元件、其他噪音与振动控制材料及元件</t>
  </si>
  <si>
    <t>2577</t>
  </si>
  <si>
    <t>1090249050000000000</t>
  </si>
  <si>
    <t>放射性污染防治和处理设备</t>
  </si>
  <si>
    <t>包括放射性污染防治设备、放射性废物压实机、放射燃料用分离器、其他放射性污染防治设备、放射性材料处理炉、放射性废物焚烧炉、可裂变材料回收处理专用炉、分离已辐照核燃料专用炉、其他放射性材料处理炉、电磁波污染防治设备、其他放射性污染防治和处理设备</t>
  </si>
  <si>
    <t>2578</t>
  </si>
  <si>
    <t>地质勘查设备</t>
  </si>
  <si>
    <t>1090250010000000000</t>
  </si>
  <si>
    <t>地质钻探机</t>
  </si>
  <si>
    <t>包括工程勘察钻机（直径＞3m）、地质岩心钻机、物探钻机、坑探钻机、取样钻机、水文水井钻机、其他地质钻探机。</t>
  </si>
  <si>
    <t>2579</t>
  </si>
  <si>
    <t>1090250020000000000</t>
  </si>
  <si>
    <t>实验室选矿制样设备</t>
  </si>
  <si>
    <t>包括微机激电仪、高密度电测仪、质子核旋磁力仪、其他实验室选矿制样设备</t>
  </si>
  <si>
    <t>2580</t>
  </si>
  <si>
    <t>1090250030000000000</t>
  </si>
  <si>
    <t>专用勘探设备</t>
  </si>
  <si>
    <t>包括重力法勘探设备、电法勘探设备、磁法勘探设备</t>
  </si>
  <si>
    <t>2581</t>
  </si>
  <si>
    <t>1090250990000000000</t>
  </si>
  <si>
    <t>其他地质勘查专用设备</t>
  </si>
  <si>
    <t>2582</t>
  </si>
  <si>
    <t>邮政专用机械</t>
  </si>
  <si>
    <t>1090251010000000000</t>
  </si>
  <si>
    <t>邮资机</t>
  </si>
  <si>
    <t>包括大型邮资机、大型喷印式邮资机、大型机械戳印式邮资机、动态称重邮资机、中型邮资机、中型机械戳印机邮资机、中型喷印式邮资机、小型邮资机、小型热转印式邮资机、小型喷印式邮资机、小型机械戳印式邮资机、邮资盖戳机</t>
  </si>
  <si>
    <t>2583</t>
  </si>
  <si>
    <t>1090251020000000000</t>
  </si>
  <si>
    <t>邮政分拣机</t>
  </si>
  <si>
    <t>包括信函分拣及封装设备、包裹分拣设备、印刷品分拣机</t>
  </si>
  <si>
    <t>2584</t>
  </si>
  <si>
    <t>1090251030000000000</t>
  </si>
  <si>
    <t>信件处理机械</t>
  </si>
  <si>
    <t>包括信件折迭机、信件开封机、粘贴或盖销邮票机、推挂机、信盒输送系统、其他信件处理机械</t>
  </si>
  <si>
    <t>2585</t>
  </si>
  <si>
    <t>1090251040000000000</t>
  </si>
  <si>
    <t>邮政计费、缴费设备</t>
  </si>
  <si>
    <t>包括邮局自助缴费机、电话计费器、其他邮政计费、缴费设备</t>
  </si>
  <si>
    <t>2586</t>
  </si>
  <si>
    <t>1090251050000000000</t>
  </si>
  <si>
    <t>邮政专用器材</t>
  </si>
  <si>
    <t>包括交接箱、金属制信报箱、邮箱、邮政集装箱</t>
  </si>
  <si>
    <t>2587</t>
  </si>
  <si>
    <t>商用设备</t>
  </si>
  <si>
    <t>1090252010000000000</t>
  </si>
  <si>
    <t>自动售货机、售票机</t>
  </si>
  <si>
    <t>包括饮料自动销售机、加热饮料自动销售机、冷饮料自动销售机、其他饮料自动销售机、自动售货机、自动售票机、火车票自动售票机、邮票自动售票机、其他自动售票机、钱币自动兑换机、其他自动售货机、售票机</t>
  </si>
  <si>
    <t>2588</t>
  </si>
  <si>
    <t>1090252020000000000</t>
  </si>
  <si>
    <t>餐饮服务用机械</t>
  </si>
  <si>
    <t>指非家用餐饮机械。包括加热或烹煮设备、抽油烟机、洗碗机</t>
  </si>
  <si>
    <t>2589</t>
  </si>
  <si>
    <t>1090252030000000000</t>
  </si>
  <si>
    <t>理发用椅</t>
  </si>
  <si>
    <t>指有旋转、倾斜或升降装置的理发用椅及类似椅，包括理发用椅零件</t>
  </si>
  <si>
    <t>2590</t>
  </si>
  <si>
    <t>1090252040000000000</t>
  </si>
  <si>
    <t>自动擦鞋器</t>
  </si>
  <si>
    <t>2591</t>
  </si>
  <si>
    <t>1090252050000000000</t>
  </si>
  <si>
    <t>洗衣店用洗衣机械</t>
  </si>
  <si>
    <t>指设计为供洗衣店、宾馆、汽车旅馆、医院等单位使用的（干衣量超过10kg）洗衣机、衣服甩干机、烘干机、干洗机等。包括洗衣机、洗涤干燥两用机、干洗机、干燥机（洗衣用）、离心干衣机、烫平机、其他洗衣店用洗衣机械。</t>
  </si>
  <si>
    <t>2592</t>
  </si>
  <si>
    <t>1090252060000000000</t>
  </si>
  <si>
    <t>焚尸炉</t>
  </si>
  <si>
    <t>指火葬场用的焚尸炉。包括焚尸电炉、非电热焚尸炉</t>
  </si>
  <si>
    <t>2593</t>
  </si>
  <si>
    <t>1090252990000000000</t>
  </si>
  <si>
    <t>其他商业、饮食、服务专用设备</t>
  </si>
  <si>
    <t>包括自动售货机零件、钱币兑换机零件、洗碗机零件、洗衣机零件、干衣机零件</t>
  </si>
  <si>
    <t>2594</t>
  </si>
  <si>
    <t>公共安全设备</t>
  </si>
  <si>
    <t>1090253010000000000</t>
  </si>
  <si>
    <t>消防自动系统</t>
  </si>
  <si>
    <t>包括自动化消防设备、自动灭火系统、湿式自动喷水系统、其他消防自动系统。不包括灭火器（详见109025302）</t>
  </si>
  <si>
    <t>2595</t>
  </si>
  <si>
    <t>1090253020000000000</t>
  </si>
  <si>
    <t>灭火器</t>
  </si>
  <si>
    <t>包括泡沫灭火器、背负式灭火器、背式水枪、其他灭火器，不包括风力灭火机（详见109023704）。</t>
  </si>
  <si>
    <t>2596</t>
  </si>
  <si>
    <t>1090253030000000000</t>
  </si>
  <si>
    <t>灭火器零件</t>
  </si>
  <si>
    <t>2597</t>
  </si>
  <si>
    <t>1090253040000000000</t>
  </si>
  <si>
    <t>灭火器用装配药及灭火弹</t>
  </si>
  <si>
    <t>包括灭火器用装配药、灭火弹。</t>
  </si>
  <si>
    <t>2598</t>
  </si>
  <si>
    <t>1090253050000000000</t>
  </si>
  <si>
    <t>消防、防爆专用手工工具</t>
  </si>
  <si>
    <t>包括扑火工具、消防斧、消防接口破拆工具、消防钩、防爆扳手、防爆锤、其他消防、防爆专用手工工具。</t>
  </si>
  <si>
    <t>2599</t>
  </si>
  <si>
    <t>1090253060000000000</t>
  </si>
  <si>
    <t>消防设备附件</t>
  </si>
  <si>
    <t>包括消防栓（立管）、消防旋塞、水龙软管嘴及类似品</t>
  </si>
  <si>
    <t>2600</t>
  </si>
  <si>
    <t>1090253070000000000</t>
  </si>
  <si>
    <t>警棍及类似警用器械</t>
  </si>
  <si>
    <t>包括警棍、自卫器、橡胶棒、警察等用灌铅手杖、烟雾喷射罐、其他警用器械</t>
  </si>
  <si>
    <t>2601</t>
  </si>
  <si>
    <t>1090253080000000000</t>
  </si>
  <si>
    <t>取证鉴定专用器材</t>
  </si>
  <si>
    <t>包括刑侦现场勘查器材、刑侦检验鉴定分析器材、其他取证鉴定专用器材。</t>
  </si>
  <si>
    <t>2602</t>
  </si>
  <si>
    <t>1090253090000000000</t>
  </si>
  <si>
    <t>安全检查仪器</t>
  </si>
  <si>
    <t>指低剂量X射线安全检查设备。包括行李包裹安检仪、射线探测器、安全检查人行通道、虹膜输入装置、指纹输入装置、其他安全检查仪器</t>
  </si>
  <si>
    <t>2603</t>
  </si>
  <si>
    <t>1090253100000000000</t>
  </si>
  <si>
    <t>监控电视摄像机</t>
  </si>
  <si>
    <t>包括公共场所、交通管理用的监控用电视摄像机。补光智能型摄像机、日夜转换型摄像机、一体化彩色摄像机、低照度彩色摄像机、其他监控电视摄像机</t>
  </si>
  <si>
    <t>2604</t>
  </si>
  <si>
    <t>1090253110000000000</t>
  </si>
  <si>
    <t>防盗、防火报警器及类似装置</t>
  </si>
  <si>
    <t>包括机动车辆防盗装置、防盗报警器、防火报警器、电气气体报警器、火焰报警器（火焰探测器）、其他防盗、防火报警器及类似装置。不包括核辐射剂量监测报警仪器（详见109061503）</t>
  </si>
  <si>
    <t>2605</t>
  </si>
  <si>
    <t>交通管制设备</t>
  </si>
  <si>
    <t>1090254010000000000</t>
  </si>
  <si>
    <t>道路交通安全管制设备</t>
  </si>
  <si>
    <t>包括区域交通中心控制机、道路交通安全检测设备、雷达测速仪、酒精检测仪、其他道路交通安全检测设备、交通事故现场勘查救援设备、智能交通事故现场勘查车、气动破拆工具、气动破拆气枪、便携式多功能钳、剪断器、无火花电锯、起重气垫、液压开门器、牵拉器、切割机、撬棍、撬斧、其他交通事故现场勘查救援设备、道路、停车场用电气信号装置、交通灯、盲人过街音响器、路口自动信号装置、停车场用电气信号装置、其他道路用电气信号装置、其他道路交通安全管制设备</t>
  </si>
  <si>
    <t>2606</t>
  </si>
  <si>
    <t>1090254020000000000</t>
  </si>
  <si>
    <t>铁道电气交通管理设备</t>
  </si>
  <si>
    <t>包括铁道、电车道、地下矿井铁道设备以及气垫火车运输系统电气信号、安全或交通管理设备、信号或安全设备、轨道控制设备。</t>
  </si>
  <si>
    <t>2607</t>
  </si>
  <si>
    <t>1090254030000000000</t>
  </si>
  <si>
    <t>内河航道、港口用交通管制设备</t>
  </si>
  <si>
    <t>包括内河航道电气信号装置、港口用电气信号装置</t>
  </si>
  <si>
    <t>2608</t>
  </si>
  <si>
    <t>1090254040000000000</t>
  </si>
  <si>
    <t>飞机场用电气交通管理设备</t>
  </si>
  <si>
    <t>包括飞机场用盲降控制设备、飞机场用交通控制设备、飞机场用电气信号装置</t>
  </si>
  <si>
    <t>2609</t>
  </si>
  <si>
    <t>1090254990000000000</t>
  </si>
  <si>
    <t>其他交通安全及管制专用设备</t>
  </si>
  <si>
    <t>包括其他电气信号、安全或交通管理设备</t>
  </si>
  <si>
    <t>2610</t>
  </si>
  <si>
    <t>水资源专用机械</t>
  </si>
  <si>
    <t>1090255010000000000</t>
  </si>
  <si>
    <t>地平线开凿机系统</t>
  </si>
  <si>
    <t>2611</t>
  </si>
  <si>
    <t>1090255020000000000</t>
  </si>
  <si>
    <t>清淤机械</t>
  </si>
  <si>
    <t>包括沟渠清淤机械、水库清淤机械、港口清淤机械、水电站尾水清淤机械、管道清淤机械、其他清淤机械。</t>
  </si>
  <si>
    <t>2612</t>
  </si>
  <si>
    <t>1090255030000000000</t>
  </si>
  <si>
    <t>水利专用机械</t>
  </si>
  <si>
    <t>包括排水机械、闸门启闭机（器）、升船机、拦污装置、破冰机械、其他水利专用机械</t>
  </si>
  <si>
    <t>2613</t>
  </si>
  <si>
    <t>1090255040000000000</t>
  </si>
  <si>
    <t>自来水生产专用设备</t>
  </si>
  <si>
    <t>包括自动加压给水设备、无塔供水装置、其他自来水生产专用设备</t>
  </si>
  <si>
    <t>2614</t>
  </si>
  <si>
    <t>机器人</t>
  </si>
  <si>
    <t>1090256010000000000</t>
  </si>
  <si>
    <t>工业机器人</t>
  </si>
  <si>
    <t>工业机器人是一种自动机器设备，可按程序重复进行一套动作，包括简单更换不同工具即可执行各种功能的工业机器人。具体包括多功能工业机器人、焊接专用机器人、工业机器人零部件、其他工业机器人。</t>
  </si>
  <si>
    <t>2615</t>
  </si>
  <si>
    <t>1090256020000000000</t>
  </si>
  <si>
    <t>机械式遥控操作装置（遥控机械手）</t>
  </si>
  <si>
    <t>指对一定距离外的物体进行手动操纵的遥控装置，简称遥操器，又称遥控机械手。遥操器主要用于操纵一定距离外太大、太小或难于接近的对象。</t>
  </si>
  <si>
    <t>2616</t>
  </si>
  <si>
    <t>1090256030000000000</t>
  </si>
  <si>
    <t>具有独立功能专用机械</t>
  </si>
  <si>
    <t>包括空气增湿器及减湿器、蒸发式空气冷却器、涂敷研磨料机械、发动机启动器、泵式自动加润滑脂机、电焊条涂层机、清洗胶印墨辊机械、重涂胶印墨辊机械、金属芯拔除机、螺栓安装及拆除机、具有独立功能专用机械零部件、其他具有独立功能专用机械。</t>
  </si>
  <si>
    <t>2617</t>
  </si>
  <si>
    <t>其他专用设备</t>
  </si>
  <si>
    <t>1090299000000000000</t>
  </si>
  <si>
    <t>其他专用设备及零部件</t>
  </si>
  <si>
    <t>包括其他专用设备、其他专用设备零部件。</t>
  </si>
  <si>
    <t>2618</t>
  </si>
  <si>
    <t>交通运输设备</t>
  </si>
  <si>
    <t>1090301010000000000</t>
  </si>
  <si>
    <t>铁路机车</t>
  </si>
  <si>
    <t>指配有各种动力装置（蒸汽机、柴油机、汽轮机、汽油机、气动机等），或由外部电源或蓄电池驱动的各种铁道机车</t>
  </si>
  <si>
    <t>2619</t>
  </si>
  <si>
    <t>1090301020000000000</t>
  </si>
  <si>
    <t>动车组</t>
  </si>
  <si>
    <t>亦称多动力单元列车,包括城间动车组车辆</t>
  </si>
  <si>
    <t>2620</t>
  </si>
  <si>
    <t>1090301030000000000</t>
  </si>
  <si>
    <t>城市轨道车辆</t>
  </si>
  <si>
    <t>具有运量大、速度快、安全、准点、保护环境、节约能源和用地等特点的交通方式，简称”轨交“，包括地铁、轻轨、快轨、有轨电车等</t>
  </si>
  <si>
    <t>2621</t>
  </si>
  <si>
    <t>1090301040000000000</t>
  </si>
  <si>
    <t>铁路客车</t>
  </si>
  <si>
    <t>铁路客车是指载运旅客的车辆、为旅客提供服务的车辆以及挂运在旅客列车中的其他用途的车辆。客车分旅客运送、旅客服务和特殊用途等3种车辆。目前，中国铁路客车根据用途的不同，主要有如下几种：硬座车、软座车、硬卧车、软卧车、行李车、餐车、邮政车、试验车。高速客车中还有一等软座车、二等软座等车。此外，还有公务车、卫生车、医务车、维修车、文教车、特种车等。</t>
  </si>
  <si>
    <t>2622</t>
  </si>
  <si>
    <t>1090301050000000000</t>
  </si>
  <si>
    <t>铁路货车</t>
  </si>
  <si>
    <t>在铁路上用于载运货物的车辆称为铁路货车。按其用途不同，可分为通用货车和专用货车。主要类型有棚车、敞车、罐车、平板车等。包括各种非机动有篷及无篷货车，铁道运输用特种平车；不包括在矿区、建筑工地、工厂、仓库等处的轨道上运输货物的小型车辆或敞车（详见1090302）</t>
  </si>
  <si>
    <t>2623</t>
  </si>
  <si>
    <t>1090301060000000000</t>
  </si>
  <si>
    <t>铁路特殊用途车辆</t>
  </si>
  <si>
    <t>包括铁路起居车、行李车、轨道流动邮政车、轨道救护车、医务车、装甲客车、铁路用通讯特种车、轨路文教车、其他铁路特殊用途车辆等在内的铁路运输车辆。</t>
  </si>
  <si>
    <t>2624</t>
  </si>
  <si>
    <t>1090301070000000000</t>
  </si>
  <si>
    <t>有轨电车</t>
  </si>
  <si>
    <t>2625</t>
  </si>
  <si>
    <t>1090301080000000000</t>
  </si>
  <si>
    <t>轮式专用车</t>
  </si>
  <si>
    <t>2626</t>
  </si>
  <si>
    <t>1090302000000000000</t>
  </si>
  <si>
    <t>工矿有轨专用车辆（窄轨机车车辆）</t>
  </si>
  <si>
    <t>指可用作交通运输的窄轨内燃机车、电力机车和窄轨非机动车辆总称</t>
  </si>
  <si>
    <t>2627</t>
  </si>
  <si>
    <t>1090303000000000000</t>
  </si>
  <si>
    <t>铁路机车车辆配件及零件</t>
  </si>
  <si>
    <t>包括铁道及电车道机车、动车组及其他车辆的配件及零件</t>
  </si>
  <si>
    <t>2628</t>
  </si>
  <si>
    <t>1090304000000000000</t>
  </si>
  <si>
    <t>铁路专用设备及器材、配件</t>
  </si>
  <si>
    <t>包含铁路及电车道检查、维修车，铁路作业及服务车，铺轨、调轨机械，轨道固定装置及附件，平交道、道岔口控制器固定装置及附件，铁路用电动气动操纵设备，铁路用机械信号、交通管理装置，铁路专用测量或检验仪器等设备</t>
  </si>
  <si>
    <t>2629</t>
  </si>
  <si>
    <t>机动车</t>
  </si>
  <si>
    <t>1090305010100000000</t>
  </si>
  <si>
    <t>乘用车（排气量在1.0升以下（含））</t>
  </si>
  <si>
    <t>包括出租汽车、运动车及赛车，活顶乘用车、高级乘用车、小型乘用车、敞篷车、仓背乘用车</t>
  </si>
  <si>
    <t>2630</t>
  </si>
  <si>
    <t>1090305010200000000</t>
  </si>
  <si>
    <t>乘用车（排气量在1.0升以上至1.5升（含））</t>
  </si>
  <si>
    <t>2631</t>
  </si>
  <si>
    <t>1090305010300000000</t>
  </si>
  <si>
    <t>乘用车（排气量在1.5升以上至2.0升（含））</t>
  </si>
  <si>
    <t>2632</t>
  </si>
  <si>
    <t>1090305010400000000</t>
  </si>
  <si>
    <t>乘用车（排气量在2.0升以上至2.5升（含））</t>
  </si>
  <si>
    <t>2633</t>
  </si>
  <si>
    <t>1090305010500000000</t>
  </si>
  <si>
    <t>乘用车（排气量在2.5升以上至3.0升（含））</t>
  </si>
  <si>
    <t>2634</t>
  </si>
  <si>
    <t>1090305010600000000</t>
  </si>
  <si>
    <t>乘用车（排气量在3.0升以上至4.0升（含））</t>
  </si>
  <si>
    <t>2635</t>
  </si>
  <si>
    <t>1090305010700000000</t>
  </si>
  <si>
    <t>乘用车（排气量在4.0升以上）</t>
  </si>
  <si>
    <t>2636</t>
  </si>
  <si>
    <t>1090305010800000000</t>
  </si>
  <si>
    <t>超豪华小汽车</t>
  </si>
  <si>
    <t>包括每辆零售价格130万元（不含增值税）及以上的乘用车和中轻型商用客车，即乘用车和中轻型商用客车子税目中的超豪华小汽车。</t>
  </si>
  <si>
    <t>2637</t>
  </si>
  <si>
    <t>1090305020100000000</t>
  </si>
  <si>
    <t>客车（大于23座）</t>
  </si>
  <si>
    <t>一般具有方形车厢，用于载运乘客及其随身行李的商用车，这类车型主要用于公共交通和团体运输使用。</t>
  </si>
  <si>
    <t>2638</t>
  </si>
  <si>
    <t>1090305020200000000</t>
  </si>
  <si>
    <t>客车（10至23座，含10，23座）</t>
  </si>
  <si>
    <t>2639</t>
  </si>
  <si>
    <t>1090305030000000000</t>
  </si>
  <si>
    <t>载货汽车</t>
  </si>
  <si>
    <t>指货运机动车，包括平板式、油布篷式、封闭箱式等各种送货汽车、搬家具车</t>
  </si>
  <si>
    <t>2640</t>
  </si>
  <si>
    <t>1090305040000000000</t>
  </si>
  <si>
    <t>半挂牵引车</t>
  </si>
  <si>
    <t>指装备有特殊装置用于牵引半挂车的商用车辆</t>
  </si>
  <si>
    <t>2641</t>
  </si>
  <si>
    <t>1090306010000000000</t>
  </si>
  <si>
    <t>排气量在1.0升以下（含1.0升）的乘用车底盘（车架）改装、改制的车辆</t>
  </si>
  <si>
    <t>改装汽车是完成专用任务的汽车。在普通汽车底盘上装备或附加某些专用机构而组成。</t>
  </si>
  <si>
    <t>2642</t>
  </si>
  <si>
    <t>1090306020000000000</t>
  </si>
  <si>
    <t>排气量在1.0升以上至1.5升（含1.5升）的乘用车底盘（车架）改装、改制的车辆</t>
  </si>
  <si>
    <t>2643</t>
  </si>
  <si>
    <t>1090306030000000000</t>
  </si>
  <si>
    <t>中轻型商用客车底盘（车架）改装、改制的车辆</t>
  </si>
  <si>
    <t>2644</t>
  </si>
  <si>
    <t>1090306990000000000</t>
  </si>
  <si>
    <t>其他改装汽车</t>
  </si>
  <si>
    <t>2645</t>
  </si>
  <si>
    <t>1090307010000000000</t>
  </si>
  <si>
    <t>三轮运输车</t>
  </si>
  <si>
    <t>以柴油机为动力，最高设计车速小于等于50km/h，最大设计总质量不大于2000kg，长小于等于4.6m，宽小于等于1.6m，高小于等于2m，具有三个车轮的货车。采用方向盘转向、由传递轴传递功力、有驾驶室且驾驶员座椅后有物品放置空间的，长小于等于5.2m，宽小于等于1.8m，高小于等于2.2m。</t>
  </si>
  <si>
    <t>2646</t>
  </si>
  <si>
    <t>1090307020000000000</t>
  </si>
  <si>
    <t>其他低速载货汽车</t>
  </si>
  <si>
    <t>以柴油机为动力，最高设计车速小于70km/h，最大设计总质量小于等于4500kg，长小于等于6m，宽小于等于2m，高小于等于2.5m，具有四个车轮的货车</t>
  </si>
  <si>
    <t>2647</t>
  </si>
  <si>
    <t>1090308010000000000</t>
  </si>
  <si>
    <t>汽车车身</t>
  </si>
  <si>
    <t>包括驾驶室，以及预备装在机动车底盘上的车身，也包括无底盘车辆的车身（这种车的发动机及驱动桥由车身本身支承），还包括组合式车身，其底盘的某些部件也装在车身内</t>
  </si>
  <si>
    <t>2648</t>
  </si>
  <si>
    <t>1090308020000000000</t>
  </si>
  <si>
    <t>挂车、半挂车</t>
  </si>
  <si>
    <t>包括其他非机械驱动车辆</t>
  </si>
  <si>
    <t>2649</t>
  </si>
  <si>
    <t>1090308030000000000</t>
  </si>
  <si>
    <t>挂车及半挂车零件</t>
  </si>
  <si>
    <t>指必须可确定为专用于或主要用于机动车车辆的零件；包括挂车底盘及其部件、挂车车轴、车身、挂车车轮、挂钩装置、挂车制动器、挂车传动轴、旋转杆及类似零件</t>
  </si>
  <si>
    <t>2650</t>
  </si>
  <si>
    <t>1090309000000000000</t>
  </si>
  <si>
    <t>电动汽车</t>
  </si>
  <si>
    <t>电动汽车(BEV)是指以车载电源为动力，用电机驱动车轮行驶，符合道路交通、安全法规各项要求的车辆。</t>
  </si>
  <si>
    <t>2651</t>
  </si>
  <si>
    <t>1090310010100000000</t>
  </si>
  <si>
    <t>机动车制动系统</t>
  </si>
  <si>
    <t>对机动车某些部分（主要是车轮）施加一定的力，从而对其进行一定程度的强制制动的一系列专门装置。</t>
  </si>
  <si>
    <t>2652</t>
  </si>
  <si>
    <t>1090310010200000000</t>
  </si>
  <si>
    <t>机动车缓冲器及其零件</t>
  </si>
  <si>
    <t>用来安装在汽车悬挂系统的螺旋弹簧处，主要起到缓冲避震作用并对避震器起到保护的设备及其组成单元</t>
  </si>
  <si>
    <t>2653</t>
  </si>
  <si>
    <t>1090310010300000000</t>
  </si>
  <si>
    <t>变速器总成</t>
  </si>
  <si>
    <t>包括机械式、超速传动式、预选式、电动机械式、自动式变速箱等，还包括变矩转换器、变速箱体、传动轴、小齿轮、直接传动爪形离合器及变速拉杆等</t>
  </si>
  <si>
    <t>2654</t>
  </si>
  <si>
    <t>1090310010400000000</t>
  </si>
  <si>
    <t>驱动桥总成</t>
  </si>
  <si>
    <t>指机动车辆用装有差速器的驱动桥</t>
  </si>
  <si>
    <t>2655</t>
  </si>
  <si>
    <t>1090310010500000000</t>
  </si>
  <si>
    <t>非驱动桥总成</t>
  </si>
  <si>
    <t>2656</t>
  </si>
  <si>
    <t>1090310010600000000</t>
  </si>
  <si>
    <t>机动车车轮总成</t>
  </si>
  <si>
    <t>包括机动车车轮及其零件、附件</t>
  </si>
  <si>
    <t>2657</t>
  </si>
  <si>
    <t>1090310010700000000</t>
  </si>
  <si>
    <t>机动车悬挂减震器</t>
  </si>
  <si>
    <t>包括摩擦式悬挂减震器、液压式悬挂减震器等及其他悬架零件、扭杆弹簧</t>
  </si>
  <si>
    <t>2658</t>
  </si>
  <si>
    <t>1090310010800000000</t>
  </si>
  <si>
    <t>机动车辆散热器、消声器及其零件</t>
  </si>
  <si>
    <t>散热器属于机动车冷却系统，发动机水冷系统中的散热器由进水室、出水室、主片及散热器芯等三部分构成。消音器，主要用于降低机动车的发电机工作时产生的噪声，其原理是汽车排气管由两个长度不同的管道构成，这两个管道先分开再交汇，由于这两个管道的长度差值等于汽车所发出的声波的波长的一半，使得两列声波在叠加时发生干涉相互抵消而减弱声强，使传过来的声音减小，从而起到消音的效果。</t>
  </si>
  <si>
    <t>2659</t>
  </si>
  <si>
    <t>1090310010900000000</t>
  </si>
  <si>
    <t>离合器总成</t>
  </si>
  <si>
    <t>包括锥形离合器、盘式离合器、液压离合器、自动离合器、离合器外壳、离合器盘、离合器杆及已装配的离合器摩擦片，不包括电磁离合器零件（详见109041202）。</t>
  </si>
  <si>
    <t>2660</t>
  </si>
  <si>
    <t>1090310011000000000</t>
  </si>
  <si>
    <t>机动车用控制装置总成</t>
  </si>
  <si>
    <t>包括车辆用转向盘、转向柱及转向器、转向轮轴、变速操纵杆及手刹车操纵杆、加速踏板、制动踏板、离合器踏板、制动器及离合器的连杆</t>
  </si>
  <si>
    <t>2661</t>
  </si>
  <si>
    <t>1090310019900000000</t>
  </si>
  <si>
    <t>其他机动车（汽车）零配件</t>
  </si>
  <si>
    <t>其他用于构成汽车整体的各个单元及服务于汽车的一种产品。</t>
  </si>
  <si>
    <t>2662</t>
  </si>
  <si>
    <t>1090310020100000000</t>
  </si>
  <si>
    <t>汽车底盘车架及其零件</t>
  </si>
  <si>
    <t>包括汽车底盘车架（未装有发动机）、机动车大梁、支架、横梁、悬挂装置、支撑车身、汽车底盘部件的支架及托架</t>
  </si>
  <si>
    <t>2663</t>
  </si>
  <si>
    <t>1090310020200000000</t>
  </si>
  <si>
    <t>座椅安全带</t>
  </si>
  <si>
    <t>安全带是为了在碰撞时对乘员进行约束以及避免碰撞时乘员与方向盘及仪表板等发生二次碰撞或避免碰撞时冲出车外导致死伤的安全装置。</t>
  </si>
  <si>
    <t>2664</t>
  </si>
  <si>
    <t>1090310020300000000</t>
  </si>
  <si>
    <t>安全气囊装置</t>
  </si>
  <si>
    <t>安全气囊是指撞车时在乘员产生二次碰撞前，使气囊膨胀保护乘员的装置。</t>
  </si>
  <si>
    <t>2665</t>
  </si>
  <si>
    <t>1090310020400000000</t>
  </si>
  <si>
    <t>车窗玻璃升降器</t>
  </si>
  <si>
    <t>玻璃升降器是汽车门窗玻璃的升降装置，主要分电动玻璃升降器与手动玻璃升降器两大类。</t>
  </si>
  <si>
    <t>2666</t>
  </si>
  <si>
    <t>1090310020500000000</t>
  </si>
  <si>
    <t>车身底板、侧板及类似板</t>
  </si>
  <si>
    <t>包括车身底板、侧板、前面板、后面板、行李舱等</t>
  </si>
  <si>
    <t>2667</t>
  </si>
  <si>
    <t>1090310020600000000</t>
  </si>
  <si>
    <t>机动车门及其零件</t>
  </si>
  <si>
    <t>用于封闭机动车内部空间的设置及其配套附件，包含密封胶带、内装饰板、车内控制器、车门锁闭机构、外部开启装置等。</t>
  </si>
  <si>
    <t>2668</t>
  </si>
  <si>
    <t>1090310020700000000</t>
  </si>
  <si>
    <t>机动车车窗、窗框</t>
  </si>
  <si>
    <t>包括机动车带框玻璃窗、装有加热电阻器及电气接头的窗、窗框</t>
  </si>
  <si>
    <t>2669</t>
  </si>
  <si>
    <t>1090310029900000000</t>
  </si>
  <si>
    <t>其他车身零配件</t>
  </si>
  <si>
    <t>指其他车身零件及其配套附件，包括发动机罩、散热器护罩、机动车脚踏板、挡泥板、叶子板、仪表板、车牌照托架、转向柱托架、机动车的外部行李架、遮阳板，由车辆发动机供热的非电气供暖及除霜设备，还包括尚未具有不完整车身特征的组合体</t>
  </si>
  <si>
    <t>2670</t>
  </si>
  <si>
    <t>1090311000000000000</t>
  </si>
  <si>
    <t>汽车底盘</t>
  </si>
  <si>
    <t>不带车身的机动车辆，包括装有发动机、传动机构、转向机构及驱动桥（不论是否装有车轮）、机动车辆用的底盘车架或底盘车身整体式车架</t>
  </si>
  <si>
    <t>2671</t>
  </si>
  <si>
    <t>1090312050000000000</t>
  </si>
  <si>
    <t>电动轻便摩托车，由电力驱动的，最高设计车速大于20km/h且不大于50km/h（含50km/h）</t>
  </si>
  <si>
    <t>2672</t>
  </si>
  <si>
    <t>1090312030000000000</t>
  </si>
  <si>
    <t>摩托车，排气量在150毫升以下（含150毫升）</t>
  </si>
  <si>
    <t>2673</t>
  </si>
  <si>
    <t>1090312040000000000</t>
  </si>
  <si>
    <t>电动摩托车，由电力驱动的，最高设计车速大于50km/h</t>
  </si>
  <si>
    <t>2674</t>
  </si>
  <si>
    <t>1090312010000000000</t>
  </si>
  <si>
    <t>摩托车，排气量在250毫升以下（不含250毫升）</t>
  </si>
  <si>
    <t>指往复式内燃机摩托车,含普通型摩托车、踏板摩托车、三轮摩托车和其他摩托车</t>
  </si>
  <si>
    <t>2675</t>
  </si>
  <si>
    <t>1090312020000000000</t>
  </si>
  <si>
    <t>摩托车，排气量是250毫升以上（含250毫升）</t>
  </si>
  <si>
    <t>2676</t>
  </si>
  <si>
    <t>1090313000000000000</t>
  </si>
  <si>
    <t>摩托车零部件及配件</t>
  </si>
  <si>
    <t>是构成摩托车整体的各个单元及服务于摩托车的一种产品。指装配摩托车机械的零件或部件；或损坏后重新安装上的零件或部件。</t>
  </si>
  <si>
    <t>2677</t>
  </si>
  <si>
    <t>1090314010000000000</t>
  </si>
  <si>
    <t>两轮脚踏自行车</t>
  </si>
  <si>
    <t>不包括助动自行车（详见1090316）</t>
  </si>
  <si>
    <t>2678</t>
  </si>
  <si>
    <t>1090314020000000000</t>
  </si>
  <si>
    <t>三轮脚踏自行车</t>
  </si>
  <si>
    <t>不包括机动三轮车（详见1090309）</t>
  </si>
  <si>
    <t>2679</t>
  </si>
  <si>
    <t>1090314030000000000</t>
  </si>
  <si>
    <t>特种脚踏自行车</t>
  </si>
  <si>
    <t>包含双人脚踏自行车、独轮脚踏自行车、其他特种脚踏自行车</t>
  </si>
  <si>
    <t>2680</t>
  </si>
  <si>
    <t>1090314040000000000</t>
  </si>
  <si>
    <t>脚踏自行车零件</t>
  </si>
  <si>
    <t>2681</t>
  </si>
  <si>
    <t>1090315000000000000</t>
  </si>
  <si>
    <t>残疾人用车</t>
  </si>
  <si>
    <t>指专用于载运残疾人（病人、瘫痪者、残疾人等）的车辆。</t>
  </si>
  <si>
    <t>2682</t>
  </si>
  <si>
    <t>1090316000000000000</t>
  </si>
  <si>
    <t>助动自行车及其零件</t>
  </si>
  <si>
    <t>不包括供儿童乘骑的带轮玩具及其零件（详见106040801）</t>
  </si>
  <si>
    <t>2683</t>
  </si>
  <si>
    <t>1090317000000000000</t>
  </si>
  <si>
    <t>休闲专用车及其零附件</t>
  </si>
  <si>
    <t>指车体轻便、可以用于休闲竞技、表演等场地，用于休闲活动赛道或赛场，49～800CC四轮或四轮以上气动或电动的沙滩车，用于休闲赛场、丘陵、沙漠等特殊地形等活动的卡丁车，用于农场、庄园等车前带拖斗可放置农用器具的农夫车，高尔夫球车，车身装有履带、雪橇、滑雪板、扫雪工具等，用于雪地休闲活动的休闲雪地车，指一般无动力或稍带一点动力用于草地等休闲活动草地车，观光车，代步车，其他休闲专用车，及其零附件。</t>
  </si>
  <si>
    <t>2684</t>
  </si>
  <si>
    <t>1090318010000000000</t>
  </si>
  <si>
    <t>机动货船</t>
  </si>
  <si>
    <t>包括客货船。由动力装置驱动或牵引在水上行驶的供运送货物的船只</t>
  </si>
  <si>
    <t>2685</t>
  </si>
  <si>
    <t>1090318020000000000</t>
  </si>
  <si>
    <t>机动客船</t>
  </si>
  <si>
    <t>由动力装置驱动或牵引在水上行驶供乘用的船只</t>
  </si>
  <si>
    <t>2686</t>
  </si>
  <si>
    <t>1090318030000000000</t>
  </si>
  <si>
    <t>机动渔船</t>
  </si>
  <si>
    <t>由动力装置驱动或牵引在水上行驶的供捕捞的船只</t>
  </si>
  <si>
    <t>2687</t>
  </si>
  <si>
    <t>1090318040000000000</t>
  </si>
  <si>
    <t>机动工程（工作）船</t>
  </si>
  <si>
    <t>由动力装置驱动或牵引在水上行驶用于工程作业的船只</t>
  </si>
  <si>
    <t>2688</t>
  </si>
  <si>
    <t>1090318050000000000</t>
  </si>
  <si>
    <t>其他机动船</t>
  </si>
  <si>
    <t>其他由动力装置驱动或牵引在水上行驶的船只</t>
  </si>
  <si>
    <t>2689</t>
  </si>
  <si>
    <t>1090318060000000000</t>
  </si>
  <si>
    <t>非机动船</t>
  </si>
  <si>
    <t>包括驳船、浮船坞。</t>
  </si>
  <si>
    <t>2690</t>
  </si>
  <si>
    <t>1090319000000000000</t>
  </si>
  <si>
    <t>非金属船舶</t>
  </si>
  <si>
    <t>包括玻璃钢渔船、木渔船、玻璃钢客货运输船、木船、橡皮船、气垫船等。不包括游艇（详见1090320）</t>
  </si>
  <si>
    <t>2691</t>
  </si>
  <si>
    <t>1090320000000000000</t>
  </si>
  <si>
    <t>游艇</t>
  </si>
  <si>
    <t>艇身长度大于8米（含）小于90米（含），内置发动机，可以在水上移动，一般为私人或团体购置，主要用于水上运动和休闲娱乐等非牟利活动的各类机动艇。</t>
  </si>
  <si>
    <t>2692</t>
  </si>
  <si>
    <t>1090321010000000000</t>
  </si>
  <si>
    <t>船用甲板机械</t>
  </si>
  <si>
    <t>不包括船用卷扬机及绞盘（详见109011104）</t>
  </si>
  <si>
    <t>2693</t>
  </si>
  <si>
    <t>1090321020000000000</t>
  </si>
  <si>
    <t>船舶自动化、检测、监控系统</t>
  </si>
  <si>
    <t>包括机舱自动化控制装置、综合船桥系统等</t>
  </si>
  <si>
    <t>2694</t>
  </si>
  <si>
    <t>1090321030000000000</t>
  </si>
  <si>
    <t>船舶专用设备</t>
  </si>
  <si>
    <t>船舶用陀螺稳定器，船舶驾驶及操舵设备，船用海水淡化装置，船舶安全装置，其他船舶专用设备，包括稳定装置、船舶防腐蚀装置、船舶管路系统、船舶应急设备等</t>
  </si>
  <si>
    <t>2695</t>
  </si>
  <si>
    <t>1090321040000000000</t>
  </si>
  <si>
    <t>船用环保设备</t>
  </si>
  <si>
    <t>包括油分浓度计、船用油水界面探测器等的船舶防污监测系统，船用垃圾焚烧炉，生化法污水处理装置，船用油污水分离装置，包括油水过滤器，其他船用环保设备</t>
  </si>
  <si>
    <t>2696</t>
  </si>
  <si>
    <t>1090321050000000000</t>
  </si>
  <si>
    <t>海上救生设备</t>
  </si>
  <si>
    <t>包括船用救生设备，但不包括救生艇（详见109031804）</t>
  </si>
  <si>
    <t>2697</t>
  </si>
  <si>
    <t>1090321060000000000</t>
  </si>
  <si>
    <t>船用配套设备零件</t>
  </si>
  <si>
    <t>包括船舶用舵机稳定器用零件，船舶用舵机及陀螺稳定器用零件，其他船用配套设备零件</t>
  </si>
  <si>
    <t>2698</t>
  </si>
  <si>
    <t>1090322000000000000</t>
  </si>
  <si>
    <t>船用推进器及螺旋桨、锚制品</t>
  </si>
  <si>
    <t>包括钢铁锚及零件，多爪锚及零件，喷水推进器，Z型推进器，侧向推进器，其他船用推进器，船用螺旋桨桨叶</t>
  </si>
  <si>
    <t>2699</t>
  </si>
  <si>
    <t>1090323010000000000</t>
  </si>
  <si>
    <t>航标器材</t>
  </si>
  <si>
    <t>包含浮筒、浮标、浮罐、其他航标器材</t>
  </si>
  <si>
    <t>2700</t>
  </si>
  <si>
    <t>1090323020000000000</t>
  </si>
  <si>
    <t>浮动结构体、浮式装置</t>
  </si>
  <si>
    <t>包含浮舟、浮吊、浮柜、潜水箱、隔离舱、泊位平台、作坞门用浮动结构体、其他浮动结构体、浮式装置</t>
  </si>
  <si>
    <t>2701</t>
  </si>
  <si>
    <t>1090323030000000000</t>
  </si>
  <si>
    <t>海洋石油浮动工程结构物</t>
  </si>
  <si>
    <t>包含浮式生产储油船、浮动或潜水式钻探或生产平台</t>
  </si>
  <si>
    <t>2702</t>
  </si>
  <si>
    <t>1090324010100000000</t>
  </si>
  <si>
    <t>民用飞机</t>
  </si>
  <si>
    <t>又叫民用固定翼飞机分为商业飞机和通用飞机。商业飞机有国内和国际干线客机、货机或客货两用机以及国内支线运输机。通用飞机有公务机、农业机、林业机、轻型多用途机、巡逻救护机、体育运动机和私人飞机等。</t>
  </si>
  <si>
    <t>2703</t>
  </si>
  <si>
    <t>1090324010200000000</t>
  </si>
  <si>
    <t>民用直升机</t>
  </si>
  <si>
    <t>非军事用途的直升机主要由机体和升力（含旋翼和尾桨）、动力、传动三大系统以及机载飞行设备等组成。旋翼一般由涡轮轴发动机或活塞式发动机通过由传动轴及减速器等组成的机械传动系统来驱动，也可由桨尖喷气产生的反作用力来驱动。</t>
  </si>
  <si>
    <t>2704</t>
  </si>
  <si>
    <t>1090324020000000000</t>
  </si>
  <si>
    <t>无动力航空器</t>
  </si>
  <si>
    <t>滑翔机及悬挂滑翔机,自由或系留气球,专用气球,机动飞艇,其他无动力航空器等。</t>
  </si>
  <si>
    <t>2705</t>
  </si>
  <si>
    <t>1090324030000000000</t>
  </si>
  <si>
    <t>航空器发射、甲板停机装置及地面飞行训练装置</t>
  </si>
  <si>
    <t>包括航空器发射装置,甲板停机装置及其零件</t>
  </si>
  <si>
    <t>2706</t>
  </si>
  <si>
    <t>1090324040000000000</t>
  </si>
  <si>
    <t>航空器零件</t>
  </si>
  <si>
    <t>飞机及直升机零件,气球、飞艇零件,航空器及其运载工具零件,其他航空器零件</t>
  </si>
  <si>
    <t>2707</t>
  </si>
  <si>
    <t>1090325010100000000</t>
  </si>
  <si>
    <t>航天飞机</t>
  </si>
  <si>
    <t>又称为太空梭或太空穿梭机，是可重复使用的、往返于太空和地面之间的航天器，结合了飞机与航天器的性质。它既能代表运载火箭把人造卫星等航天器送入太空，也能像载人飞船那样在轨道上运行，还能像飞机那样在大气层中滑翔着陆。</t>
  </si>
  <si>
    <t>2708</t>
  </si>
  <si>
    <t>1090325010200000000</t>
  </si>
  <si>
    <t>飞船</t>
  </si>
  <si>
    <t>飞船是一种一次性使用的航天器。它能基本保证航天员在太空短期生活并进行一定的工作。它的运行时间一般是几天到半个月，一般乘2到3名航天员。又称宇宙飞船。</t>
  </si>
  <si>
    <t>2709</t>
  </si>
  <si>
    <t>1090325010300000000</t>
  </si>
  <si>
    <t>卫星</t>
  </si>
  <si>
    <t>人造卫星是由人类建造，以太空飞行载具如火箭、航天飞机等发射到太空中，像天然卫星一样环绕地球或其它行星的装置。</t>
  </si>
  <si>
    <t>2710</t>
  </si>
  <si>
    <t>1090325010400000000</t>
  </si>
  <si>
    <t>运载火箭</t>
  </si>
  <si>
    <t>每一级都包括箭体结构、推进系统和飞行控制系统。末级有仪器舱，内装制导与控制系统、遥测系统和发射场安全系统。级与级之间靠级间段连接。有效载荷装在仪器舱的上面，外面套有整流罩。包括箭体结构,火箭发动机,箭上设备,运载火箭地面设备,其他运载火箭设备</t>
  </si>
  <si>
    <t>2711</t>
  </si>
  <si>
    <t>1090325010500000000</t>
  </si>
  <si>
    <t>探空火箭</t>
  </si>
  <si>
    <t>探空火箭（是一种比较特殊的运载工具，它只携带科学仪器进行亚轨道飞行。探空火箭一般为无控制火箭，具有结构简单、成本低廉、发射方便等优点。探空火箭系统由有效载荷、火箭、发射装置和地面台站组成。</t>
  </si>
  <si>
    <t>2712</t>
  </si>
  <si>
    <t>1090325010600000000</t>
  </si>
  <si>
    <t>气象火箭</t>
  </si>
  <si>
    <t>探测高空大气参数（温度、压力、密度、风）的空火箭。气象火箭获得的高空大气资料可用于天气预报、气候变化和灾害性天气研究。</t>
  </si>
  <si>
    <t>2713</t>
  </si>
  <si>
    <t>1090325019900000000</t>
  </si>
  <si>
    <t>其他航天器</t>
  </si>
  <si>
    <t>2714</t>
  </si>
  <si>
    <t>1090325020000000000</t>
  </si>
  <si>
    <t>航天器及其运载工具零件</t>
  </si>
  <si>
    <t>用于航天飞机、卫星、运载火箭、探空火箭、气象火箭和其他航天器的附属部件及零配件。</t>
  </si>
  <si>
    <t>2715</t>
  </si>
  <si>
    <t>1090326010000000000</t>
  </si>
  <si>
    <t>潜水装备</t>
  </si>
  <si>
    <t>包括通风式重潜水装备，氦氧重潜水装备，轻潜水装备，其他潜水装备</t>
  </si>
  <si>
    <t>2716</t>
  </si>
  <si>
    <t>1090326020000000000</t>
  </si>
  <si>
    <t>潜水水下作业用装备</t>
  </si>
  <si>
    <t>水下喷焊器，潜水通讯装置，潜水供气设备，饱和潜水系统，配有机械装置金属潜水衣，其他潜水水下作业用装备</t>
  </si>
  <si>
    <t>2717</t>
  </si>
  <si>
    <t>1090326030000000000</t>
  </si>
  <si>
    <t>潜水服</t>
  </si>
  <si>
    <t>指不带呼吸装置的潜水服，包括湿式潜水服，干式潜水服，潜水水暖服，其他潜水服，不包括配有机械装置的金属潜水衣（详见109032602）</t>
  </si>
  <si>
    <t>2718</t>
  </si>
  <si>
    <t>1090326040000000000</t>
  </si>
  <si>
    <t>水下潜器</t>
  </si>
  <si>
    <t>包括载人水下潜器，有缆无人水下潜器，无缆无人水下潜器，其水下潜器</t>
  </si>
  <si>
    <t>2719</t>
  </si>
  <si>
    <t>1090327010000000000</t>
  </si>
  <si>
    <t>发光标志及类似品及其零件</t>
  </si>
  <si>
    <t>包括指示牌或交通标志牌、交通护板、反光板、反光护栏，汽车牌（发光），其他交通管理用发光标志。</t>
  </si>
  <si>
    <t>2720</t>
  </si>
  <si>
    <t>1090327020000000000</t>
  </si>
  <si>
    <t>金属制地名牌、号码及类似标志</t>
  </si>
  <si>
    <t>公共服务单位用标志牌、禁令牌，旅馆、商店、工厂用招牌，房屋、大门、信箱用地址牌，机器、仪表用类似标志，其他金属制类似标志</t>
  </si>
  <si>
    <t>2721</t>
  </si>
  <si>
    <t>1090328010000000000</t>
  </si>
  <si>
    <t>手推车</t>
  </si>
  <si>
    <t>包含手推运货车，独轮手推车、斗式手推车，自卸手推车，行李手推车，手推餐车，小型保温手推车，超市购物车（金属制），其他手推车</t>
  </si>
  <si>
    <t>2722</t>
  </si>
  <si>
    <t>1090328020000000000</t>
  </si>
  <si>
    <t>畜力拖曳车辆</t>
  </si>
  <si>
    <t>包括马车、驴车，牛、狗拉车辆，游览观光用马车，畜力滑撬，运货用兽力车，其他畜力拖曳车辆</t>
  </si>
  <si>
    <t>2723</t>
  </si>
  <si>
    <t>1090328030000000000</t>
  </si>
  <si>
    <t>非机械驱动车辆零件</t>
  </si>
  <si>
    <t>用于手推车、畜力拖曳车辆、其他非机械动力车的零部件</t>
  </si>
  <si>
    <t>2724</t>
  </si>
  <si>
    <t>电气机械及器材</t>
  </si>
  <si>
    <t>发电机</t>
  </si>
  <si>
    <t>1090401010000000000</t>
  </si>
  <si>
    <t>交流发电机</t>
  </si>
  <si>
    <t>交流电动机主要由一个用以产生磁场的电磁铁绕组或分布的定子绕组和一个旋转电枢或转子组成。电动机利用通电线圈在磁场中受力转动的现象而制成的。</t>
  </si>
  <si>
    <t>2725</t>
  </si>
  <si>
    <t>1090401020000000000</t>
  </si>
  <si>
    <t>直流发电机</t>
  </si>
  <si>
    <t>包括电磁式直流发电机，永磁式直流发电机，其他直流发电机</t>
  </si>
  <si>
    <t>2726</t>
  </si>
  <si>
    <t>发电机组</t>
  </si>
  <si>
    <t>1090402010000000000</t>
  </si>
  <si>
    <t>发电机组是指由发电机及其原动机组装成（或准备组装成）整套设备或装在同一底座上所组成的机械；不包括内燃发电机组（详见109040202）</t>
  </si>
  <si>
    <t>2727</t>
  </si>
  <si>
    <t>1090402020000000000</t>
  </si>
  <si>
    <t>内燃发电机组</t>
  </si>
  <si>
    <t>以柴油机、汽油机及混合燃料压燃式发动机为动力源的内燃发电机组</t>
  </si>
  <si>
    <t>2728</t>
  </si>
  <si>
    <t>1090402030000000000</t>
  </si>
  <si>
    <t>旋转式变流机</t>
  </si>
  <si>
    <t>主要由一台发电机与一台原动机组成的交流发电机、直流发电机组，其原动机为电动机</t>
  </si>
  <si>
    <t>2729</t>
  </si>
  <si>
    <t>1090402040000000000</t>
  </si>
  <si>
    <t>电机及发电机组专用零件</t>
  </si>
  <si>
    <t>包括交流发电机零件，风力发电机组零件，其他电机及发电机组专用零件</t>
  </si>
  <si>
    <t>2730</t>
  </si>
  <si>
    <t>电动机</t>
  </si>
  <si>
    <t>1090403010000000000</t>
  </si>
  <si>
    <t>直流电动机</t>
  </si>
  <si>
    <t>包括轧机用直流电动机、机床用直流电动机、电梯用直流电动机等</t>
  </si>
  <si>
    <t>2731</t>
  </si>
  <si>
    <t>1090403020000000000</t>
  </si>
  <si>
    <t>交流电动机</t>
  </si>
  <si>
    <t>包括多相交流电动机和单相交流电动机、其他交流电动机</t>
  </si>
  <si>
    <t>2732</t>
  </si>
  <si>
    <t>1090403030000000000</t>
  </si>
  <si>
    <t>交直流两用电动机</t>
  </si>
  <si>
    <t>P＞37.5W同步交流电动机，异步交流电动机，其他交直流两用电动机</t>
  </si>
  <si>
    <t>2733</t>
  </si>
  <si>
    <t>1090403040000000000</t>
  </si>
  <si>
    <t>小功率电动机</t>
  </si>
  <si>
    <t>P≤37.5W交流小功率异步电动机，交流小功率同步电动机，小功率直线电动机，小功率直流电动机，小功率交流换向器电动机，其他小功率电动机</t>
  </si>
  <si>
    <t>2734</t>
  </si>
  <si>
    <t>1090403050000000000</t>
  </si>
  <si>
    <t>微电机</t>
  </si>
  <si>
    <t>P≤37.5W玩具电动机，控制微电机，驱动微电机，移动通信终端用微型振动电机，专用微特电机，其他微电机。</t>
  </si>
  <si>
    <t>2735</t>
  </si>
  <si>
    <t>1090403060000000000</t>
  </si>
  <si>
    <t>与内燃机配用发电机</t>
  </si>
  <si>
    <t>起动电机，两用起动发电机，其他与内燃机配用发电机</t>
  </si>
  <si>
    <t>2736</t>
  </si>
  <si>
    <t>1090403070000000000</t>
  </si>
  <si>
    <t>电动机零件</t>
  </si>
  <si>
    <t>交流电动机零件，直流电动机零件，玩具电动机专用零件，微电机专用零件</t>
  </si>
  <si>
    <t>2737</t>
  </si>
  <si>
    <t>1090403990000000000</t>
  </si>
  <si>
    <t>其他电机</t>
  </si>
  <si>
    <t>中频电机，分马力电机，电力测功电机，油泵电机，其他未列明电机</t>
  </si>
  <si>
    <t>2738</t>
  </si>
  <si>
    <t>变压器整流器</t>
  </si>
  <si>
    <t>1090404010000000000</t>
  </si>
  <si>
    <t>变压器</t>
  </si>
  <si>
    <t>包括电力变压器，换流变压器，干式变压器，试验变压器，电源变压器，可调电源变压器，其他变压器</t>
  </si>
  <si>
    <t>2739</t>
  </si>
  <si>
    <t>1090404020000000000</t>
  </si>
  <si>
    <t>互感器</t>
  </si>
  <si>
    <t>包括电压互感器，电流互感器，组合互感器，其他互感器</t>
  </si>
  <si>
    <t>2740</t>
  </si>
  <si>
    <t>1090404030000000000</t>
  </si>
  <si>
    <t>静止式变流器</t>
  </si>
  <si>
    <t>包括稳压电源，稳流电源，不间断供电电源（UPS），半导体变流器，气体放电变流器，电解整流器，逆变器，交流电变换器，交流电变频设备，直流电变换器，其他静止式变流器备用电源组；不包括计算机用电源机（详见1090512）</t>
  </si>
  <si>
    <t>2741</t>
  </si>
  <si>
    <t>1090404040000000000</t>
  </si>
  <si>
    <t>电抗器</t>
  </si>
  <si>
    <t>包括并联电抗器，串联电抗器，轭流式饱和电抗器，限流电抗器，滤波电抗器，启动电抗器，自饱和电抗器，调幅电抗器，试验用电抗器，整流用平衡电抗器，整流用平波电抗器，阴尼电抗器，接地电抗器，其他电抗器</t>
  </si>
  <si>
    <t>2742</t>
  </si>
  <si>
    <t>1090404050000000000</t>
  </si>
  <si>
    <t>电感器</t>
  </si>
  <si>
    <t>包括固定与色码电感器，叠层式片式电感器，线绕式片式电感器，ＬＣ滤波器，其他电感器</t>
  </si>
  <si>
    <t>2743</t>
  </si>
  <si>
    <t>1090404060000000000</t>
  </si>
  <si>
    <t>变压器、整流器和电感器零件</t>
  </si>
  <si>
    <t>用于变压器，互感器，静止式变流器，电抗器，电感器的零部件</t>
  </si>
  <si>
    <t>2744</t>
  </si>
  <si>
    <t>电力电容器</t>
  </si>
  <si>
    <t>1090405010000000000</t>
  </si>
  <si>
    <t>50/60Hz电路用，P≥0.5千乏包括并联电容器、串联电容器、电热电容器、滤波电容器、断路器电容器、耦合电容器、保护电容器、脉冲电容器、标准电容器、其他电力电容器</t>
  </si>
  <si>
    <t>2745</t>
  </si>
  <si>
    <t>1090405020000000000</t>
  </si>
  <si>
    <t>电力电容器成套装置</t>
  </si>
  <si>
    <t>包括并联电容器装置、串联电容器装置、无功就地补偿装置、交流滤波电容器装置、交流电压抽取装置、电容式电压互感器、阻容分压器、其他电力电容器成套装置</t>
  </si>
  <si>
    <t>2746</t>
  </si>
  <si>
    <t>1090405030000000000</t>
  </si>
  <si>
    <t>电力电容器零件</t>
  </si>
  <si>
    <t>用于电力电容器、电力电容器成套装置的零部件</t>
  </si>
  <si>
    <t>2747</t>
  </si>
  <si>
    <t>高压开关设备</t>
  </si>
  <si>
    <t>1090406010000000000</t>
  </si>
  <si>
    <t>全封闭组合电器（GIS）</t>
  </si>
  <si>
    <t>2748</t>
  </si>
  <si>
    <t>1090406020000000000</t>
  </si>
  <si>
    <t>六氟化硫断路器</t>
  </si>
  <si>
    <t>2749</t>
  </si>
  <si>
    <t>1090406030000000000</t>
  </si>
  <si>
    <t>敞开式组合电器</t>
  </si>
  <si>
    <t>2750</t>
  </si>
  <si>
    <t>1090406040000000000</t>
  </si>
  <si>
    <t>隔离开关</t>
  </si>
  <si>
    <t>2751</t>
  </si>
  <si>
    <t>1090406050000000000</t>
  </si>
  <si>
    <t>接地开关</t>
  </si>
  <si>
    <t>2752</t>
  </si>
  <si>
    <t>配电控制设备</t>
  </si>
  <si>
    <t>1090407010000000000</t>
  </si>
  <si>
    <t>高压电路开关、保护电器装置</t>
  </si>
  <si>
    <t>高压熔断器,高压自动断路器,隔离开关及断续开关,避雷器、电压限幅器及电涌抑制器,高压开关、保护或连接用组合装置,其他高压电路开关、保护电器装置</t>
  </si>
  <si>
    <t>2753</t>
  </si>
  <si>
    <t>1090407020000000000</t>
  </si>
  <si>
    <t>低压开关、保护控制装置</t>
  </si>
  <si>
    <t>包括低压电路保护装置、低压电路开关装置、其他低压电路装置</t>
  </si>
  <si>
    <t>2754</t>
  </si>
  <si>
    <t>1090407030000000000</t>
  </si>
  <si>
    <t>电路连接装置</t>
  </si>
  <si>
    <t>包括插头、插座及类似电路连接装置、低压电路管座、连接器、端接件及接线装置、其他电路连接装置。</t>
  </si>
  <si>
    <t>2755</t>
  </si>
  <si>
    <t>1090407040000000000</t>
  </si>
  <si>
    <t>电力控制或电力分配装置</t>
  </si>
  <si>
    <t>包括电力控制或配电用配电板、配电盘、数字控制板、盘，控制台等，高压电力控制或电力分配装置，低压电力控制或电力分配装置，安全、自动化监控设备，其他电力控制或电力分配装置</t>
  </si>
  <si>
    <t>2756</t>
  </si>
  <si>
    <t>电力电子元器件</t>
  </si>
  <si>
    <t>1090408010000000000</t>
  </si>
  <si>
    <t>电力半导体器件（5A以上）</t>
  </si>
  <si>
    <t>包括整流管、电力晶闸管、电力晶体管、电力场效应器件、场控双极型复合器件、功率MOS场效应管、固态继电器模块、静电感应器件（SIT）、其他电力半导体器件。</t>
  </si>
  <si>
    <t>2757</t>
  </si>
  <si>
    <t>1090408020000000000</t>
  </si>
  <si>
    <t>电力微电子组件</t>
  </si>
  <si>
    <t>包括电力半导体模块、电力半导体组件</t>
  </si>
  <si>
    <t>2758</t>
  </si>
  <si>
    <t>1090408030000000000</t>
  </si>
  <si>
    <t>电力集成电路</t>
  </si>
  <si>
    <t>包括普通稳压电路、开关电源控制电路、DC-DC变换器、其他电力集成电路</t>
  </si>
  <si>
    <t>2759</t>
  </si>
  <si>
    <t>1090408040000000000</t>
  </si>
  <si>
    <t>继电器</t>
  </si>
  <si>
    <t>包括电磁继电器、永磁继电器、热电继电器、感应继电器、静电继电器、光电继电器、电子继电器、其他继电器。</t>
  </si>
  <si>
    <t>2760</t>
  </si>
  <si>
    <t>1090408050000000000</t>
  </si>
  <si>
    <t>继电器保护装置</t>
  </si>
  <si>
    <t>包括电流保护装置、电压保护装置、差动保护装置、电动机保护装置、发电机保护装置、励磁机保护装置、其他继电器保护装置</t>
  </si>
  <si>
    <t>2761</t>
  </si>
  <si>
    <t>1090408060000000000</t>
  </si>
  <si>
    <t>配电或电器控制设备专用零件</t>
  </si>
  <si>
    <t>包括高压控制柜及其底座、低压控制柜及其底座、电器辅件、其他配电或电器控制设备专用零件</t>
  </si>
  <si>
    <t>2762</t>
  </si>
  <si>
    <t>电线电缆</t>
  </si>
  <si>
    <t>1090409010000000000</t>
  </si>
  <si>
    <t>裸电线</t>
  </si>
  <si>
    <t>包括裸铜线、裸铝线、铜包钢线、铜包铝丝、其他裸电线</t>
  </si>
  <si>
    <t>2763</t>
  </si>
  <si>
    <t>1090409020000000000</t>
  </si>
  <si>
    <t>绝缘电线</t>
  </si>
  <si>
    <t>包括绕组电线、布线组、安装电线、电话机和计算机用弹簧绳、电源插头线、其他绝缘电线</t>
  </si>
  <si>
    <t>2764</t>
  </si>
  <si>
    <t>1090409030000000000</t>
  </si>
  <si>
    <t>同轴电缆</t>
  </si>
  <si>
    <t>包括射频电缆、高频同轴电缆、其他同轴电缆</t>
  </si>
  <si>
    <t>2765</t>
  </si>
  <si>
    <t>1090409040000000000</t>
  </si>
  <si>
    <t>专用电缆</t>
  </si>
  <si>
    <t>包括通信及电子网络用电缆、电力电缆、交通信号专用电缆、影音电源用阻燃软电缆、潜水电机用防水橡套软电缆、其他专用电缆</t>
  </si>
  <si>
    <t>2766</t>
  </si>
  <si>
    <t>1090409050000000000</t>
  </si>
  <si>
    <t>电子元器件引线</t>
  </si>
  <si>
    <t>2767</t>
  </si>
  <si>
    <t>1090409990000000000</t>
  </si>
  <si>
    <t>其他电线电缆</t>
  </si>
  <si>
    <t>2768</t>
  </si>
  <si>
    <t>光纤光缆</t>
  </si>
  <si>
    <t>1090410010000000000</t>
  </si>
  <si>
    <t>光纤</t>
  </si>
  <si>
    <t>包括塑料光纤、单模光纤、多模光纤、特种光纤</t>
  </si>
  <si>
    <t>2769</t>
  </si>
  <si>
    <t>1090410020000000000</t>
  </si>
  <si>
    <t>光缆</t>
  </si>
  <si>
    <t>包括普通光缆、特种光缆</t>
  </si>
  <si>
    <t>2770</t>
  </si>
  <si>
    <t>绝缘制品</t>
  </si>
  <si>
    <t>1090411010000000000</t>
  </si>
  <si>
    <t>电气绝缘子</t>
  </si>
  <si>
    <t>指熔融玄武岩、硬化橡胶、混合绝缘材料制电气绝缘子。</t>
  </si>
  <si>
    <t>2771</t>
  </si>
  <si>
    <t>1090411020000000000</t>
  </si>
  <si>
    <t>电气设备用绝缘配件</t>
  </si>
  <si>
    <t>包括电机或电气设备用的绝缘零件</t>
  </si>
  <si>
    <t>2772</t>
  </si>
  <si>
    <t>内燃机电器材</t>
  </si>
  <si>
    <t>1090412010000000000</t>
  </si>
  <si>
    <t>内燃机电点火起动装置</t>
  </si>
  <si>
    <t>包括火花塞、点火磁电机、内燃机电点火永磁直流发电机、磁飞轮、分电器、点火线圈、内燃机用熔断器、其他内燃机电点火起动装置。</t>
  </si>
  <si>
    <t>2773</t>
  </si>
  <si>
    <t>1090412020000000000</t>
  </si>
  <si>
    <t>电磁铁及电磁性装置</t>
  </si>
  <si>
    <t>包括电磁联轴节、电磁离合器、电磁制动器、电磁起重吸盘、电磁铁、电磁或永磁卡盘、夹紧器或提吊磁铁、电磁性工件夹具</t>
  </si>
  <si>
    <t>2774</t>
  </si>
  <si>
    <t>1090412030000000000</t>
  </si>
  <si>
    <t>风挡刮水器</t>
  </si>
  <si>
    <t>包括机动车辆风挡刮水器、电动风挡刮水器</t>
  </si>
  <si>
    <t>2775</t>
  </si>
  <si>
    <t>1090412040000000000</t>
  </si>
  <si>
    <t>除霜器</t>
  </si>
  <si>
    <t>车辆除霜器、电阻除霜器</t>
  </si>
  <si>
    <t>2776</t>
  </si>
  <si>
    <t>1090412050000000000</t>
  </si>
  <si>
    <t>去雾器</t>
  </si>
  <si>
    <t>车辆去雾器、电阻去雾器</t>
  </si>
  <si>
    <t>2777</t>
  </si>
  <si>
    <t>1090412060000000000</t>
  </si>
  <si>
    <t>内燃机电点火起动装置零件</t>
  </si>
  <si>
    <t>电磁性装置零件，机车、航空器及船舶用电点火装置零件、其他内燃机电点火起动装置零件。</t>
  </si>
  <si>
    <t>2778</t>
  </si>
  <si>
    <t>1090412990000000000</t>
  </si>
  <si>
    <t>其他相关电工器材</t>
  </si>
  <si>
    <t>包括同步器、矿用电雷管</t>
  </si>
  <si>
    <t>2779</t>
  </si>
  <si>
    <t>原电池</t>
  </si>
  <si>
    <t>1090413010100000000</t>
  </si>
  <si>
    <t>无汞锌原电池</t>
  </si>
  <si>
    <t>以锌做负极，汞含量低于电池重量的0.0001%(扣式电池按0.0005%)的原电池</t>
  </si>
  <si>
    <t>2780</t>
  </si>
  <si>
    <t>1090413010200000000</t>
  </si>
  <si>
    <t>含汞锌原电池</t>
  </si>
  <si>
    <t>以锌做负极，汞含量高于电池重量的0.0001%(扣式电池按0.0005%)的原电池</t>
  </si>
  <si>
    <t>2781</t>
  </si>
  <si>
    <t>1090413010300000000</t>
  </si>
  <si>
    <t>锂原电池</t>
  </si>
  <si>
    <t>以锂做负极的原电池,包括锂二氧化锰原电池、锂亚硫酰氯原电池、锂二硫化铁原电池、锂二氧化硫原电池、锂氧原电池(又称“锂空气原电池”)、锂氟化碳原电池等。</t>
  </si>
  <si>
    <t>2782</t>
  </si>
  <si>
    <t>1090413010400000000</t>
  </si>
  <si>
    <t>其他无汞原电池</t>
  </si>
  <si>
    <t>其他汞含量低于电池重量的0.0001%(扣式电池按0.0005%)的原电池</t>
  </si>
  <si>
    <t>2783</t>
  </si>
  <si>
    <t>1090413010500000000</t>
  </si>
  <si>
    <t>其他含汞原电池</t>
  </si>
  <si>
    <t>其他汞含量高于电池重量的0.0001%(扣式电池按0.0005%)的原电池</t>
  </si>
  <si>
    <t>2784</t>
  </si>
  <si>
    <t>蓄电池</t>
  </si>
  <si>
    <t>1090413020100000000</t>
  </si>
  <si>
    <t>铅酸蓄电池</t>
  </si>
  <si>
    <t>铅酸蓄电池,指含以稀硫酸为主电解质、二氧化铅正极和铅负极的蓄电池。</t>
  </si>
  <si>
    <t>2785</t>
  </si>
  <si>
    <t>1090413020200000000</t>
  </si>
  <si>
    <t>其他酸性蓄电池</t>
  </si>
  <si>
    <t>其他含酸性电解质的蓄电池</t>
  </si>
  <si>
    <t>2786</t>
  </si>
  <si>
    <t>1090413020300000000</t>
  </si>
  <si>
    <t>金属氢化物镍蓄电池</t>
  </si>
  <si>
    <t>又称“氢镍蓄电池”或“镍氢蓄电池”</t>
  </si>
  <si>
    <t>2787</t>
  </si>
  <si>
    <t>1090413020400000000</t>
  </si>
  <si>
    <t>锂离子蓄电池</t>
  </si>
  <si>
    <t>以锂做负极的原电池,包括锂二氧化锰原电池、锂亚硫酰氯原电池、锂二硫化铁原电池、锂二氧化硫原电池、锂氧原电池(又称“锂空气原电池”)、锂氟化碳原电池等按可充电、重复使用设计的电池</t>
  </si>
  <si>
    <t>2788</t>
  </si>
  <si>
    <t>1090413020500000000</t>
  </si>
  <si>
    <t>全钒液流电池</t>
  </si>
  <si>
    <t>全钒液流电池是通过正负极电解液中不同价态钒离子的电化学反应来实现电能和化学能互相转化的储能装置。</t>
  </si>
  <si>
    <t>2789</t>
  </si>
  <si>
    <t>1090413020600000000</t>
  </si>
  <si>
    <t>其他氧化还原液流电池</t>
  </si>
  <si>
    <t>除氧化还原液流电池以外的其他同原理电池。</t>
  </si>
  <si>
    <t>2790</t>
  </si>
  <si>
    <t>1090413029900000000</t>
  </si>
  <si>
    <t>其他蓄电池</t>
  </si>
  <si>
    <t>2791</t>
  </si>
  <si>
    <t>其他电池</t>
  </si>
  <si>
    <t>1090413030000000000</t>
  </si>
  <si>
    <t>太阳能电池</t>
  </si>
  <si>
    <t>指将太阳光能转换成电能的装置,包括晶体硅太阳能电池、薄膜太阳能电池、化合物半导体太阳能电池等</t>
  </si>
  <si>
    <t>2792</t>
  </si>
  <si>
    <t>1090413040000000000</t>
  </si>
  <si>
    <t>燃料电池</t>
  </si>
  <si>
    <t>指通过一个电化学过程,将连续供应的反应物和氧化剂的化学能直接转换为电能的电化学发电装置。</t>
  </si>
  <si>
    <t>2793</t>
  </si>
  <si>
    <t>1090413050000000000</t>
  </si>
  <si>
    <t>2794</t>
  </si>
  <si>
    <t>1090413060000000000</t>
  </si>
  <si>
    <t>电池零部件</t>
  </si>
  <si>
    <t>2795</t>
  </si>
  <si>
    <t>家用制冷器具</t>
  </si>
  <si>
    <t>1090414010000000000</t>
  </si>
  <si>
    <t>家用冷藏冷冻箱</t>
  </si>
  <si>
    <t>指冷藏-冷冻组合机，包括单门冷藏冷冻箱、双门冷藏冷冻箱、多门冷藏冷冻箱</t>
  </si>
  <si>
    <t>2796</t>
  </si>
  <si>
    <t>1090414020000000000</t>
  </si>
  <si>
    <t>家用冷藏箱</t>
  </si>
  <si>
    <t>指家用和类似用途的单冷藏箱，包括电气吸收式、压缩式（含其中的家用酒柜）、半导体式、其他各式家用冷藏箱</t>
  </si>
  <si>
    <t>2797</t>
  </si>
  <si>
    <t>1090414030000000000</t>
  </si>
  <si>
    <t>家用冷冻箱</t>
  </si>
  <si>
    <t>指家用和类似用途的卧式、立式及其他各式冷冻箱（冷柜），含具有冷藏和冷冻转换功能的冷柜。不包括家用电冰箱（详见109041401）、家用冷藏箱（详见109041402）</t>
  </si>
  <si>
    <t>2798</t>
  </si>
  <si>
    <t>1090414990000000000</t>
  </si>
  <si>
    <t>其他家用制冷电器具</t>
  </si>
  <si>
    <t>2799</t>
  </si>
  <si>
    <t>空调</t>
  </si>
  <si>
    <t>1090415010000000000</t>
  </si>
  <si>
    <t>房间空气调节器</t>
  </si>
  <si>
    <t>指家用和类似用途的房间空气调节器（俗称空调机），用于向封闭的房间、空间或区域直接提供经过处理的空气的一种空气调节电器。包括整体式、分体式、一拖多式冷热或单冷的房间空气调节器，以及制冷量≤14000W的其他房间空气调节器。不包括家用房间空气清洁装置（详见109041503）、未装有制冷装置的家用空气湿度调节装置或空气调节器（详见109041502、109041599）、制冷量＞14000W的工商用房间空调器（详见109013104）</t>
  </si>
  <si>
    <t>2800</t>
  </si>
  <si>
    <t>1090415020000000000</t>
  </si>
  <si>
    <t>家用空气湿度调节装置</t>
  </si>
  <si>
    <t>包括除湿机、加湿机、其他家用空气湿度调节装置</t>
  </si>
  <si>
    <t>2801</t>
  </si>
  <si>
    <t>1090415030000000000</t>
  </si>
  <si>
    <t>家用房间空气清洁装置</t>
  </si>
  <si>
    <t>包括空气清洁器、负离子发生器、其他家用房间空气清洁装置</t>
  </si>
  <si>
    <t>2802</t>
  </si>
  <si>
    <t>1090415990000000000</t>
  </si>
  <si>
    <t>其他家用空气调节器</t>
  </si>
  <si>
    <t>2803</t>
  </si>
  <si>
    <t>家用通风电器具</t>
  </si>
  <si>
    <t>1090416010000000000</t>
  </si>
  <si>
    <t>家用电风扇</t>
  </si>
  <si>
    <t>指家用和类似用途的电风扇（5W＜功率≤125W），包括吊扇、落地扇、台扇、壁扇、塔式扇、箱式扇等。不包括房屋、设备、计算机等用的换气扇（详见109012702）</t>
  </si>
  <si>
    <t>2804</t>
  </si>
  <si>
    <t>1090416020000000000</t>
  </si>
  <si>
    <t>家用吸排油烟机</t>
  </si>
  <si>
    <t>指家用和类似用途的吸排油烟机，包括深型吸排油烟机、欧式塔型吸排油烟机、侧吸式吸排油烟机、其他家用吸排油烟机</t>
  </si>
  <si>
    <t>2805</t>
  </si>
  <si>
    <t>1090416030000000000</t>
  </si>
  <si>
    <t>家用换气、排气扇</t>
  </si>
  <si>
    <t>指家用和类似用途的换气、排气扇，包括卫生间、厨房等用换气、排气扇</t>
  </si>
  <si>
    <t>2806</t>
  </si>
  <si>
    <t>1090416040000000000</t>
  </si>
  <si>
    <t>电热干手器</t>
  </si>
  <si>
    <t>2807</t>
  </si>
  <si>
    <t>1090416990000000000</t>
  </si>
  <si>
    <t>其他家用通风电器具</t>
  </si>
  <si>
    <t>2808</t>
  </si>
  <si>
    <t>家用厨房电器具</t>
  </si>
  <si>
    <t>1090417010000000000</t>
  </si>
  <si>
    <t>家用电热烹调器具</t>
  </si>
  <si>
    <t>指家用和类似用途的电热烹调器具，包括电饭锅、电炒锅、电火锅、电饼铛、电煎锅、电煎炸锅、电压力锅、其他家用电热烹调器具</t>
  </si>
  <si>
    <t>2809</t>
  </si>
  <si>
    <t>1090417020000000000</t>
  </si>
  <si>
    <t>家用电热烘烤器具</t>
  </si>
  <si>
    <t>指家用和类似用途的电热烘烤器具，包括面包片烘烤炉、三明治炉、家用电烤箱、电热板、电烧烤炉、自动制面包机、其他家用电热烘烤器具</t>
  </si>
  <si>
    <t>2810</t>
  </si>
  <si>
    <t>1090417030000000000</t>
  </si>
  <si>
    <t>家用水及饮料加热器具</t>
  </si>
  <si>
    <t>主要指家用水及饮料加热器具，包括电咖啡壶、电水壶、加热环、电冷热饮水机、电热水瓶、制酸奶机、其他家用水及饮料加热器具</t>
  </si>
  <si>
    <t>2811</t>
  </si>
  <si>
    <t>1090417040000000000</t>
  </si>
  <si>
    <t>家用电炉灶</t>
  </si>
  <si>
    <t>指家用和类似用途的电炉灶，包括微波炉、电磁灶、电灶、气电两用灶、其他家用电炉灶</t>
  </si>
  <si>
    <t>2812</t>
  </si>
  <si>
    <t>1090417050000000000</t>
  </si>
  <si>
    <t>家用食品加工电动器具</t>
  </si>
  <si>
    <t>指家用和类似用途的食品加工电动器具，包括榨汁机（家用）、豆浆机、食品研磨机、电动绞肉机、咖啡研磨机、瓜果电动削皮机及类似机械、揉面轧面机、其他家用食品加工电动器具</t>
  </si>
  <si>
    <t>2813</t>
  </si>
  <si>
    <t>1090417060000000000</t>
  </si>
  <si>
    <t>家用厨房电清洁器具</t>
  </si>
  <si>
    <t>包括家用型洗碗机、厨房废物处理器、家用餐具消毒柜、家用餐具干燥器、磨刀器及净刀器、其他家用厨房电清洁器具</t>
  </si>
  <si>
    <t>2814</t>
  </si>
  <si>
    <t>1090417070000000000</t>
  </si>
  <si>
    <t>家用饮水电过滤、净化装置</t>
  </si>
  <si>
    <t>包括家用型滤水器、其他家用饮水电过滤装置、其他家用饮水电净化装置</t>
  </si>
  <si>
    <t>2815</t>
  </si>
  <si>
    <t>1090417990000000000</t>
  </si>
  <si>
    <t>其他家用厨房电器具</t>
  </si>
  <si>
    <t>2816</t>
  </si>
  <si>
    <t>家用清洁电器具</t>
  </si>
  <si>
    <t>1090418010000000000</t>
  </si>
  <si>
    <t>家用洗衣机</t>
  </si>
  <si>
    <t>指干衣量≤10kg的家用洗衣机，包括全自动洗衣机、半自动双桶洗衣机、其他家用洗衣机</t>
  </si>
  <si>
    <t>2817</t>
  </si>
  <si>
    <t>1090418020000000000</t>
  </si>
  <si>
    <t>家用干衣机</t>
  </si>
  <si>
    <t>指干衣量≤10kg的家用衣服干燥机，是利用电加热来使洗好的衣物中的水分即时蒸发干燥的清洁类家用电器</t>
  </si>
  <si>
    <t>2818</t>
  </si>
  <si>
    <t>1090418030000000000</t>
  </si>
  <si>
    <t>家用脱水机</t>
  </si>
  <si>
    <t>2819</t>
  </si>
  <si>
    <t>1090418040000000000</t>
  </si>
  <si>
    <t>电热水器</t>
  </si>
  <si>
    <t>指以电作为能源进行加热的热水器，包括家用电热水器、非家用电热水器</t>
  </si>
  <si>
    <t>2820</t>
  </si>
  <si>
    <t>1090418050000000000</t>
  </si>
  <si>
    <t>家用电清洁器具</t>
  </si>
  <si>
    <t>包括家用吸尘器、地板打蜡机、地板擦洗机、电动扫地机、蒸汽清洁机、其他家用电清洁器具</t>
  </si>
  <si>
    <t>2821</t>
  </si>
  <si>
    <t>1090418990000000000</t>
  </si>
  <si>
    <t>其他家用清洁卫生电器具</t>
  </si>
  <si>
    <t>2822</t>
  </si>
  <si>
    <t>家用美容保健电器</t>
  </si>
  <si>
    <t>1090419010000000000</t>
  </si>
  <si>
    <t>家用理发、吹风电器具</t>
  </si>
  <si>
    <t>指家用和类似用途的理发、吹风电器具，含理发店、美发店用理发、吹风电器具。包括电动剃须刀、电动理发推剪、电吹风机、电热卷发器、卷发电熨器、其他家用理发电器具</t>
  </si>
  <si>
    <t>2823</t>
  </si>
  <si>
    <t>1090419020000000000</t>
  </si>
  <si>
    <t>电动脱毛器</t>
  </si>
  <si>
    <t>2824</t>
  </si>
  <si>
    <t>1090419030000000000</t>
  </si>
  <si>
    <t>电美容仪</t>
  </si>
  <si>
    <t>指家用和类似用途的电美容仪</t>
  </si>
  <si>
    <t>2825</t>
  </si>
  <si>
    <t>1090419040000000000</t>
  </si>
  <si>
    <t>电动牙刷</t>
  </si>
  <si>
    <t>2826</t>
  </si>
  <si>
    <t>1090419050000000000</t>
  </si>
  <si>
    <t>家用电动按摩器</t>
  </si>
  <si>
    <t>包括足底电动按摩器、多功能电动按摩器、电动按摩沙发、电动氧摇摆器、其他家用电动按摩器</t>
  </si>
  <si>
    <t>2827</t>
  </si>
  <si>
    <t>1090419990000000000</t>
  </si>
  <si>
    <t>其他家用美容、保健电器具</t>
  </si>
  <si>
    <t>2828</t>
  </si>
  <si>
    <t>家用电热电力器</t>
  </si>
  <si>
    <t>1090420010000000000</t>
  </si>
  <si>
    <t>家用电热取暖器具</t>
  </si>
  <si>
    <t>包括电暖气、电暖炉、电热毯、其他家用电热取暖器具</t>
  </si>
  <si>
    <t>2829</t>
  </si>
  <si>
    <t>1090420020000000000</t>
  </si>
  <si>
    <t>家用电熨烫器具</t>
  </si>
  <si>
    <t>包括电熨斗、其他家用电熨烫器具</t>
  </si>
  <si>
    <t>2830</t>
  </si>
  <si>
    <t>1090420990000000000</t>
  </si>
  <si>
    <t>其他家用电热电力器具类似产品</t>
  </si>
  <si>
    <t>2831</t>
  </si>
  <si>
    <t>家用电器配件</t>
  </si>
  <si>
    <t>1090421010000000000</t>
  </si>
  <si>
    <t>家用空调设备零件</t>
  </si>
  <si>
    <t>2832</t>
  </si>
  <si>
    <t>1090421020000000000</t>
  </si>
  <si>
    <t>家用电冰箱用配件</t>
  </si>
  <si>
    <t>包括家用电冰箱用蒸发器、家用电冰箱用冷凝器、家用电冰箱用吸收器、家用电冰箱用温控器、其他家用电冰箱用配件</t>
  </si>
  <si>
    <t>2833</t>
  </si>
  <si>
    <t>1090421030000000000</t>
  </si>
  <si>
    <t>家用洗衣机用配件</t>
  </si>
  <si>
    <t>干衣量≤10kg洗衣机的零件，包括洗衣机用传感器、其他家用洗衣机用配件</t>
  </si>
  <si>
    <t>2834</t>
  </si>
  <si>
    <t>1090421040000000000</t>
  </si>
  <si>
    <t>电动理发工具零件</t>
  </si>
  <si>
    <t>包括电动剃须刀零件、电动毛发推剪的零件等</t>
  </si>
  <si>
    <t>2835</t>
  </si>
  <si>
    <t>1090421050000000000</t>
  </si>
  <si>
    <t>电热器具零件</t>
  </si>
  <si>
    <t>包括微波炉用磁控管、其他电热器具零件</t>
  </si>
  <si>
    <t>2836</t>
  </si>
  <si>
    <t>1090421060000000000</t>
  </si>
  <si>
    <t>家用电动器具零件</t>
  </si>
  <si>
    <t>2837</t>
  </si>
  <si>
    <t>1090421070000000000</t>
  </si>
  <si>
    <t>家用型过滤、净化装置零件</t>
  </si>
  <si>
    <t>2838</t>
  </si>
  <si>
    <t>1090421990000000000</t>
  </si>
  <si>
    <t>其他家用电力器具专用配件</t>
  </si>
  <si>
    <t>2839</t>
  </si>
  <si>
    <t>非电力家用器具</t>
  </si>
  <si>
    <t>1090422010000000000</t>
  </si>
  <si>
    <t>家用燃气用具</t>
  </si>
  <si>
    <t>指用天然气、液化石油气等作燃料的燃气用具，包括家用燃气炊事器具、家用燃气保暖器、家用燃气热水器、淋浴房、淋浴设备、其他家用燃气用具</t>
  </si>
  <si>
    <t>2840</t>
  </si>
  <si>
    <t>1090422020000000000</t>
  </si>
  <si>
    <t>沼气用具</t>
  </si>
  <si>
    <t>包括沼气炊事器具、沼气保暖器、沼气热水器、其他沼气用具</t>
  </si>
  <si>
    <t>2841</t>
  </si>
  <si>
    <t>1090422030000000000</t>
  </si>
  <si>
    <t>太阳能用具</t>
  </si>
  <si>
    <t>包括太阳能炊事器具、太阳能保暖器、太阳能热水器、其他太阳能用具</t>
  </si>
  <si>
    <t>2842</t>
  </si>
  <si>
    <t>1090422040000000000</t>
  </si>
  <si>
    <t>液体燃料家用器具</t>
  </si>
  <si>
    <t>包括液体燃料炊事器具、其他液体燃料家用器具</t>
  </si>
  <si>
    <t>2843</t>
  </si>
  <si>
    <t>1090422050000000000</t>
  </si>
  <si>
    <t>固体燃料家用器具</t>
  </si>
  <si>
    <t>2844</t>
  </si>
  <si>
    <t>1090422060000000000</t>
  </si>
  <si>
    <t>铜制家用烹饪或供暖器具</t>
  </si>
  <si>
    <t>钢铁制家用非电力器具，包括铜火锅、铜制炭火盆、铜制暖手炉、其他铜制家用烹饪或供暖器具</t>
  </si>
  <si>
    <t>2845</t>
  </si>
  <si>
    <t>1090422070000000000</t>
  </si>
  <si>
    <t>非电力家用器具零件</t>
  </si>
  <si>
    <t>包括家用燃气用具零件、沼气用具零件、太阳能用具零件、液体燃料家用器具零件、固体燃料家用器具零件、其他非电力家用器具零件</t>
  </si>
  <si>
    <t>2846</t>
  </si>
  <si>
    <t>电光源</t>
  </si>
  <si>
    <t>1090423010000000000</t>
  </si>
  <si>
    <t>白炽灯泡</t>
  </si>
  <si>
    <t>指将灯丝通电加热到白炽状态，利用热辐射发出可见光的电光源。包括科研医疗专用白炽灯泡、火车用白炽灯泡、航空器用白炽灯泡、船舶用白炽灯泡、机动车辆用白炽灯泡、普通照明用白炽灯泡、其他白炽灯泡。不包括卤钨灯（详见109042304）、封闭式聚光灯（详见109042404）</t>
  </si>
  <si>
    <t>2847</t>
  </si>
  <si>
    <t>1090423020000000000</t>
  </si>
  <si>
    <t>荧光灯</t>
  </si>
  <si>
    <t>指热阴极荧光灯，包括科研专用荧光灯、医疗专用荧光灯、火车用热阴极荧光灯、航空器用热阴极荧光灯、船舶用热阴极荧光灯、普通照明用荧光灯、其他荧光灯</t>
  </si>
  <si>
    <t>2848</t>
  </si>
  <si>
    <t>1090423030000000000</t>
  </si>
  <si>
    <t>冷阴极荧光灯</t>
  </si>
  <si>
    <t>包括背景光源用冷阴极荧光灯、照明用冷阴极荧光灯、其他冷阴极荧光灯</t>
  </si>
  <si>
    <t>2849</t>
  </si>
  <si>
    <t>1090423040000000000</t>
  </si>
  <si>
    <t>卤钨灯</t>
  </si>
  <si>
    <t>指填充气体内含有部分卤族元素或卤化物的充气白炽灯。包括科研、医疗专用卤钨灯、火车用卤钨灯、航空器用卤钨灯、船舶用卤钨灯、机动车辆用卤钨灯、其他卤钨灯</t>
  </si>
  <si>
    <t>2850</t>
  </si>
  <si>
    <t>1090423050000000000</t>
  </si>
  <si>
    <t>高强度气体放电灯（HID灯）</t>
  </si>
  <si>
    <t>包括汞蒸气灯（水银灯）、钠蒸气灯、金属卤化物灯、其他高强度气体放电灯</t>
  </si>
  <si>
    <t>2851</t>
  </si>
  <si>
    <t>1090423060000000000</t>
  </si>
  <si>
    <t>照相闪光灯源</t>
  </si>
  <si>
    <t>包括单端闪光灯泡、电池闪光灯、管形闪光灯、其他照相闪光灯源</t>
  </si>
  <si>
    <t>2852</t>
  </si>
  <si>
    <t>1090423990000000000</t>
  </si>
  <si>
    <t>其他电光源</t>
  </si>
  <si>
    <t>2853</t>
  </si>
  <si>
    <t>照明装置</t>
  </si>
  <si>
    <t>1090424010000000000</t>
  </si>
  <si>
    <t>室内照明灯具</t>
  </si>
  <si>
    <t>包括吊灯、吸顶灯、壁灯、台灯、落地灯、嵌入式灯具、轨道灯、支架灯具、射灯等</t>
  </si>
  <si>
    <t>2854</t>
  </si>
  <si>
    <t>1090424020000000000</t>
  </si>
  <si>
    <t>户外照明用灯具及装置</t>
  </si>
  <si>
    <t>包括街灯及照明装置、庭院灯、投光灯、道路灯、草坪灯、地埋灯、其他户外照明用灯具及装置</t>
  </si>
  <si>
    <t>2855</t>
  </si>
  <si>
    <t>1090424030000000000</t>
  </si>
  <si>
    <t>装饰用灯</t>
  </si>
  <si>
    <t>包括圣诞树用成套灯具、其他装饰用灯</t>
  </si>
  <si>
    <t>2856</t>
  </si>
  <si>
    <t>1090424040000000000</t>
  </si>
  <si>
    <t>特殊用途灯具及照明装置</t>
  </si>
  <si>
    <t>包括农业用灯具、医疗用灯具、火车用照明装置、飞机用照明装置、船舶用照明装置、应急灯、防爆灯、水下灯、影视舞台灯、其他特殊用途灯具及照明装置</t>
  </si>
  <si>
    <t>2857</t>
  </si>
  <si>
    <t>1090424050000000000</t>
  </si>
  <si>
    <t>发光标志、发光铭牌及类似品</t>
  </si>
  <si>
    <t>包括灯饰招牌、灯饰铭牌、霓虹灯具、广告灯具、安全标志灯、其他发光标志、其他发光铭牌及类似品</t>
  </si>
  <si>
    <t>2858</t>
  </si>
  <si>
    <t>1090424060000000000</t>
  </si>
  <si>
    <t>非电气灯具及照明装置</t>
  </si>
  <si>
    <t>包括便携式灯具、烛台、烛架、其他非电气灯具及照明装置</t>
  </si>
  <si>
    <t>2859</t>
  </si>
  <si>
    <t>1090424070000000000</t>
  </si>
  <si>
    <t>自供能源灯具</t>
  </si>
  <si>
    <t>指依靠自供电源进行工作的手提式电灯，包括手电筒、莫尔斯信号灯、矿工安全灯、头戴通用检查灯（头灯）、其他自供能源灯具</t>
  </si>
  <si>
    <t>2860</t>
  </si>
  <si>
    <t>1090424080000000000</t>
  </si>
  <si>
    <t>灯用电器附件</t>
  </si>
  <si>
    <t>包括灯用镇流器、灯用启辉器、灯用变压器、灯用触发器、灯用逆变器、其他灯用电器附件</t>
  </si>
  <si>
    <t>2861</t>
  </si>
  <si>
    <t>1090424090000000000</t>
  </si>
  <si>
    <t>电光源、灯具及照明装置零件</t>
  </si>
  <si>
    <t>包括电光源零件、室内照明灯具零件、户外照明用灯具及装置零件、自供能源灯具零件、其他灯具及照明装置零件</t>
  </si>
  <si>
    <t>2862</t>
  </si>
  <si>
    <t>车辆照明信号装置</t>
  </si>
  <si>
    <t>1090425010000000000</t>
  </si>
  <si>
    <t>机动车辆用电气照明装置</t>
  </si>
  <si>
    <t>包括车头灯、警车用探照灯、车用信号、指示灯、车用组合灯具、车辆内部照明灯具、其他机动车辆用电气照明装置</t>
  </si>
  <si>
    <t>2863</t>
  </si>
  <si>
    <t>1090425020000000000</t>
  </si>
  <si>
    <t>车辆用视觉信号装置</t>
  </si>
  <si>
    <t>包括停车设备、发光超车信号装置、电气视觉信号设备、其他车辆用视觉信号装置</t>
  </si>
  <si>
    <t>2864</t>
  </si>
  <si>
    <t>1090425030000000000</t>
  </si>
  <si>
    <t>自行车照明或视觉、音响信号装置</t>
  </si>
  <si>
    <t>包括自行车电气照明装置，自行车视觉信号装置，自行车喇叭，其他自行车照明、音响信号装置</t>
  </si>
  <si>
    <t>2865</t>
  </si>
  <si>
    <t>1090425040000000000</t>
  </si>
  <si>
    <t>车辆用电气音响信号装置</t>
  </si>
  <si>
    <t>包括汽车喇叭、车辆用蜂鸣器、其他车辆用电气音响信号装置</t>
  </si>
  <si>
    <t>2866</t>
  </si>
  <si>
    <t>1090425050000000000</t>
  </si>
  <si>
    <t>电气音响或视觉信号装置</t>
  </si>
  <si>
    <t>包括显示板及类似装置，电气音响、信号及类似装置，</t>
  </si>
  <si>
    <t>2867</t>
  </si>
  <si>
    <t>1090425060000000000</t>
  </si>
  <si>
    <t>照明及电气信号装置零件</t>
  </si>
  <si>
    <t>包括车辆专用照明及电气信号装置零件、电气音响或视觉信号装置零件</t>
  </si>
  <si>
    <t>2868</t>
  </si>
  <si>
    <t>1090425990000000000</t>
  </si>
  <si>
    <t>其他车辆专用照明、信号及其装置</t>
  </si>
  <si>
    <t>2869</t>
  </si>
  <si>
    <t>其他电气设备</t>
  </si>
  <si>
    <t>1090426010000000000</t>
  </si>
  <si>
    <t>粒子加速器</t>
  </si>
  <si>
    <t>包括回旋粒子加速器、其他粒子加速器</t>
  </si>
  <si>
    <t>2870</t>
  </si>
  <si>
    <t>1090426020000000000</t>
  </si>
  <si>
    <t>信号发生器（电气装置）</t>
  </si>
  <si>
    <t>包括通用信号发生器、其他信号发生器（电气装置）</t>
  </si>
  <si>
    <t>2871</t>
  </si>
  <si>
    <t>1090426030000000000</t>
  </si>
  <si>
    <t>电气空间加热器具装置</t>
  </si>
  <si>
    <t>包括电气储存式散热器，对流加热器，加热嵌板，汽车、火车、飞机用电热装置，道路加热设备，电气土壤加热器，发动机加热器，加热电阻器，其他电气空间加热器具装置</t>
  </si>
  <si>
    <t>2872</t>
  </si>
  <si>
    <t>1090426040000000000</t>
  </si>
  <si>
    <t>电篱网激发器</t>
  </si>
  <si>
    <t>2873</t>
  </si>
  <si>
    <t>1090426050000000000</t>
  </si>
  <si>
    <t>紫外线辐照设备</t>
  </si>
  <si>
    <t>指一般工业用的紫外线辐照设备</t>
  </si>
  <si>
    <t>2874</t>
  </si>
  <si>
    <t>1090426990000000000</t>
  </si>
  <si>
    <t>其他具有独立功能电气设备及装置</t>
  </si>
  <si>
    <t>除粒子加速器、信号发生器（电气装置）、电气空间加热器具装置、电篱网激发器、紫外线辐照设备外的其他具有独立功能电气设备及装置，包括信号发电机、探雷器、电动地雷搜索器、臭氧发生及扩散电气装置等</t>
  </si>
  <si>
    <t>2875</t>
  </si>
  <si>
    <t>通信设备、计算机及其他电子设备</t>
  </si>
  <si>
    <t>通信传输设备</t>
  </si>
  <si>
    <t>1090501010000000000</t>
  </si>
  <si>
    <t>光通信设备</t>
  </si>
  <si>
    <t>包括光端机、光缆中继设备、光纤放大器、波分复用器、光交叉联接设备、光分插复用设备（ADM）、多业务传送设备（MSTP）、电光转换器、无源光分路器、自动交换光网络设备（ASON）、光传送网络设备（OTN）、分组传送网络设备（PTN）、其他光通信设备</t>
  </si>
  <si>
    <t>2876</t>
  </si>
  <si>
    <t>1090501020000000000</t>
  </si>
  <si>
    <t>卫星通信设备</t>
  </si>
  <si>
    <t>包括卫星地面接收机、卫星接收天线、卫星导航定位接收机、卫星导航定位天线、卫星通信地面站终端机、甚小型天线地球站（VSAT）、卫星地面站零部件、其他卫星通信设备。不包括电视用卫星通信设备（详见109050802）</t>
  </si>
  <si>
    <t>2877</t>
  </si>
  <si>
    <t>1090501030000000000</t>
  </si>
  <si>
    <t>微波通信设备</t>
  </si>
  <si>
    <t>包括微波收发通信机，微波终端机，微波天线、馈线，其他微波通信设备</t>
  </si>
  <si>
    <t>2878</t>
  </si>
  <si>
    <t>1090501040000000000</t>
  </si>
  <si>
    <t>散射通信设备</t>
  </si>
  <si>
    <t>包括散射通信终端机、散射信道机、散射通信天线、其他散射通信设备</t>
  </si>
  <si>
    <t>2879</t>
  </si>
  <si>
    <t>1090501050000000000</t>
  </si>
  <si>
    <t>载波通信设备</t>
  </si>
  <si>
    <t>含海底电缆载波通信系统设备，包括载波终端机、载波增音机、电力线载波机、其他载波通信设备</t>
  </si>
  <si>
    <t>2880</t>
  </si>
  <si>
    <t>1090501060000000000</t>
  </si>
  <si>
    <t>通信导航定向设备</t>
  </si>
  <si>
    <t>包括飞机通信导航定向设备、航用通信导航定向设备、地面通信导航定向设备、其他通信导航定向设备</t>
  </si>
  <si>
    <t>2881</t>
  </si>
  <si>
    <t>1090501070000000000</t>
  </si>
  <si>
    <t>通信传输设备零件</t>
  </si>
  <si>
    <t>包括天线滤波器及分离器、天线支架（底架）、天线及其反射器零件、光端机零件、脉冲编码调制设备零件、其他通信传输设备零件</t>
  </si>
  <si>
    <t>2882</t>
  </si>
  <si>
    <t>通信交换设备</t>
  </si>
  <si>
    <t>1090502010000000000</t>
  </si>
  <si>
    <t>程控交换机</t>
  </si>
  <si>
    <t>包括数字程控交换机、固网软交换相关设备、七号信令转接设备。不包括移动交换机(详见109050401)</t>
  </si>
  <si>
    <t>2883</t>
  </si>
  <si>
    <t>1090502020000000000</t>
  </si>
  <si>
    <t>ATM交换机</t>
  </si>
  <si>
    <t>2884</t>
  </si>
  <si>
    <t>1090502030000000000</t>
  </si>
  <si>
    <t>光交换机</t>
  </si>
  <si>
    <t>2885</t>
  </si>
  <si>
    <t>1090502040000000000</t>
  </si>
  <si>
    <t>通信交换设备零件</t>
  </si>
  <si>
    <t>含通信交换设备专用箱、壳，包括数字式程控电话交换机零件、电报交换机零件、其他通信交换设备零件</t>
  </si>
  <si>
    <t>2886</t>
  </si>
  <si>
    <t>1090502990000000000</t>
  </si>
  <si>
    <t>其他通信交换设备</t>
  </si>
  <si>
    <t>包括分组交换机、电报交换机等</t>
  </si>
  <si>
    <t>2887</t>
  </si>
  <si>
    <t>通信终端设备</t>
  </si>
  <si>
    <t>1090503010000000000</t>
  </si>
  <si>
    <t>收发合一中小型电台</t>
  </si>
  <si>
    <t>指无线电报收发合一设备，包括短波电台、超短波电台、短波跳频电台、超短波跳频电台、其他收发合一中小型电台</t>
  </si>
  <si>
    <t>2888</t>
  </si>
  <si>
    <t>1090503020000000000</t>
  </si>
  <si>
    <t>电话单机</t>
  </si>
  <si>
    <t>有线电话、电报设备，包括PSTN普通电话机、网络电话机（IP电话机）、特种电话机</t>
  </si>
  <si>
    <t>2889</t>
  </si>
  <si>
    <t>1090503030000000000</t>
  </si>
  <si>
    <t>数据终端设备</t>
  </si>
  <si>
    <t>包括传真机、数传机、其他数据终端设备</t>
  </si>
  <si>
    <t>2890</t>
  </si>
  <si>
    <t>1090503040000000000</t>
  </si>
  <si>
    <t>通信终端设备用零件</t>
  </si>
  <si>
    <t>含通信终端设备专用箱、壳，包括传真机零件、其他通信终端设备用零件</t>
  </si>
  <si>
    <t>2891</t>
  </si>
  <si>
    <t>移动通信设备</t>
  </si>
  <si>
    <t>1090504010000000000</t>
  </si>
  <si>
    <t>数字蜂窝移动电话系统设备</t>
  </si>
  <si>
    <t>包括移动通信基站设备、移动通信基站天线、直放站、干线放大器、移动交换机（MSC）、移动软交换设备、移动通信核心网分组域设备、其他数字蜂窝移动电话系统设备</t>
  </si>
  <si>
    <t>2892</t>
  </si>
  <si>
    <t>1090504020000000000</t>
  </si>
  <si>
    <t>集群通信系统设备</t>
  </si>
  <si>
    <t>包括集群基站设备、集群基站天线、集群交换设备</t>
  </si>
  <si>
    <t>2893</t>
  </si>
  <si>
    <t>1090504030000000000</t>
  </si>
  <si>
    <t>无中心选址通信系统设备</t>
  </si>
  <si>
    <t>2894</t>
  </si>
  <si>
    <t>1090504040000000000</t>
  </si>
  <si>
    <t>移动通信设备零件</t>
  </si>
  <si>
    <t>2895</t>
  </si>
  <si>
    <t>1090505010000000000</t>
  </si>
  <si>
    <t>移动通信手持机（手机）</t>
  </si>
  <si>
    <t>车载终端、无线固定话机等终端按照技术标准对应到下列细目中，包括GSM手持机、CDMA手持机、3G手持机、SCDMA终端</t>
  </si>
  <si>
    <t>2896</t>
  </si>
  <si>
    <t>1090505020000000000</t>
  </si>
  <si>
    <t>移动通信终端设备零件</t>
  </si>
  <si>
    <t>包括移动通信手持机零件、对讲机零件、其他移动通信终端设备零件</t>
  </si>
  <si>
    <t>2897</t>
  </si>
  <si>
    <t>1090505990000000000</t>
  </si>
  <si>
    <t>其他移动通信终端设备</t>
  </si>
  <si>
    <t>除移动通信手持机（手机）、移动通信终端设备零件外的其他移动通信终端设备，包括集群通信终端、对讲机、小灵通、其他未列明移动通信终端设备</t>
  </si>
  <si>
    <t>2898</t>
  </si>
  <si>
    <t>通信接入设备</t>
  </si>
  <si>
    <t>1090506010000000000</t>
  </si>
  <si>
    <t>光纤接入设备</t>
  </si>
  <si>
    <t>指为满足高速宽带业务和双向宽带业务的需要，在服务器端与用户之间完全以光纤作为传输媒体，以光波传输技术为主要技术形势的接入设备。包括无源光网络（PON）、有源光网络（AON）</t>
  </si>
  <si>
    <t>2899</t>
  </si>
  <si>
    <t>1090506020000000000</t>
  </si>
  <si>
    <t>铜缆接入设备</t>
  </si>
  <si>
    <t>指以铜线为传输介质的宽带接入技术。包括非对称数字用户线（ADSL）、高速率数字用户线路调制解调器（HDSLMODEM）、甚高速率数字用户线（VDSL）</t>
  </si>
  <si>
    <t>2900</t>
  </si>
  <si>
    <t>1090506030000000000</t>
  </si>
  <si>
    <t>电力线宽带接入设备（BPL）</t>
  </si>
  <si>
    <t>电力宽带接入技术就是以电力线作为传输介质实现宽带接入的技术，包括电力网桥、电力线调制解调器（电力猫）</t>
  </si>
  <si>
    <t>2901</t>
  </si>
  <si>
    <t>1090506040000000000</t>
  </si>
  <si>
    <t>固定无线接入设备</t>
  </si>
  <si>
    <t>包括WiMAX设备、McWill设备、其他固定无线接入设备</t>
  </si>
  <si>
    <t>2902</t>
  </si>
  <si>
    <t>导航遥控设备</t>
  </si>
  <si>
    <t>1090507010000000000</t>
  </si>
  <si>
    <t>雷达设备</t>
  </si>
  <si>
    <t>包括导航用雷达设备、盲降及交通控制设备、雷达测高设备、气象雷达、空袭警报雷达装置、盲目投弹设备、雷达发射-应答器、其他雷达设备</t>
  </si>
  <si>
    <t>2903</t>
  </si>
  <si>
    <t>1090507020000000000</t>
  </si>
  <si>
    <t>无线电导航设备</t>
  </si>
  <si>
    <t>包括机动车辆用无线电导航设备、无线电罗盘、无线电信标、无线电浮标、接收机、其他无线电导航设备</t>
  </si>
  <si>
    <t>2904</t>
  </si>
  <si>
    <t>1090507030000000000</t>
  </si>
  <si>
    <t>无线电遥控设备</t>
  </si>
  <si>
    <t>包括船舶无线电遥控设备、无人驾驶飞机无线电遥控设备、遥控火箭、导弹无线电遥控设备、玩具、模型遥控用无线电装置、地雷引爆遥控用无线电装置、机器遥控用无线电装置、其他无线电遥控设备</t>
  </si>
  <si>
    <t>2905</t>
  </si>
  <si>
    <t>1090507040000000000</t>
  </si>
  <si>
    <t>雷达及无线电导航设备零件</t>
  </si>
  <si>
    <t>包括雷达天线及其反射器及零件、其他雷达及无线电导航设备零件</t>
  </si>
  <si>
    <t>2906</t>
  </si>
  <si>
    <t>广播电视设备</t>
  </si>
  <si>
    <t>1090508010000000000</t>
  </si>
  <si>
    <t>广播电视节目制作及播控设备</t>
  </si>
  <si>
    <t>包括音频节目制作和播控设备、视听节目制作及播控设备、电视转播车及现场新闻采集车</t>
  </si>
  <si>
    <t>2907</t>
  </si>
  <si>
    <t>1090508020000000000</t>
  </si>
  <si>
    <t>广播电视发射及传输设备</t>
  </si>
  <si>
    <t>包括广播发射设备、电视发射设备、卫星电视设备、广播电视微波传输设备、有线电视网络设备</t>
  </si>
  <si>
    <t>2908</t>
  </si>
  <si>
    <t>1090508030000000000</t>
  </si>
  <si>
    <t>应用广播电视设备</t>
  </si>
  <si>
    <t>包括通用应用电视监控系统设备、特殊环境应用电视设备、特殊成像及功能应用电视设备、其他应用广播电视设备</t>
  </si>
  <si>
    <t>2909</t>
  </si>
  <si>
    <t>1090508040000000000</t>
  </si>
  <si>
    <t>广播电视设备专用配件</t>
  </si>
  <si>
    <t>包括激励器、中频调制器、双工器、输出滤波器、天线开关、发射天线、其他广播电视设备专用配件</t>
  </si>
  <si>
    <t>2910</t>
  </si>
  <si>
    <t>电子计算机</t>
  </si>
  <si>
    <t>1090509010000000000</t>
  </si>
  <si>
    <t>电子计算机整机</t>
  </si>
  <si>
    <t>指数字式自动数据处理设备，含模拟式或混合式自动数据处理设备，包括计算机工作站、微型计算机设备、服务器、系统形式自动数据处理设备</t>
  </si>
  <si>
    <t>2911</t>
  </si>
  <si>
    <t>1090509020000000000</t>
  </si>
  <si>
    <t>计算机数字式处理部件</t>
  </si>
  <si>
    <t>包括高性能计算机数字式处理部件、微型计算机数字式处理部件、服务器数字式处理部件、笔记本计算机数字式处理部件、工业控制计算机处理部件、工业控制计算机输入输出部件、其他计算机数字式处理部件</t>
  </si>
  <si>
    <t>2912</t>
  </si>
  <si>
    <t>计算机网络设备</t>
  </si>
  <si>
    <t>1090510010000000000</t>
  </si>
  <si>
    <t>网络控制设备</t>
  </si>
  <si>
    <t>包括通信控制处理机、集中器、网络终端控制器、其他网络控制设备</t>
  </si>
  <si>
    <t>2913</t>
  </si>
  <si>
    <t>1090510020000000000</t>
  </si>
  <si>
    <t>网络接口和适配器</t>
  </si>
  <si>
    <t>包括网络收发器、网络转发器、网络分配器、通信网络时钟同步设备、其他网络接口和适配器</t>
  </si>
  <si>
    <t>2914</t>
  </si>
  <si>
    <t>1090510030000000000</t>
  </si>
  <si>
    <t>网络连接设备</t>
  </si>
  <si>
    <t>包括集线器、路由器、数字数据网络节点设备、数字交叉连接设备、交换机、无线局域网接入点（AP）、其他网络连接设备</t>
  </si>
  <si>
    <t>2915</t>
  </si>
  <si>
    <t>1090510040000000000</t>
  </si>
  <si>
    <t>网络优化设备</t>
  </si>
  <si>
    <t>包括负载均衡器、流量控制器、其他网络优化设备</t>
  </si>
  <si>
    <t>2916</t>
  </si>
  <si>
    <t>1090510050000000000</t>
  </si>
  <si>
    <t>网络检测设备</t>
  </si>
  <si>
    <t>包括协议分析器、协议测试设备、差错检测设备、其他网络检测设备</t>
  </si>
  <si>
    <t>2917</t>
  </si>
  <si>
    <t>1090510990000000000</t>
  </si>
  <si>
    <t>其他计算机网络设备</t>
  </si>
  <si>
    <t>2918</t>
  </si>
  <si>
    <t>计算机外部设备</t>
  </si>
  <si>
    <t>1090511010000000000</t>
  </si>
  <si>
    <t>终端显示设备</t>
  </si>
  <si>
    <t>包括字符汉字终端、图形图像终端、显示器</t>
  </si>
  <si>
    <t>2919</t>
  </si>
  <si>
    <t>1090511020000000000</t>
  </si>
  <si>
    <t>输入设备及装置</t>
  </si>
  <si>
    <t>包括绘图仪、人机交互式设备、扫描仪、IC卡读写机具、磁卡读写器、摄像头、图形板、触感屏、字符阅读机、射频卡读写机具、手写板、生物特征识别设备、其他输入设备及装置</t>
  </si>
  <si>
    <t>2920</t>
  </si>
  <si>
    <t>1090511030000000000</t>
  </si>
  <si>
    <t>输出设备及装置</t>
  </si>
  <si>
    <t>包括打印机、语音输出设备、图形图像输出设备、其他输出设备及装置</t>
  </si>
  <si>
    <t>2921</t>
  </si>
  <si>
    <t>1090511040000000000</t>
  </si>
  <si>
    <t>外存储设备及部件</t>
  </si>
  <si>
    <t>包括软盘存储器、硬盘存储器、光盘存储器、半导体存储器、网络存储设备、磁性存储设备、其他外存储设备及部件</t>
  </si>
  <si>
    <t>2922</t>
  </si>
  <si>
    <t>1090511050000000000</t>
  </si>
  <si>
    <t>阅读机、数据转录及处理机械</t>
  </si>
  <si>
    <t>包括磁性阅读机、光学阅读机、数据转录媒体机械、数据处理机械、其他阅读机</t>
  </si>
  <si>
    <t>2923</t>
  </si>
  <si>
    <t>计算机配套产品</t>
  </si>
  <si>
    <t>1090512010000000000</t>
  </si>
  <si>
    <t>微机板卡</t>
  </si>
  <si>
    <t>包括微机主机板、内存条、声卡、显卡、网卡、其他微机板卡</t>
  </si>
  <si>
    <t>2924</t>
  </si>
  <si>
    <t>1090512020000000000</t>
  </si>
  <si>
    <t>计算机电源</t>
  </si>
  <si>
    <t>指计算机专用电源，包括开关电源、UPS电源</t>
  </si>
  <si>
    <t>2925</t>
  </si>
  <si>
    <t>1090512990000000000</t>
  </si>
  <si>
    <t>其他电子计算机配套产品及耗材</t>
  </si>
  <si>
    <t>除外微机板卡、计算机电源的其他电子计算机配套产品及耗材，包括机箱、鼠标器、键盘、打印头、墨盒、磁卡、IC卡、色带、硒鼓、其他未列明电子计算机配套产品及耗材</t>
  </si>
  <si>
    <t>2926</t>
  </si>
  <si>
    <t>印制电路板</t>
  </si>
  <si>
    <t>1090521000000000000</t>
  </si>
  <si>
    <t>又称印刷电路板，是电子元器件电气连接的提供者。包括刚性印制电路板、挠性印制电路板、刚挠印制电路板、金属芯印制电路板、齐平印制电路板、碳膜印制电路板、其他印制电路板</t>
  </si>
  <si>
    <t>2927</t>
  </si>
  <si>
    <t>信息安全产品</t>
  </si>
  <si>
    <t>1090513010000000000</t>
  </si>
  <si>
    <t>访问控制类设备</t>
  </si>
  <si>
    <t>包括单点登录系统、接入服务器、权限管理基础设施、其他访问控制类设备和系统</t>
  </si>
  <si>
    <t>2928</t>
  </si>
  <si>
    <t>1090513020000000000</t>
  </si>
  <si>
    <t>边界防护类设备</t>
  </si>
  <si>
    <t>包括防火墙、防水墙、虚拟专用网设备（VPN）、抗拒绝服务（Dos）攻击系统、网络隔离设备、其他边界防护类设备和系统</t>
  </si>
  <si>
    <t>2929</t>
  </si>
  <si>
    <t>1090513030000000000</t>
  </si>
  <si>
    <t>数据保护类设备</t>
  </si>
  <si>
    <t>包括防病毒系统、恶意代码检测系统、数据备份与恢复系统、数据防拷贝设备、其他数据保护类设备和系统</t>
  </si>
  <si>
    <t>2930</t>
  </si>
  <si>
    <t>1090513040000000000</t>
  </si>
  <si>
    <t>安全检测类设备</t>
  </si>
  <si>
    <t>包括入侵检测系统、入侵防御系统、安全扫描器、安全审计系统、其他安全检测类设备和系统</t>
  </si>
  <si>
    <t>2931</t>
  </si>
  <si>
    <t>1090513050000000000</t>
  </si>
  <si>
    <t>安全智能卡类设备</t>
  </si>
  <si>
    <t>2932</t>
  </si>
  <si>
    <t>1090513060000000000</t>
  </si>
  <si>
    <t>密钥管理类设备</t>
  </si>
  <si>
    <t>2933</t>
  </si>
  <si>
    <t>1090513070000000000</t>
  </si>
  <si>
    <t>税控设备</t>
  </si>
  <si>
    <t>包括金税盘、税控盘，不包括税控加油机（详见10906260101）、税控收款机（详见10906260102）</t>
  </si>
  <si>
    <t>2934</t>
  </si>
  <si>
    <t>1090513990000000000</t>
  </si>
  <si>
    <t>其他信息系统安全设备</t>
  </si>
  <si>
    <t>除访问控制类设备、边界防护类设备、数据保护类设备、安全检测类设备、安全智能卡类设备、密钥管理类设备外的其他信息系统安全设备</t>
  </si>
  <si>
    <t>2935</t>
  </si>
  <si>
    <t>真空电子器件</t>
  </si>
  <si>
    <t>1090514010000000000</t>
  </si>
  <si>
    <t>电子管</t>
  </si>
  <si>
    <t>包括收讯放大管、微波管、发射管、稳定管、离子管</t>
  </si>
  <si>
    <t>2936</t>
  </si>
  <si>
    <t>1090514020000000000</t>
  </si>
  <si>
    <t>电子束管</t>
  </si>
  <si>
    <t>包括显像管、显示管、投影管、监视管、示波管、储存管、脉冲形成管、飞点扫描管、其他电子束管</t>
  </si>
  <si>
    <t>2937</t>
  </si>
  <si>
    <t>1090514030000000000</t>
  </si>
  <si>
    <t>射线计数管</t>
  </si>
  <si>
    <t>2938</t>
  </si>
  <si>
    <t>1090514040000000000</t>
  </si>
  <si>
    <t>真空开关管</t>
  </si>
  <si>
    <t>包括高、中压真空开关管（3～36kV），低压真空开关管（3kV以下），其他真空开关管</t>
  </si>
  <si>
    <t>2939</t>
  </si>
  <si>
    <t>1090514050000000000</t>
  </si>
  <si>
    <t>真空电子器件零件</t>
  </si>
  <si>
    <t>包括显像管配件、电子管零件、其他真空电子器件零件</t>
  </si>
  <si>
    <t>2940</t>
  </si>
  <si>
    <t>1090514990000000000</t>
  </si>
  <si>
    <t>其他真空电子器件</t>
  </si>
  <si>
    <t>包括真空荧光显示器件（VFD）、真空规管、频标管、其他未列明真空电子器件</t>
  </si>
  <si>
    <t>2941</t>
  </si>
  <si>
    <t>半导体</t>
  </si>
  <si>
    <t>1090515010000000000</t>
  </si>
  <si>
    <t>半导体二极管</t>
  </si>
  <si>
    <t>包括小信号二极管、稳压、整流、开关二极管、过电过压保护二极管、微波二极管、其他半导体二极管。不包括光电器件(详见1090516)</t>
  </si>
  <si>
    <t>2942</t>
  </si>
  <si>
    <t>1090515020000000000</t>
  </si>
  <si>
    <t>半导体三极管</t>
  </si>
  <si>
    <t>2943</t>
  </si>
  <si>
    <t>1090515030000000000</t>
  </si>
  <si>
    <t>小信号晶体管</t>
  </si>
  <si>
    <t>包括双极晶体管、场效应晶体管、微波晶体管</t>
  </si>
  <si>
    <t>2944</t>
  </si>
  <si>
    <t>1090515040000000000</t>
  </si>
  <si>
    <t>功率晶体管</t>
  </si>
  <si>
    <t>包括双极功率晶体管、双极功率晶体管模块、场效应功率晶体管、场效应功率晶体管模块、微波功率晶体管、微波功率晶体管模块、绝缘栅双极晶体管、绝缘栅双极晶体管模块、晶闸管（5A以下）</t>
  </si>
  <si>
    <t>2945</t>
  </si>
  <si>
    <t>1090515050000000000</t>
  </si>
  <si>
    <t>半导体敏感器件</t>
  </si>
  <si>
    <t>包括压力敏感器件、磁敏器件、气敏器件、湿敏器件、离子敏感器件、声敏感器件、射线敏感器件、生物敏感器件、静电敏感器件、光敏感器件、热敏感器件、其他半导体敏感器件</t>
  </si>
  <si>
    <t>2946</t>
  </si>
  <si>
    <t>1090515990000000000</t>
  </si>
  <si>
    <t>其他半导体分立器件</t>
  </si>
  <si>
    <t>2947</t>
  </si>
  <si>
    <t>光电子器件</t>
  </si>
  <si>
    <t>1090516010000000000</t>
  </si>
  <si>
    <t>电子束光电器件</t>
  </si>
  <si>
    <t>包括光电倍增管、X射线图像增强管、摄像管、光电图像器件、其他电子束光电器件</t>
  </si>
  <si>
    <t>2948</t>
  </si>
  <si>
    <t>1090516020000000000</t>
  </si>
  <si>
    <t>电真空光电子器件</t>
  </si>
  <si>
    <t>包括显示器件、发光器件、光敏器件、光电耦合器件、红外器件、X射线（光）管、其他电真空光电子器件</t>
  </si>
  <si>
    <t>2949</t>
  </si>
  <si>
    <t>1090516030000000000</t>
  </si>
  <si>
    <t>半导体光电器件</t>
  </si>
  <si>
    <t>包括光电探测器件、发光二极管（LED管）、其他半导体光电器件</t>
  </si>
  <si>
    <t>2950</t>
  </si>
  <si>
    <t>1090516040000000000</t>
  </si>
  <si>
    <t>激光器件</t>
  </si>
  <si>
    <t>包括半导体激光器件、固体激光器件、气体激光器件、其他激光器件</t>
  </si>
  <si>
    <t>2951</t>
  </si>
  <si>
    <t>集成电路</t>
  </si>
  <si>
    <t>1090517000000000000</t>
  </si>
  <si>
    <t>一种微型电子器件或部件，包括集成电路圆片、集成电路封装系列、集成电路成品</t>
  </si>
  <si>
    <t>2952</t>
  </si>
  <si>
    <t>微电子组件</t>
  </si>
  <si>
    <t>1090518000000000000</t>
  </si>
  <si>
    <t>包括集成电路模块、多芯片封装组件（MCM）、其他微电子组件</t>
  </si>
  <si>
    <t>2953</t>
  </si>
  <si>
    <t>电子元件</t>
  </si>
  <si>
    <t>1090519010000000000</t>
  </si>
  <si>
    <t>电容器</t>
  </si>
  <si>
    <t>由两块金属电极之间夹一层绝缘电介质构成。包括电解电容器、瓷介电容器、纸介质电容器、塑料介质电容器、云母电容器、玻璃釉电容器、真空电容器、可变电容器、电容网络、其他电容器</t>
  </si>
  <si>
    <t>2954</t>
  </si>
  <si>
    <t>1090519020000000000</t>
  </si>
  <si>
    <t>电阻器及电阻网络</t>
  </si>
  <si>
    <t>包括电阻器、电阻网络</t>
  </si>
  <si>
    <t>2955</t>
  </si>
  <si>
    <t>1090519030000000000</t>
  </si>
  <si>
    <t>电位器</t>
  </si>
  <si>
    <t>是可变电阻器的一种，通常由电阻体与转动或滑动系统组成。包括线绕电位器、碳膜电位器、实芯电位器、玻璃釉电位器、导电塑料电位器、片式电位器、其他电位器</t>
  </si>
  <si>
    <t>2956</t>
  </si>
  <si>
    <t>1090519040000000000</t>
  </si>
  <si>
    <t>频率控制元器件</t>
  </si>
  <si>
    <t>包括压电陶瓷及频率元件、压电石英晶体元器件</t>
  </si>
  <si>
    <t>2957</t>
  </si>
  <si>
    <t>1090519050000000000</t>
  </si>
  <si>
    <t>磁性材料元件</t>
  </si>
  <si>
    <t>指金属永磁铁及磁化后准备制永磁铁的物品，包括金属软磁元件、铁氧体软磁元件、铁氧体永磁元件、稀土永磁元件、永磁合金、微波铁氧体器件、电子变压器</t>
  </si>
  <si>
    <t>2958</t>
  </si>
  <si>
    <t>1090519060000000000</t>
  </si>
  <si>
    <t>电声器件</t>
  </si>
  <si>
    <t>指电和声相互转换的器件，利用电磁感应、静电感应或压电效应等来完成电声转换，传声器、扬声器、耳机及类似装置，包括通信传声器件、传声器（麦克风）、扬声器、音箱、耳机、蜂鸣器、蜂鸣片、其他电声器件</t>
  </si>
  <si>
    <t>2959</t>
  </si>
  <si>
    <t>1090519070000000000</t>
  </si>
  <si>
    <t>射频元器件</t>
  </si>
  <si>
    <t>2960</t>
  </si>
  <si>
    <t>1090519080000000000</t>
  </si>
  <si>
    <t>电子元件、组件零件</t>
  </si>
  <si>
    <t>包括电容器零件、电阻器零件、电位器零件、频率控制元器件零件、磁性元器件零件、电声器件零件，其他电子元件、组件零件</t>
  </si>
  <si>
    <t>2961</t>
  </si>
  <si>
    <t>1090519990000000000</t>
  </si>
  <si>
    <t>其他电子元件</t>
  </si>
  <si>
    <t>除电容器，电阻器及电阻网络，电位器，频率控制元器件，磁性材料元件，电声器件，射频元器件，电子元件、组件零件外的其他电子元件</t>
  </si>
  <si>
    <t>2962</t>
  </si>
  <si>
    <t>敏感元件及传感器</t>
  </si>
  <si>
    <t>1090520000000000000</t>
  </si>
  <si>
    <t>传感器</t>
  </si>
  <si>
    <t>敏感元件指能够灵敏地感受被测变量并做出响应的元件，是传感器中能直接感受被测量的部分；传感器指能感受规定的被测量件并按照一定的规律(数学函数法则)转换成可用信号的器件或装置，通常由敏感元件和转换元件组成。</t>
  </si>
  <si>
    <t>2963</t>
  </si>
  <si>
    <t>家用音视频设备</t>
  </si>
  <si>
    <t>1090522010000000000</t>
  </si>
  <si>
    <t>视频设备</t>
  </si>
  <si>
    <t>包括彩色电视机、黑白电视机、其他视频设备</t>
  </si>
  <si>
    <t>2964</t>
  </si>
  <si>
    <t>1090522020000000000</t>
  </si>
  <si>
    <t>家用影视摄、录、放设备</t>
  </si>
  <si>
    <t>包括家用摄录像机，数字激光音、视盘机，其他家用影视摄、录、放设备</t>
  </si>
  <si>
    <t>2965</t>
  </si>
  <si>
    <t>1090522030000000000</t>
  </si>
  <si>
    <t>家用音响设备</t>
  </si>
  <si>
    <t>包括收音机及组合音响，半导体收音机，便携式收录（放）音组合机，家用电唱机、放声机，家用录放音机，数字化多媒体组合机，其他家用音响设备</t>
  </si>
  <si>
    <t>2966</t>
  </si>
  <si>
    <t>1090522040000000000</t>
  </si>
  <si>
    <t>汽车用音响设备</t>
  </si>
  <si>
    <t>包括汽车用收录（放）音组合机、其他汽车用音响设备</t>
  </si>
  <si>
    <t>2967</t>
  </si>
  <si>
    <t>1090522050000000000</t>
  </si>
  <si>
    <t>家用音视频设备用配件</t>
  </si>
  <si>
    <t>包括走带机芯、激光视盘机机芯、磁头、光学头、家用天线、电视接收机顶盒、调谐器、偏转线圈、录音录像磁鼓、充电器、遥控器、光机引擎、接口、其他家用音视频设备用配件。不包括传声器、扬声器、耳机及类似装置(详见109051906)</t>
  </si>
  <si>
    <t>2968</t>
  </si>
  <si>
    <t>1090522990000000000</t>
  </si>
  <si>
    <t>其他家用音视频设备</t>
  </si>
  <si>
    <t>2969</t>
  </si>
  <si>
    <t>其他电子设备</t>
  </si>
  <si>
    <t>1090599000000000000</t>
  </si>
  <si>
    <t>其他未列明电子设备</t>
  </si>
  <si>
    <t>2970</t>
  </si>
  <si>
    <t>仪器仪表及文化、办公用机械</t>
  </si>
  <si>
    <t>工业自动控制仪表系统</t>
  </si>
  <si>
    <t>1090601010000000000</t>
  </si>
  <si>
    <t>工业自动调节仪表</t>
  </si>
  <si>
    <t>指在工业产品制造过程中，对流量、物位、压力、温度及其他变化量进行自动调节和控制的仪器仪表及装置，不论是否具有智能功能均包括在内。包括电动调节仪表、气动调节仪表、其他工业自动调节仪表。</t>
  </si>
  <si>
    <t>2971</t>
  </si>
  <si>
    <t>1090601020000000000</t>
  </si>
  <si>
    <t>工业自动控制系统</t>
  </si>
  <si>
    <t>包括自动控制非电量的仪器或设备，可分为分散型控制系统（DCS系统）、可编程控制系统（PLC系统）、其他工业自动控制系统</t>
  </si>
  <si>
    <t>2972</t>
  </si>
  <si>
    <t>1090601030000000000</t>
  </si>
  <si>
    <t>楼宇控制系统</t>
  </si>
  <si>
    <t>指用于建筑物温度、湿度、能源、消防、安全、保安等控制的系统</t>
  </si>
  <si>
    <t>2973</t>
  </si>
  <si>
    <t>1090601040000000000</t>
  </si>
  <si>
    <t>工业自动调节仪表与控制系统零件、附件</t>
  </si>
  <si>
    <t>2974</t>
  </si>
  <si>
    <t>工业仪表</t>
  </si>
  <si>
    <t>1090602010000000000</t>
  </si>
  <si>
    <t>温度测量仪表</t>
  </si>
  <si>
    <t>指采用接触或非接触方式进行温度、热像测量的仪表及装置；包括智能和非智能仪表</t>
  </si>
  <si>
    <t>2975</t>
  </si>
  <si>
    <t>1090602020000000000</t>
  </si>
  <si>
    <t>压力测量仪表</t>
  </si>
  <si>
    <t>指采用各种原理测量压力、差压的仪表与装置；包括智能和非智能检测液体或气体压力的仪表及装置</t>
  </si>
  <si>
    <t>2976</t>
  </si>
  <si>
    <t>1090602030000000000</t>
  </si>
  <si>
    <t>流量测量仪表</t>
  </si>
  <si>
    <t>指采用各种原理测量管道或明渠中气体、液体、多相流体的流量的仪表与装置；包括智能和非智能液体或气体流量、液位、压力检测仪器</t>
  </si>
  <si>
    <t>2977</t>
  </si>
  <si>
    <t>1090602040000000000</t>
  </si>
  <si>
    <t>物位、液位测量仪表</t>
  </si>
  <si>
    <t>指采用各种原理测量液体、固体的物位或界面位置的仪表和装置，包括浮子式物位仪表、电容物位仪表、压力式物位仪表、雷达物位仪表、核辐射物位仪表、超声物位仪表、微波物位仪表、直视式液位计</t>
  </si>
  <si>
    <t>2978</t>
  </si>
  <si>
    <t>1090602050000000000</t>
  </si>
  <si>
    <t>显示仪表、记录仪</t>
  </si>
  <si>
    <t>包括指示仪、记录仪、报警装置、其他显示仪表、其他记录仪</t>
  </si>
  <si>
    <t>2979</t>
  </si>
  <si>
    <t>1090602060000000000</t>
  </si>
  <si>
    <t>执行器</t>
  </si>
  <si>
    <t>指接受控制系统信号，对被控介质进行调节的仪表，包括各种类型的调节阀，各种原理的执行机构及其各种附件。包括电动执行机构、气动执行机构、电液执行机构、阀门定位器、调节阀、电磁阀、其他执行器；</t>
  </si>
  <si>
    <t>2980</t>
  </si>
  <si>
    <t>1090602990000000000</t>
  </si>
  <si>
    <t>其他工业仪表</t>
  </si>
  <si>
    <t>2981</t>
  </si>
  <si>
    <t>电工仪器仪表</t>
  </si>
  <si>
    <t>1090603010000000000</t>
  </si>
  <si>
    <t>电能表</t>
  </si>
  <si>
    <t>用来测量电能的仪表，又称电度表，火表，千瓦小时表。包括单相感应式电能表、三相感应式电能表、单相电子式电能表、三相电子式电能表、多用户电能表、其他电能表。</t>
  </si>
  <si>
    <t>2982</t>
  </si>
  <si>
    <t>1090603020000000000</t>
  </si>
  <si>
    <t>自动抄表系统（不含表）</t>
  </si>
  <si>
    <t>自动抄表系统主要由电能表、采集器、集中器、数据传输通道、主站系统构成，包括低压载波自动抄表系统、无线自动抄表系统、专用线自动抄表系统、其他自动抄表系统。</t>
  </si>
  <si>
    <t>2983</t>
  </si>
  <si>
    <t>1090603030000000000</t>
  </si>
  <si>
    <t>电力负荷控制系统</t>
  </si>
  <si>
    <t>2984</t>
  </si>
  <si>
    <t>1090603040000000000</t>
  </si>
  <si>
    <t>电磁参数测量仪器仪表</t>
  </si>
  <si>
    <t>包括安装式仪表、便携式模拟仪表、数字仪表、精密仪器、测磁仪器、其他电磁参数测量仪器仪表。</t>
  </si>
  <si>
    <t>2985</t>
  </si>
  <si>
    <t>1090603050000000000</t>
  </si>
  <si>
    <t>电磁参量分析与记录装置</t>
  </si>
  <si>
    <t>包括示波器、电工用频谱分析仪、电工用逻辑分析仪、记录仪器、电磁参量分析与记录装置附件</t>
  </si>
  <si>
    <t>2986</t>
  </si>
  <si>
    <t>1090603060000000000</t>
  </si>
  <si>
    <t>配电系统电气安全检测与分析装置</t>
  </si>
  <si>
    <t>包括电能质量分析仪、电力参数综合测量装置、配电系统电气安全检测装置、其他配电系统电气安全检测与分析装置</t>
  </si>
  <si>
    <t>2987</t>
  </si>
  <si>
    <t>1090603070000000000</t>
  </si>
  <si>
    <t>电源装置</t>
  </si>
  <si>
    <t>包括测量电源、普通电源装置，不包括电源变压稳压稳流装置（详见1090404）、控制开关（详见1090407）。</t>
  </si>
  <si>
    <t>2988</t>
  </si>
  <si>
    <t>1090603080000000000</t>
  </si>
  <si>
    <t>标准与校验设备</t>
  </si>
  <si>
    <t>包括标准仪表、交直流仪器、校验装置</t>
  </si>
  <si>
    <t>2989</t>
  </si>
  <si>
    <t>1090603090000000000</t>
  </si>
  <si>
    <t>扩大量限装置</t>
  </si>
  <si>
    <t>2990</t>
  </si>
  <si>
    <t>1090603100000000000</t>
  </si>
  <si>
    <t>电力自动化仪表及系统</t>
  </si>
  <si>
    <t>包括电量变送器、变送仪表及屏、输变电自动化系统、配用电自动化系统、其他电力自动化仪表及系统</t>
  </si>
  <si>
    <t>2991</t>
  </si>
  <si>
    <t>1090603110000000000</t>
  </si>
  <si>
    <t>自动测试系统与虚拟仪器</t>
  </si>
  <si>
    <t>2992</t>
  </si>
  <si>
    <t>1090603120000000000</t>
  </si>
  <si>
    <t>非电量电测仪表及装置</t>
  </si>
  <si>
    <t>2993</t>
  </si>
  <si>
    <t>1090603130000000000</t>
  </si>
  <si>
    <t>电工仪器仪表零部件</t>
  </si>
  <si>
    <t>包括计量芯片、计量模块、计度器、仪表外壳、仪用互感器（内置）、仪用电源（内置）、其他电工仪器仪表零部件</t>
  </si>
  <si>
    <t>2994</t>
  </si>
  <si>
    <t>1090603990000000000</t>
  </si>
  <si>
    <t>其他电工仪器仪表</t>
  </si>
  <si>
    <t>2995</t>
  </si>
  <si>
    <t>绘图测量仪器</t>
  </si>
  <si>
    <t>1090604010000000000</t>
  </si>
  <si>
    <t>绘图台及绘图机</t>
  </si>
  <si>
    <t>包括绘图台及绘图机、绘图台（桌）、绘图板、导轨式绘图机、轻便绘图机、其他绘图台及绘图机</t>
  </si>
  <si>
    <t>2996</t>
  </si>
  <si>
    <t>1090604020000000000</t>
  </si>
  <si>
    <t>绘图工具</t>
  </si>
  <si>
    <t>包括缩放仪、缩放绘图仪、航线标绘器具、绘图圆规、分规、比例规、绘图用尺、板、线及类似器具、分度规、其他绘图工具</t>
  </si>
  <si>
    <t>2997</t>
  </si>
  <si>
    <t>1090604030000000000</t>
  </si>
  <si>
    <t>划线用具</t>
  </si>
  <si>
    <t>包括划线器、中心冲、其他划线用具</t>
  </si>
  <si>
    <t>2998</t>
  </si>
  <si>
    <t>1090604040000000000</t>
  </si>
  <si>
    <t>数学计算器具</t>
  </si>
  <si>
    <t>包括计算尺、盘式计算器、圆柱计算器、算盘、其他数学计算器具，不包括电子计算器（详见1090626）。</t>
  </si>
  <si>
    <t>2999</t>
  </si>
  <si>
    <t>1090604050000000000</t>
  </si>
  <si>
    <t>量具</t>
  </si>
  <si>
    <t>包括卡尺、量块及量规、测微螺杆类量具、量表、角度和平直度量具、电子数显量具、辅助测量器具、其他量具</t>
  </si>
  <si>
    <t>3000</t>
  </si>
  <si>
    <t>1090604060000000000</t>
  </si>
  <si>
    <t>手动测量长度器具</t>
  </si>
  <si>
    <t>包括比较仪（刻度盘式）、刻度尺、量图器（计图器）、其他手动测量长度器具</t>
  </si>
  <si>
    <t>3001</t>
  </si>
  <si>
    <t>1090604070000000000</t>
  </si>
  <si>
    <t>量仪</t>
  </si>
  <si>
    <t>包括通用长度量仪、通用角度量仪、形状和位置误差量仪、表面质量量仪、三坐标测量仪、齿轮量仪、螺纹量仪、气动、电动、主动量仪检验机、其他量仪</t>
  </si>
  <si>
    <t>3002</t>
  </si>
  <si>
    <t>1090604080000000000</t>
  </si>
  <si>
    <t>机械量仪表</t>
  </si>
  <si>
    <t>包括尺度计、测力仪表、转距测量仪</t>
  </si>
  <si>
    <t>3003</t>
  </si>
  <si>
    <t>1090604090000000000</t>
  </si>
  <si>
    <t>数显装置</t>
  </si>
  <si>
    <t>指位移传感器、数显表组成的位移测量系统，包括直线位移传感器、角位移传感器、其他数显装置</t>
  </si>
  <si>
    <t>3004</t>
  </si>
  <si>
    <t>1090604100000000000</t>
  </si>
  <si>
    <t>测量仪器</t>
  </si>
  <si>
    <t>包括面积仪、千分表式比较仪、柱式测量仪表、测斜仪、球径仪、其他测量仪器。不包括大地及水道测量、摄影测量用仪器（详见1090610）。</t>
  </si>
  <si>
    <t>3005</t>
  </si>
  <si>
    <t>1090604990000000000</t>
  </si>
  <si>
    <t>其他绘图、计算仪器及零件</t>
  </si>
  <si>
    <t>3006</t>
  </si>
  <si>
    <t>分析仪器</t>
  </si>
  <si>
    <t>1090605010000000000</t>
  </si>
  <si>
    <t>电化学式分析仪器</t>
  </si>
  <si>
    <t>包括极谱分析仪、电位式分析仪器、电解式分析仪器、电导式分析仪器、电量式分析仪器、滴定仪、湿化学分析仪、溶解氧测定仪、其他电化学式分析仪器</t>
  </si>
  <si>
    <t>3007</t>
  </si>
  <si>
    <t>1090605020000000000</t>
  </si>
  <si>
    <t>光学分析仪器</t>
  </si>
  <si>
    <t>包括分光仪、分光光度计、摄谱仪、光电直读光谱仪、光度计、照度计、折光仪、光电比色分析仪器、光度式分析仪器、红外线分析仪器、激光气体分析仪器、其他光学分析仪器</t>
  </si>
  <si>
    <t>3008</t>
  </si>
  <si>
    <t>1090605030000000000</t>
  </si>
  <si>
    <t>热学分析仪器</t>
  </si>
  <si>
    <t>包括热重分析仪、差热分析仪、差热天平、热量计、量热仪、热物快速测定仪、差示扫描量热仪、平板导热仪、热膨胀仪、热机械分析仪、冰点测定器、沸点测定器、检镜切片机、其他热学分析仪器</t>
  </si>
  <si>
    <t>3009</t>
  </si>
  <si>
    <t>1090605040000000000</t>
  </si>
  <si>
    <t>质谱仪器</t>
  </si>
  <si>
    <t>包括有机质谱仪、同位素质谱仪、无机质谱仪、气体分析质谱计、表面分析质谱计、质谱联用仪、集成电路生产用氦质谱检漏台、其他质谱仪器</t>
  </si>
  <si>
    <t>3010</t>
  </si>
  <si>
    <t>1090605050000000000</t>
  </si>
  <si>
    <t>波谱仪器</t>
  </si>
  <si>
    <t>包括核磁共振波谱仪、顺磁共振波谱仪、核电四极矩共振波谱仪、光磁共振波谱仪、其他波谱仪器</t>
  </si>
  <si>
    <t>3011</t>
  </si>
  <si>
    <t>1090605060000000000</t>
  </si>
  <si>
    <t>色谱仪器</t>
  </si>
  <si>
    <t>包括气相色谱仪、液相色谱仪、色谱联用仪、色谱柱、自动进样器、其他色谱仪器</t>
  </si>
  <si>
    <t>3012</t>
  </si>
  <si>
    <t>1090605070000000000</t>
  </si>
  <si>
    <t>电泳仪</t>
  </si>
  <si>
    <t>利用电泳现象对某些化学或生物化学组分进行分离分析的仪器，一般由分离装置、电源和检测装置构成，包括自由电泳仪、支持物电泳仪、其他电泳仪，不含医疗用电泳仪（详见109024312）。</t>
  </si>
  <si>
    <t>3013</t>
  </si>
  <si>
    <t>1090605080000000000</t>
  </si>
  <si>
    <t>能谱仪及射线分析仪器</t>
  </si>
  <si>
    <t>包括电子能谱仪、离子散射谱仪、二次离子谱仪、X射线衍射仪、发射式X射线谱仪、吸收式X射线谱仪、荧光折射仪、其他能谱仪及射线分析仪器</t>
  </si>
  <si>
    <t>3014</t>
  </si>
  <si>
    <t>1090605090000000000</t>
  </si>
  <si>
    <t>物性分析仪器</t>
  </si>
  <si>
    <t>指测量或检验粘性、多孔性、膨胀性、比重、湿度、表面张力及类似性能的仪器及装置。包括粘度计、偏振光镜、膨胀计、孔率计、渗透仪、浊度计、密度计、表面张力仪、rH（氧化还原值）计、比重计、湿度计、其他物性分析仪器。</t>
  </si>
  <si>
    <t>3015</t>
  </si>
  <si>
    <t>1090605100000000000</t>
  </si>
  <si>
    <t>气体分析测定装置</t>
  </si>
  <si>
    <t>包括氮气计、微量气体分析器、氧浓度测定仪、弥散功能测试仪、压力型容积描绘仪、其他气体分析测定装置</t>
  </si>
  <si>
    <t>3016</t>
  </si>
  <si>
    <t>1090605110000000000</t>
  </si>
  <si>
    <t>分析仪器及装置零件、附件</t>
  </si>
  <si>
    <t>包括理化分析、测量或检验粘性仪器的零附件</t>
  </si>
  <si>
    <t>3017</t>
  </si>
  <si>
    <t>1090605990000000000</t>
  </si>
  <si>
    <t>其他分析仪器及装置</t>
  </si>
  <si>
    <t>3018</t>
  </si>
  <si>
    <t>试验检测机械</t>
  </si>
  <si>
    <t>1090606010000000000</t>
  </si>
  <si>
    <t>试验机</t>
  </si>
  <si>
    <t>指机械性能试验机械及器具；包括对各种材料（如金属、木材、混凝土、橡胶、塑料等）的硬度、弹性、抗张强度、可压缩性或其他机械性能的试验机械及器具。可分为金属材料试验机、非金属材料试验机、平衡试验机、探伤仪器、其他试验机。</t>
  </si>
  <si>
    <t>3019</t>
  </si>
  <si>
    <t>1090606020000000000</t>
  </si>
  <si>
    <t>真空计</t>
  </si>
  <si>
    <t>测量真空度或气压的仪器</t>
  </si>
  <si>
    <t>3020</t>
  </si>
  <si>
    <t>1090606030000000000</t>
  </si>
  <si>
    <t>动力测试仪器</t>
  </si>
  <si>
    <t>包括电信号传递器、测功仪、测功器、压力测量仪器、油耗测量仪器、燃烧分析仪器、漏气量测量仪器、多参数测试装置、控制仪、动力测试专用校准仪器、其他动力测试仪器</t>
  </si>
  <si>
    <t>3021</t>
  </si>
  <si>
    <t>1090606040000000000</t>
  </si>
  <si>
    <t>天平仪器</t>
  </si>
  <si>
    <t>包括机械天平、电子天平、其他天平仪器，不包括差热天平（详见109060503）。</t>
  </si>
  <si>
    <t>3022</t>
  </si>
  <si>
    <t>1090606050000000000</t>
  </si>
  <si>
    <t>环境试验设备</t>
  </si>
  <si>
    <t>指模仿环境温度、湿度、振动、冲击、盐雾、沙尘等实验的设备。包括力学环境试验设备、气候环境试验设备、可靠性试验设备、其他环境试验设备。</t>
  </si>
  <si>
    <t>3023</t>
  </si>
  <si>
    <t>1090606060000000000</t>
  </si>
  <si>
    <t>产品、材料检验专用仪器</t>
  </si>
  <si>
    <t>包括手表及零件检验专用仪器、材料厚度测量或检查仪器、光学加工用中心仪、其他产品、材料检验专用仪器</t>
  </si>
  <si>
    <t>3024</t>
  </si>
  <si>
    <t>1090606070000000000</t>
  </si>
  <si>
    <t>检测器具及设备</t>
  </si>
  <si>
    <t>包括车辆发动机测试设备、制帽用头形量器、正弦规、铅垂线、校验标准器、多维测量设备、测微式标准测量机、振动、膨胀、冲击测定设备、测定粘土等收缩率仪器、应力及应变特殊电测量仪器、负荷传感器、电子记时计、电子计时仪、轮廓投影仪、其他检测器具及设备</t>
  </si>
  <si>
    <t>3025</t>
  </si>
  <si>
    <t>1090606080000000000</t>
  </si>
  <si>
    <t>试验机械，相关检测仪器、器具零件</t>
  </si>
  <si>
    <t>3026</t>
  </si>
  <si>
    <t>环境监测仪器</t>
  </si>
  <si>
    <t>1090607010000000000</t>
  </si>
  <si>
    <t>水污染监测仪器</t>
  </si>
  <si>
    <t>包括采水器、污水流量和液位计、沉淀物采样器、水质测试仪器、水质污染监测系统、水质污染遥测系统、其他水污染监测仪器</t>
  </si>
  <si>
    <t>3027</t>
  </si>
  <si>
    <t>1090607020000000000</t>
  </si>
  <si>
    <t>气体或烟雾分析、检测仪器</t>
  </si>
  <si>
    <t>包括气体或烟雾分析仪、电子烟度检测器、沼气检定器、二氧化碳浓度检定器、尘埃仪、污染源采样器、空气环境质量测定仪、污染源污染物测定仪、其他气体或烟雾分析、检测仪器</t>
  </si>
  <si>
    <t>3028</t>
  </si>
  <si>
    <t>1090607030000000000</t>
  </si>
  <si>
    <t>噪声监测仪器，相关环境监测仪器</t>
  </si>
  <si>
    <t>包括噪声监测仪器、振动监测仪器等、放射性监测仪器、电磁波监测仪器、其他相关环境监测仪器</t>
  </si>
  <si>
    <t>3029</t>
  </si>
  <si>
    <t>汽车仪表</t>
  </si>
  <si>
    <t>1090608010000000000</t>
  </si>
  <si>
    <t>汽车仪器仪表</t>
  </si>
  <si>
    <t>包括车辆用速度表、里程计、车费计价计、汽车油表、其他汽车仪器仪表</t>
  </si>
  <si>
    <t>3030</t>
  </si>
  <si>
    <t>1090608020000000000</t>
  </si>
  <si>
    <t>计数装置</t>
  </si>
  <si>
    <t>包括转数计、产量计数器、步数计（计步器）、入场计数器、电子脉冲计数器、机器工作时间计数器、台球计分器、手揿计数器、其他计数装置</t>
  </si>
  <si>
    <t>3031</t>
  </si>
  <si>
    <t>1090608030000000000</t>
  </si>
  <si>
    <t>速度计及转速表</t>
  </si>
  <si>
    <t>指显示单位时间内的转数、速度、产量等速度计及转速表，包括速度测量仪表、精密计时系统、振荡式转速系统、离心式系统、电气式系统、其他速度计及转速表</t>
  </si>
  <si>
    <t>3032</t>
  </si>
  <si>
    <t>1090608040000000000</t>
  </si>
  <si>
    <t>汽车速测仪</t>
  </si>
  <si>
    <t>包括汽车电子速测仪、双像速测仪、自动归算速测仪、其他汽车速测仪</t>
  </si>
  <si>
    <t>3033</t>
  </si>
  <si>
    <t>1090608050000000000</t>
  </si>
  <si>
    <t>频闪观测仪</t>
  </si>
  <si>
    <t>3034</t>
  </si>
  <si>
    <t>1090608060000000000</t>
  </si>
  <si>
    <t>计数装置、速度计及转速表零件</t>
  </si>
  <si>
    <t>3035</t>
  </si>
  <si>
    <t>导航仪器</t>
  </si>
  <si>
    <t>1090609010000000000</t>
  </si>
  <si>
    <t>定向罗盘及定位系统</t>
  </si>
  <si>
    <t>包括定向罗盘、卫星定位系统（GPS）、激光导向仪</t>
  </si>
  <si>
    <t>3036</t>
  </si>
  <si>
    <t>1090609020000000000</t>
  </si>
  <si>
    <t>航空或航天导航仪器及装置</t>
  </si>
  <si>
    <t>包括高度表、空速指示器、升降速度表、仿真地平仪及陀螺地平仪、转弯倾斜仪、马赫计、加速度计、自动驾驶仪、其他航空或航天导航仪器及装置，不包括定向罗盘及定位系统（详见109060901）。</t>
  </si>
  <si>
    <t>3037</t>
  </si>
  <si>
    <t>1090609030000000000</t>
  </si>
  <si>
    <t>船舶导航系统</t>
  </si>
  <si>
    <t>包括船舶定位仪器、船用天文导航设备、超声波探测或搜索设备、其他船舶导航系统</t>
  </si>
  <si>
    <t>3038</t>
  </si>
  <si>
    <t>1090609040000000000</t>
  </si>
  <si>
    <t>导航仪器及装置零件、附件</t>
  </si>
  <si>
    <t>3039</t>
  </si>
  <si>
    <t>大地测量仪器</t>
  </si>
  <si>
    <t>1090610010000000000</t>
  </si>
  <si>
    <t>测距仪</t>
  </si>
  <si>
    <t>用于直接测量被测目标和测距仪的空间距离的仪器，包括光学测距仪、光电测距仪、微波测距仪、手持测距仪、其他测距仪</t>
  </si>
  <si>
    <t>3040</t>
  </si>
  <si>
    <t>1090610020000000000</t>
  </si>
  <si>
    <t>经纬仪</t>
  </si>
  <si>
    <t>用于测量空间水平夹角和垂直夹角的仪器，包括光学经纬仪、电子经纬仪、激光经纬仪、陀螺经纬仪、其他经纬仪</t>
  </si>
  <si>
    <t>3041</t>
  </si>
  <si>
    <t>1090610030000000000</t>
  </si>
  <si>
    <t>电子速测仪</t>
  </si>
  <si>
    <t>同时具有测量水平夹角、垂直夹角和距离功能的仪器，包括组合式电子速测仪、全站型电子速测仪、陀螺电子速测仪、其他电子速测仪</t>
  </si>
  <si>
    <t>3042</t>
  </si>
  <si>
    <t>1090610040000000000</t>
  </si>
  <si>
    <t>水准仪</t>
  </si>
  <si>
    <t>用于测量空间两点高程差的，具有和视准轴垂直的竖轴的仪器，包括水准器水准仪、自动安平水准仪、数字水准仪、激光水准仪、其他水准仪</t>
  </si>
  <si>
    <t>3043</t>
  </si>
  <si>
    <t>1090610050000000000</t>
  </si>
  <si>
    <t>平板仪</t>
  </si>
  <si>
    <t>在低精度地形测量中能同时测量和绘图的简易仪器</t>
  </si>
  <si>
    <t>3044</t>
  </si>
  <si>
    <t>1090610060000000000</t>
  </si>
  <si>
    <t>垂准仪</t>
  </si>
  <si>
    <t>用于测量、监测垂直偏差或提供垂直基准线的仪器，包括光学垂准仪、自动安平垂准仪、激光垂准仪、其他垂准仪</t>
  </si>
  <si>
    <t>3045</t>
  </si>
  <si>
    <t>1090610070000000000</t>
  </si>
  <si>
    <t>建筑施工激光仪器</t>
  </si>
  <si>
    <t>用于建筑施工中的利用可见激光作为指示和基准的仪器，包括激光扫平仪、激光投线仪、激光指向仪、其他建筑施工激光仪器</t>
  </si>
  <si>
    <t>3046</t>
  </si>
  <si>
    <t>1090610080000000000</t>
  </si>
  <si>
    <t>空间扫描测量仪</t>
  </si>
  <si>
    <t>利用自动激光扫描测量获得被测目标表面空间点坐标的仪器，包括激光跟踪测量仪、三维激光扫描测量仪、断面扫描测量仪、其他空间扫描测量仪</t>
  </si>
  <si>
    <t>3047</t>
  </si>
  <si>
    <t>1090610090000000000</t>
  </si>
  <si>
    <t>摄影测量系统</t>
  </si>
  <si>
    <t>利用照相摄影采集地表影像并通过图像数据处理进行测量和测绘的仪器系统，包括近景摄影测量系统、航空摄影测量系统、其他摄影测量系统</t>
  </si>
  <si>
    <t>3048</t>
  </si>
  <si>
    <t>1090610100000000000</t>
  </si>
  <si>
    <t>测量型GNSS接收机</t>
  </si>
  <si>
    <t>用于测量的GNSS（全球导航卫星系统）信号接收机，包括测量型静态GNSS接收机、测量型实时差分GNSS接收机、其他测量型GNSS接收机</t>
  </si>
  <si>
    <t>3049</t>
  </si>
  <si>
    <t>1090610110000000000</t>
  </si>
  <si>
    <t>大地测量仪器零件、附件</t>
  </si>
  <si>
    <t>3050</t>
  </si>
  <si>
    <t>1090610990000000000</t>
  </si>
  <si>
    <t>其他大地测量仪器</t>
  </si>
  <si>
    <t>3051</t>
  </si>
  <si>
    <t>气象水文仪器</t>
  </si>
  <si>
    <t>1090611010000000000</t>
  </si>
  <si>
    <t>气象观测仪器</t>
  </si>
  <si>
    <t>包括气象专用测温仪器及温度传感器、气象专用测湿仪器及湿度传感器、温湿组合装置及温、湿传感器、测气压仪器、测风仪器、降水蒸发仪器、辐射、日照记录仪、测云仪、能见度仪、高空探测设备、气象仪器检定设备、其他气象观测仪器</t>
  </si>
  <si>
    <t>3052</t>
  </si>
  <si>
    <t>1090611020000000000</t>
  </si>
  <si>
    <t>水文仪器</t>
  </si>
  <si>
    <t>包括海洋水文及其他水文仪器，可分为自动记录水位计、三用电导仪、旋杯式流速仪、旋桨式流速仪、涌浪或潮汐观测仪器、水动态测量仪、温度测量仪器、深度测量仪器、海冰测量仪器、多参数综合测量仪器、其他水文仪器</t>
  </si>
  <si>
    <t>3053</t>
  </si>
  <si>
    <t>1090611030000000000</t>
  </si>
  <si>
    <t>气象、水文仪器及装置零件、附件</t>
  </si>
  <si>
    <t>3054</t>
  </si>
  <si>
    <t>1090611990000000000</t>
  </si>
  <si>
    <t>其他气象、水文仪器及装置</t>
  </si>
  <si>
    <t>3055</t>
  </si>
  <si>
    <t>农用仪器仪表</t>
  </si>
  <si>
    <t>1090612010000000000</t>
  </si>
  <si>
    <t>农、林专用仪器</t>
  </si>
  <si>
    <t>包括土壤测试仪器、种子测试处理仪器、数粒仪、植物生长仪、叶绿素测定仪、活体叶绿素仪、光电叶面积仪、粮油检样器、木材水分测试仪、其他农、林专用仪器</t>
  </si>
  <si>
    <t>3056</t>
  </si>
  <si>
    <t>1090612020000000000</t>
  </si>
  <si>
    <t>牧业专用仪器</t>
  </si>
  <si>
    <t>包括牧草生长仪、乳脂测定仪、测膘仪、牛胃金属异物探测仪、其他牧业专用仪器</t>
  </si>
  <si>
    <t>3057</t>
  </si>
  <si>
    <t>1090612030000000000</t>
  </si>
  <si>
    <t>渔业专用仪器</t>
  </si>
  <si>
    <t>包括探鱼仪、虾苗放流计数仪、其他渔业专用仪器</t>
  </si>
  <si>
    <t>3058</t>
  </si>
  <si>
    <t>地质地震专用仪器</t>
  </si>
  <si>
    <t>1090613010000000000</t>
  </si>
  <si>
    <t>测震仪器</t>
  </si>
  <si>
    <t>包括甚宽频带测震仪器、宽频带测震仪器、短周期地震仪器、其他测震仪器</t>
  </si>
  <si>
    <t>3059</t>
  </si>
  <si>
    <t>1090613020000000000</t>
  </si>
  <si>
    <t>地震前兆仪器</t>
  </si>
  <si>
    <t>包括地下流体观测仪器、形变仪器、电磁仪器、强震仪器</t>
  </si>
  <si>
    <t>3060</t>
  </si>
  <si>
    <t>1090613030000000000</t>
  </si>
  <si>
    <t>其他地震专用仪器</t>
  </si>
  <si>
    <t>3061</t>
  </si>
  <si>
    <t>1090613040000000000</t>
  </si>
  <si>
    <t>金属、矿藏探测器</t>
  </si>
  <si>
    <t>包括金属探测器、井中物探仪器、核物探仪器、化探仪器、其他矿藏探测器</t>
  </si>
  <si>
    <t>3062</t>
  </si>
  <si>
    <t>1090613050000000000</t>
  </si>
  <si>
    <t>钻探测试、分析仪器</t>
  </si>
  <si>
    <t>包括钻探测井仪器、泥浆分析仪器、岩矿物理性质测量仪、其他钻探测试、分析仪器</t>
  </si>
  <si>
    <t>3063</t>
  </si>
  <si>
    <t>1090613060000000000</t>
  </si>
  <si>
    <t>金属、矿藏探测器零件</t>
  </si>
  <si>
    <t>3064</t>
  </si>
  <si>
    <t>教学专用仪器</t>
  </si>
  <si>
    <t>1090614010000000000</t>
  </si>
  <si>
    <t>电气化教学设备</t>
  </si>
  <si>
    <t>包括教学演示瓦特表、教学演示用直流电流表、教学演示用直流电压电表、教学演示交流电表、教学演示用交流电压电表、其他电气化教学设备</t>
  </si>
  <si>
    <t>3065</t>
  </si>
  <si>
    <t>1090614020000000000</t>
  </si>
  <si>
    <t>供示范用机器或装置</t>
  </si>
  <si>
    <t>包括维姆休斯特起电机、阿特伍德机械、马德堡半球、格氏环、牛顿盘、其他供示范用机器或装置</t>
  </si>
  <si>
    <t>3066</t>
  </si>
  <si>
    <t>1090614990000000000</t>
  </si>
  <si>
    <t>其他教学专用仪器</t>
  </si>
  <si>
    <t>3067</t>
  </si>
  <si>
    <t>核辐射测量仪器</t>
  </si>
  <si>
    <t>1090615010000000000</t>
  </si>
  <si>
    <t>离子射线测量或检验仪器</t>
  </si>
  <si>
    <t>指α射线、β射线、γ射线、Ｘ射线、宇宙射线或其他离子射线的测量或检验仪器及装置，包括带有电离室检测仪器、盖革计数器、电离室、辐射剂量仪及类似设备、测量宇宙射线设备、热电堆中子探测仪器、热电堆中子测量仪器、射线测量或探测仪器、其他离子射线测量或检验仪器</t>
  </si>
  <si>
    <t>3068</t>
  </si>
  <si>
    <t>1090615020000000000</t>
  </si>
  <si>
    <t>离子射线应用设备</t>
  </si>
  <si>
    <t>包括离子射线检验设备、离子射线测量仪器设备、电离风速计、其他离子射线应用设备</t>
  </si>
  <si>
    <t>3069</t>
  </si>
  <si>
    <t>1090615030000000000</t>
  </si>
  <si>
    <t>核辐射监测报警仪器</t>
  </si>
  <si>
    <t>包括射线烟雾探测器火灾报警器、核辐射剂量监测报警仪器、核反应堆用记录、监测仪器、核反应堆用报警仪器、其他核辐射监测报警仪器</t>
  </si>
  <si>
    <t>3070</t>
  </si>
  <si>
    <t>1090615040000000000</t>
  </si>
  <si>
    <t>放射性物体加工计量仪器</t>
  </si>
  <si>
    <t>3071</t>
  </si>
  <si>
    <t>1090615050000000000</t>
  </si>
  <si>
    <t>辐照加工用仪器设备</t>
  </si>
  <si>
    <t>3072</t>
  </si>
  <si>
    <t>1090615060000000000</t>
  </si>
  <si>
    <t>辐射无损检测、探伤仪器</t>
  </si>
  <si>
    <t>3073</t>
  </si>
  <si>
    <t>1090615990000000000</t>
  </si>
  <si>
    <t>其他核子及核辐射测量仪器</t>
  </si>
  <si>
    <t>3074</t>
  </si>
  <si>
    <t>光电测量仪器</t>
  </si>
  <si>
    <t>1090616010000000000</t>
  </si>
  <si>
    <t>光学检测仪器及设备</t>
  </si>
  <si>
    <t>包括氦质谱检漏台、半导体器件光学检验仪器、光学或分度尺比较仪、光学表面检查仪、光学测角仪或角规、比长仪工作台、干涉仪、校直望远镜、光学尺、测微读数装置、焦距计、其他光学检测仪器及设备</t>
  </si>
  <si>
    <t>3075</t>
  </si>
  <si>
    <t>1090616020000000000</t>
  </si>
  <si>
    <t>通信测量仪器</t>
  </si>
  <si>
    <t>包括有线通信测量仪器、无线通信测量仪器、移动通信测量仪器、光通信测量仪器、光纤特性测量仪器、网络通信测量仪器、基站测量仪器、手机测量仪器、其他通信测量仪器</t>
  </si>
  <si>
    <t>3076</t>
  </si>
  <si>
    <t>1090616030000000000</t>
  </si>
  <si>
    <t>通用电子测量仪器</t>
  </si>
  <si>
    <t>包括频率测量仪器、电子计数器、时间测量仪器、电压测量仪器、LCR电桥、电子元器件参数测量仪器、信号发生器（通用电子）、脉冲测量仪器、频谱波形分析仪、逻辑分析仪（通用电子）、频谱分析仪（通用电子）、扫频仪、网络分析仪、功率计及探头、噪声系数测试仪、超低频测量仪、总线测量仪器</t>
  </si>
  <si>
    <t>3077</t>
  </si>
  <si>
    <t>1090616040000000000</t>
  </si>
  <si>
    <t>广播电视测量仪器</t>
  </si>
  <si>
    <t>包括音视频测量仪器、数字电视测量仪器</t>
  </si>
  <si>
    <t>3078</t>
  </si>
  <si>
    <t>1090616050000000000</t>
  </si>
  <si>
    <t>新型显示器件测量仪器</t>
  </si>
  <si>
    <t>包括TFT-LCD、PDP、OLED平板显示器件测试仪器、LED发光器件测量仪器、其他新型显示器件测量仪器</t>
  </si>
  <si>
    <t>3079</t>
  </si>
  <si>
    <t>1090616060000000000</t>
  </si>
  <si>
    <t>新型材料测试仪器</t>
  </si>
  <si>
    <t>包括半导体材料测试仪器、新型显示器件材料测试仪器、光电子材料测试仪器、磁性材料测试仪器、电子功能材料测试仪器、其他新型材料测试仪器</t>
  </si>
  <si>
    <t>3080</t>
  </si>
  <si>
    <t>1090616070000000000</t>
  </si>
  <si>
    <t>集成电路测试仪器</t>
  </si>
  <si>
    <t>包括数字IC测试仪、混合IC测试仪、SOC测试仪、边界扫描测试仪、其他集成电路测试仪器</t>
  </si>
  <si>
    <t>3081</t>
  </si>
  <si>
    <t>1090616080000000000</t>
  </si>
  <si>
    <t>微波测量仪器</t>
  </si>
  <si>
    <t>包括微波网络特性测试仪及网络分析仪、雷达综合测试仪、微波功率放大器、微波漏能测试仪、微波同轴器件、微波波导器件、微波集成器件、其他微波测量仪器</t>
  </si>
  <si>
    <t>3082</t>
  </si>
  <si>
    <t>1090616090000000000</t>
  </si>
  <si>
    <t>印制电路板测量仪器</t>
  </si>
  <si>
    <t>3083</t>
  </si>
  <si>
    <t>1090616100000000000</t>
  </si>
  <si>
    <t>声学测量仪器</t>
  </si>
  <si>
    <t>包括声级计和噪声测量仪、电声测量仪、震动测量仪、噪声显示屏</t>
  </si>
  <si>
    <t>3084</t>
  </si>
  <si>
    <t>1090616110000000000</t>
  </si>
  <si>
    <t>干扰场强测量仪器</t>
  </si>
  <si>
    <t>3085</t>
  </si>
  <si>
    <t>1090616120000000000</t>
  </si>
  <si>
    <t>电子测量仪器零、附件</t>
  </si>
  <si>
    <t>3086</t>
  </si>
  <si>
    <t>1090616990000000000</t>
  </si>
  <si>
    <t>其他光学、电子测量仪器</t>
  </si>
  <si>
    <t>3087</t>
  </si>
  <si>
    <t>纺织仪器</t>
  </si>
  <si>
    <t>1090617010000000000</t>
  </si>
  <si>
    <t>纺织专用测试仪器</t>
  </si>
  <si>
    <t>包括纺织品测试仪器、检验纺织材料设备</t>
  </si>
  <si>
    <t>3088</t>
  </si>
  <si>
    <t>1090617990000000000</t>
  </si>
  <si>
    <t>其他纺织相关专用测试仪器</t>
  </si>
  <si>
    <t>3089</t>
  </si>
  <si>
    <t>钟表</t>
  </si>
  <si>
    <t>1090618010000000000</t>
  </si>
  <si>
    <t>钟</t>
  </si>
  <si>
    <t>包括石英电子钟、机械钟、电波钟、设备、仪器仪表用钟、其他钟，不包括考勤钟等时间记录器及类似计时仪器（详见109061807）。</t>
  </si>
  <si>
    <t>3090</t>
  </si>
  <si>
    <t>1090618020000000000</t>
  </si>
  <si>
    <t>高档手表</t>
  </si>
  <si>
    <t>销售价格（不含增值税）每只在10000元（含）以上的各类手表。包括石英电子手表、机械手表、电波表、其他手表</t>
  </si>
  <si>
    <t>3091</t>
  </si>
  <si>
    <t>1090618030000000000</t>
  </si>
  <si>
    <t>其他表</t>
  </si>
  <si>
    <t>不包括高档手表（详见109061802)、停车计时表、时刻记录器等时间记录器及类似计时仪器（详见109061807）。</t>
  </si>
  <si>
    <t>3092</t>
  </si>
  <si>
    <t>1090618040000000000</t>
  </si>
  <si>
    <t>组装钟表机心</t>
  </si>
  <si>
    <t>指已组装的完整钟表心，包括表机心（石英电子表心、机械表心、其他表机心）、钟机心（其他钟机心、机械表心、其他表机心）</t>
  </si>
  <si>
    <t>3093</t>
  </si>
  <si>
    <t>1090618050000000000</t>
  </si>
  <si>
    <t>未组装钟表机心</t>
  </si>
  <si>
    <t>包括未组装或部分组装完整钟表心，不完整钟表心，包括未组装表机心、未组装钟机心</t>
  </si>
  <si>
    <t>3094</t>
  </si>
  <si>
    <t>1090618060000000000</t>
  </si>
  <si>
    <t>定时器</t>
  </si>
  <si>
    <t>包括定时开关，指装有钟、表机心或同步电动机，能在设定时间段（通常根据每日或每周预先设定的时间或程序所规定的时间段）报时或自动接通或断开电源的装置。可分为电子式定时器、机械式定时器、其他定时器</t>
  </si>
  <si>
    <t>3095</t>
  </si>
  <si>
    <t>1090618070000000000</t>
  </si>
  <si>
    <t>时间记录器及类似计时仪器</t>
  </si>
  <si>
    <t>指包括记录、测量或指示时间的装置，可分为考勤钟、时刻记录器、停车计时表、时段测量仪、其他时间记录器及类似计时仪器</t>
  </si>
  <si>
    <t>3096</t>
  </si>
  <si>
    <t>1090618080000000000</t>
  </si>
  <si>
    <t>钟表零配件</t>
  </si>
  <si>
    <t>可分为钟表元配件、表壳及其零件、钟壳及其零件，不包括已组装的完整表机心和钟机心（详见109061804），以及未组装钟表机心（含未组装或部分组装完整钟表机心和不完整钟表机心）（详见109061805）。</t>
  </si>
  <si>
    <t>3097</t>
  </si>
  <si>
    <t>1090618090000000000</t>
  </si>
  <si>
    <t>表带及其零件</t>
  </si>
  <si>
    <t>包括贵金属表带、其他金属表带及其零件、皮革制表带、化纤制表带、塑料制表带、其他非金属表带及其零件</t>
  </si>
  <si>
    <t>3098</t>
  </si>
  <si>
    <t>光学仪器</t>
  </si>
  <si>
    <t>1090619010000000000</t>
  </si>
  <si>
    <t>光学望远镜</t>
  </si>
  <si>
    <t>包括望远镜座架，可分为双筒望远镜、天文望远镜、单筒望远镜、其他光学望远镜</t>
  </si>
  <si>
    <t>3099</t>
  </si>
  <si>
    <t>1090619020000000000</t>
  </si>
  <si>
    <t>天文仪器</t>
  </si>
  <si>
    <t>包括中星仪、赤道仪、天顶仪、地平经纬仪、地平经度度盘、日光摄谱仪、日光观测镜、定天镜、量日仪、日冕仪、其他天文仪器，不包括天文望远镜（详见109061901）。</t>
  </si>
  <si>
    <t>3100</t>
  </si>
  <si>
    <t>1090619030000000000</t>
  </si>
  <si>
    <t>显微镜</t>
  </si>
  <si>
    <t>包括光学显微镜、医用非光学显微镜设备、电子显微镜、质子显微镜、其他显微镜</t>
  </si>
  <si>
    <t>3101</t>
  </si>
  <si>
    <t>1090619040000000000</t>
  </si>
  <si>
    <t>望远镜瞄准具及类似器具</t>
  </si>
  <si>
    <t>包括武器望远瞄准具、潜望望远镜、仪器或器具部件望远镜、激光器及激光器系统、放大镜、光学门眼、光学光束信号设备、体视镜、其他望远镜瞄准具及类似器具</t>
  </si>
  <si>
    <t>3102</t>
  </si>
  <si>
    <t>1090619050000000000</t>
  </si>
  <si>
    <t>物镜</t>
  </si>
  <si>
    <t>包括照相机用物镜、摄影机用物镜、放映机用物镜、缩微阅读机用物镜、放大机用物镜、缩片机用物镜、投影仪用物镜、其他物镜</t>
  </si>
  <si>
    <t>3103</t>
  </si>
  <si>
    <t>1090619060000000000</t>
  </si>
  <si>
    <t>已装配光学元件</t>
  </si>
  <si>
    <t>可分为滤色镜、照相机用附加镜、照相机用取景器、偏振滤光镜、目镜及物镜、棱镜、透镜、反射镜、已装配半色调网屏、其他已装配光学元件，不包括物镜（详见109061905）。</t>
  </si>
  <si>
    <t>3104</t>
  </si>
  <si>
    <t>1090619070000000000</t>
  </si>
  <si>
    <t>偏振材料制片及板</t>
  </si>
  <si>
    <t>3105</t>
  </si>
  <si>
    <t>1090619080000000000</t>
  </si>
  <si>
    <t>光学仪器零件、附件</t>
  </si>
  <si>
    <t>包括光学望远镜及天文仪器零件、复式光学显微镜零件、附件、其他光学仪器零件、附件</t>
  </si>
  <si>
    <t>3106</t>
  </si>
  <si>
    <t>眼镜类产品</t>
  </si>
  <si>
    <t>1090620010000000000</t>
  </si>
  <si>
    <t>眼镜成镜</t>
  </si>
  <si>
    <t>包括矫正视力用眼镜、护目眼镜</t>
  </si>
  <si>
    <t>3107</t>
  </si>
  <si>
    <t>1090620020000000000</t>
  </si>
  <si>
    <t>眼镜片</t>
  </si>
  <si>
    <t>包括角膜接触镜（隐形眼镜）、光学玻璃制眼镜片、树脂材料制眼镜片、其他眼镜片</t>
  </si>
  <si>
    <t>3108</t>
  </si>
  <si>
    <t>1090620030000000000</t>
  </si>
  <si>
    <t>眼镜框架及其零件</t>
  </si>
  <si>
    <t>包括眼镜脚及眼镜脚芯、铰链或接头、镜圈、鼻梁架、托叶、夹鼻眼镜的弹簧装置、长柄眼镜的柄把等</t>
  </si>
  <si>
    <t>3109</t>
  </si>
  <si>
    <t>1090620040000000000</t>
  </si>
  <si>
    <t>眼镜盒（袋）</t>
  </si>
  <si>
    <t>一种为了携带方便而用于盛放眼镜的工具</t>
  </si>
  <si>
    <t>3110</t>
  </si>
  <si>
    <t>电影机械</t>
  </si>
  <si>
    <t>1090621010000000000</t>
  </si>
  <si>
    <t>电影摄影机</t>
  </si>
  <si>
    <t>包括普通电影摄影机、特种电影摄影机、同期录音电影摄影机</t>
  </si>
  <si>
    <t>3111</t>
  </si>
  <si>
    <t>1090621020000000000</t>
  </si>
  <si>
    <t>电影放映机</t>
  </si>
  <si>
    <t>包括模拟、数字电影放映机，可分为固定式电影放映机、便携式电影放映机、数字电影放映机、流动式数字电影放映设备、其他电影放映机</t>
  </si>
  <si>
    <t>3112</t>
  </si>
  <si>
    <t>1090621030000000000</t>
  </si>
  <si>
    <t>电路投影装置</t>
  </si>
  <si>
    <t>指将电路绘制到感光半导体材料上的装置，包括直接记录到晶片上装置、分步重复校准器、其他电路投影装置</t>
  </si>
  <si>
    <t>3113</t>
  </si>
  <si>
    <t>1090621040000000000</t>
  </si>
  <si>
    <t>银幕</t>
  </si>
  <si>
    <t>包括电影银幕、投影屏幕</t>
  </si>
  <si>
    <t>3114</t>
  </si>
  <si>
    <t>1090621050000000000</t>
  </si>
  <si>
    <t>电影设备零件和附件</t>
  </si>
  <si>
    <t>包括电影摄影机零件、附件、电影放映机零件、附件</t>
  </si>
  <si>
    <t>3115</t>
  </si>
  <si>
    <t>照相器材</t>
  </si>
  <si>
    <t>1090622010000000000</t>
  </si>
  <si>
    <t>照相机</t>
  </si>
  <si>
    <t>包括通用照相机、数码照相机、制版照相机、专用特种照相机</t>
  </si>
  <si>
    <t>3116</t>
  </si>
  <si>
    <t>1090622020000000000</t>
  </si>
  <si>
    <t>照相机器材</t>
  </si>
  <si>
    <t>包括闪光灯装置、照片放大机、照片缩片机、其他照相机器材</t>
  </si>
  <si>
    <t>3117</t>
  </si>
  <si>
    <t>1090622030000000000</t>
  </si>
  <si>
    <t>缩微设备</t>
  </si>
  <si>
    <t>不包括缩微照相机（详见109062201），可分为缩微胶卷阅读机、缩微胶片阅读机、缩微胶片装片机、缩微品检索设备、缩微品阅读复印机、缩微品放大复印机、其他缩微设备</t>
  </si>
  <si>
    <t>3118</t>
  </si>
  <si>
    <t>1090622040000000000</t>
  </si>
  <si>
    <t>照相机、缩微阅读机零件</t>
  </si>
  <si>
    <t>包括照相机零件、附件、照相闪光灯装置零件、缩微阅读机零件、照片放大机及缩片机零件</t>
  </si>
  <si>
    <t>3119</t>
  </si>
  <si>
    <t>1090623010000000000</t>
  </si>
  <si>
    <t>自动洗印设备</t>
  </si>
  <si>
    <t>包括照相胶卷或成卷感光纸的自动洗印设备，可分为电影胶卷自动洗印设备、特种照相用胶卷自动洗印设备、成卷感光纸自动洗印设备、彩色胶卷洗印设备、数码冲印设备、公安数码制证设备、其他自动洗印设备</t>
  </si>
  <si>
    <t>3120</t>
  </si>
  <si>
    <t>1090623020000000000</t>
  </si>
  <si>
    <t>非自动洗印用装置和设备</t>
  </si>
  <si>
    <t>照相、电影洗印用其他装置和设备，包括负片显示器、胶片分裁机、胶片拷贝机、印片机、上光机（照相洗印用）、电影片缩印机、放大印片机、光学技巧机、同步配音控制设备、影片剪辑设备、加工处理影片剪辑台、影片字幕放映设备、数码片夹、其他非自动洗印用装置和设备</t>
  </si>
  <si>
    <t>3121</t>
  </si>
  <si>
    <t>1090623030000000000</t>
  </si>
  <si>
    <t>照相及电影洗印设备零件</t>
  </si>
  <si>
    <t>包括照相及电影通用洗印设备及装置的零件、附件</t>
  </si>
  <si>
    <t>3122</t>
  </si>
  <si>
    <t>影像投影仪</t>
  </si>
  <si>
    <t>1090624010000000000</t>
  </si>
  <si>
    <t>幻灯机</t>
  </si>
  <si>
    <t>包括小型幻灯机、大型固定式幻灯机，可分为自动程序控制幻灯机、氙灯光源幻灯机、其他幻灯机</t>
  </si>
  <si>
    <t>3123</t>
  </si>
  <si>
    <t>1090624020000000000</t>
  </si>
  <si>
    <t>投影仪</t>
  </si>
  <si>
    <t>电影用影像投影仪除外（详见109062102），包括正射投影仪、光谱投影仪、显微投影仪、透射式投影仪、反射式投影仪、其他投影仪</t>
  </si>
  <si>
    <t>3124</t>
  </si>
  <si>
    <t>1090624030000000000</t>
  </si>
  <si>
    <t>幻灯及投影设备附件、零件</t>
  </si>
  <si>
    <t>3125</t>
  </si>
  <si>
    <t>复印胶版印制设备</t>
  </si>
  <si>
    <t>1090625010000000000</t>
  </si>
  <si>
    <t>静电复印设备</t>
  </si>
  <si>
    <t>采用静电方式将原稿通过光导鼓成像方式复制文件或图像的设备，包括模拟式复印设备、数字式复印设备、多功能一体机、多功能印刷机或印艺系统、喷墨复印机、重氮复印机（晒图机）、热敏复印设备、银盐复印设备</t>
  </si>
  <si>
    <t>3126</t>
  </si>
  <si>
    <t>1090625020000000000</t>
  </si>
  <si>
    <t>胶印设备</t>
  </si>
  <si>
    <t>采用水墨分离原理，将事先制好的印版复制成印品的设备；包括A2或A2以下幅面的单色小胶印机、彩色（或多色）小胶印机</t>
  </si>
  <si>
    <t>3127</t>
  </si>
  <si>
    <t>1090625030000000000</t>
  </si>
  <si>
    <t>办公印刷设备</t>
  </si>
  <si>
    <t>采用油墨在事先制好的镂板上印刷方式的设备，包括油印机、速印机、胶版复印机、其他办公印刷设备</t>
  </si>
  <si>
    <t>3128</t>
  </si>
  <si>
    <t>1090625040000000000</t>
  </si>
  <si>
    <t>复印设备配套装置、零件</t>
  </si>
  <si>
    <t>包括文件自动送入器、送纸器、分页器、盖章装置、有机光导体感光鼓、成像卡盒组件（总成）、黑色显影剂及装置、彩色显影剂及装置、其他复印设备配套装置、零件</t>
  </si>
  <si>
    <t>3129</t>
  </si>
  <si>
    <t>1090625990000000000</t>
  </si>
  <si>
    <t>其他复印和胶版印制设备</t>
  </si>
  <si>
    <t>3130</t>
  </si>
  <si>
    <t>税控加油机</t>
  </si>
  <si>
    <t>1090626010100000000</t>
  </si>
  <si>
    <t>3131</t>
  </si>
  <si>
    <t>税控收款机</t>
  </si>
  <si>
    <t>1090626010200000000</t>
  </si>
  <si>
    <t>3132</t>
  </si>
  <si>
    <t>计算器货币专用设备</t>
  </si>
  <si>
    <t>1090626019900000000</t>
  </si>
  <si>
    <t>其他装有计算和电子装置设备</t>
  </si>
  <si>
    <t>3133</t>
  </si>
  <si>
    <t>1090626020000000000</t>
  </si>
  <si>
    <t>银行专用机器</t>
  </si>
  <si>
    <t>包括自动柜员机（ATM机）、硬币分类机、硬币计数机、验钞机、点钞机、清分机、复点机、自动登折机、其他银行专用机器</t>
  </si>
  <si>
    <t>3134</t>
  </si>
  <si>
    <t>文化办公用设备</t>
  </si>
  <si>
    <t>1090627010000000000</t>
  </si>
  <si>
    <t>打字机及文字处理机</t>
  </si>
  <si>
    <t>包括打字机、文字处理机</t>
  </si>
  <si>
    <t>3135</t>
  </si>
  <si>
    <t>1090627020000000000</t>
  </si>
  <si>
    <t>削笔类用具</t>
  </si>
  <si>
    <t>包括手动削笔机、电动削笔机、卷笔刀、削笔刀、其他削笔类用具</t>
  </si>
  <si>
    <t>3136</t>
  </si>
  <si>
    <t>1090627030000000000</t>
  </si>
  <si>
    <t>文件装订用机械</t>
  </si>
  <si>
    <t>不包括订书枪、装订书籍用的订书机器（详见109022203），可分为订书机、打孔机、订折机、其他文件装订用机械</t>
  </si>
  <si>
    <t>3137</t>
  </si>
  <si>
    <t>1090627990000000000</t>
  </si>
  <si>
    <t>其他文化、办公用设备或器具</t>
  </si>
  <si>
    <t>3138</t>
  </si>
  <si>
    <t>其他仪器仪表机械</t>
  </si>
  <si>
    <t>1090699000000000000</t>
  </si>
  <si>
    <t>其他仪器仪表及文化、办公用机械</t>
  </si>
  <si>
    <t>3139</t>
  </si>
  <si>
    <t>其他机械、设备类产品</t>
  </si>
  <si>
    <t>其他机械设备</t>
  </si>
  <si>
    <t>1099900000000000000</t>
  </si>
  <si>
    <t>3140</t>
  </si>
  <si>
    <t>电力、热力、水、燃气类产品</t>
  </si>
  <si>
    <t>电力和热力、冷气</t>
  </si>
  <si>
    <t>发电</t>
  </si>
  <si>
    <t>1100101010100000000</t>
  </si>
  <si>
    <t>火力发电</t>
  </si>
  <si>
    <t>包括以煤炭、石油、天然气、余热、余气为能源发电以及其他火力发电</t>
  </si>
  <si>
    <t>范围2</t>
  </si>
  <si>
    <t>3141</t>
  </si>
  <si>
    <t>1100101010200000000</t>
  </si>
  <si>
    <t>5万千瓦以下（含5万千瓦）水力发电</t>
  </si>
  <si>
    <t>3142</t>
  </si>
  <si>
    <t>1100101010300000000</t>
  </si>
  <si>
    <t>5万千瓦以上（不含5万千瓦）100万千瓦（含）以下水力发电</t>
  </si>
  <si>
    <t>3143</t>
  </si>
  <si>
    <t>1100101010400000000</t>
  </si>
  <si>
    <t>100万千瓦以上（不含100万千瓦）水力发电</t>
  </si>
  <si>
    <t>3144</t>
  </si>
  <si>
    <t>1100101010500000000</t>
  </si>
  <si>
    <t>核能发电</t>
  </si>
  <si>
    <t>3145</t>
  </si>
  <si>
    <t>1100101010600000000</t>
  </si>
  <si>
    <t>太阳能发电</t>
  </si>
  <si>
    <t>3146</t>
  </si>
  <si>
    <t>1100101010700000000</t>
  </si>
  <si>
    <t>风力发电</t>
  </si>
  <si>
    <t>3147</t>
  </si>
  <si>
    <t>1100101010800000000</t>
  </si>
  <si>
    <t>潮汐能发电</t>
  </si>
  <si>
    <t>3148</t>
  </si>
  <si>
    <t>1100101010900000000</t>
  </si>
  <si>
    <t>沼气发电</t>
  </si>
  <si>
    <t>3149</t>
  </si>
  <si>
    <t>1100101011000000000</t>
  </si>
  <si>
    <t>地热能发电</t>
  </si>
  <si>
    <t>3150</t>
  </si>
  <si>
    <t>1100101011100000000</t>
  </si>
  <si>
    <t>垃圾发电</t>
  </si>
  <si>
    <t>3151</t>
  </si>
  <si>
    <t>1100101011200000000</t>
  </si>
  <si>
    <t>竹木生物质燃料发电</t>
  </si>
  <si>
    <t>3152</t>
  </si>
  <si>
    <t>1100101019900000000</t>
  </si>
  <si>
    <t>其他发电</t>
  </si>
  <si>
    <t>指其他能源发电，包括生物能发电、余热发电、余压发电</t>
  </si>
  <si>
    <t>3153</t>
  </si>
  <si>
    <t>供电</t>
  </si>
  <si>
    <t>1100101020100000000</t>
  </si>
  <si>
    <t>电力产品</t>
  </si>
  <si>
    <t>指电力企业售给用户（包括趸售户）的电量以及供给本企业非电力生产、基本建设、大修和非生产部门（如食堂、宿舍）等所使用的电量</t>
  </si>
  <si>
    <t>3154</t>
  </si>
  <si>
    <t>1100101020200000000</t>
  </si>
  <si>
    <t>售电</t>
  </si>
  <si>
    <t>3155</t>
  </si>
  <si>
    <t>1100101020300000000</t>
  </si>
  <si>
    <t>农村电网维护费</t>
  </si>
  <si>
    <t>指农村电管站在收取电价时一并向用户收取的农村电网维护费（包括低压线路损耗和维护费以及电工经费）</t>
  </si>
  <si>
    <t>3156</t>
  </si>
  <si>
    <t>热力</t>
  </si>
  <si>
    <t>1100102010100000000</t>
  </si>
  <si>
    <t>三北热力</t>
  </si>
  <si>
    <t>指北京、天津、河北、山西、内蒙古、辽宁、大连、吉林、黑龙江、山东、青岛、河南、陕西、甘肃、宁夏、新疆、青海的供热企业向居民个人供热而取得的采暖费</t>
  </si>
  <si>
    <t>3157</t>
  </si>
  <si>
    <t>供热</t>
  </si>
  <si>
    <t>1100102020100000000</t>
  </si>
  <si>
    <t>蒸汽</t>
  </si>
  <si>
    <t>包括饱和蒸汽、过热蒸汽，主要用途有加热、加湿；还可以产生动力；作为机器驱动等</t>
  </si>
  <si>
    <t>3158</t>
  </si>
  <si>
    <t>1100102020200000000</t>
  </si>
  <si>
    <t>热水</t>
  </si>
  <si>
    <t>3159</t>
  </si>
  <si>
    <t>冷气</t>
  </si>
  <si>
    <t>1100103000000000000</t>
  </si>
  <si>
    <t>3160</t>
  </si>
  <si>
    <t>燃气</t>
  </si>
  <si>
    <t>1100201010000000000</t>
  </si>
  <si>
    <t>焦炉煤气</t>
  </si>
  <si>
    <t>指在炼焦炉中，煤经过干馏炼焦过程生产的煤气</t>
  </si>
  <si>
    <t>3161</t>
  </si>
  <si>
    <t>1100201020000000000</t>
  </si>
  <si>
    <t>高炉煤气</t>
  </si>
  <si>
    <t>指在炼铁过程产生的煤气</t>
  </si>
  <si>
    <t>3162</t>
  </si>
  <si>
    <t>1100201030000000000</t>
  </si>
  <si>
    <t>油制气</t>
  </si>
  <si>
    <t>指用重油或轻油裂解生产的燃气</t>
  </si>
  <si>
    <t>3163</t>
  </si>
  <si>
    <t>1100201040000000000</t>
  </si>
  <si>
    <t>水煤气</t>
  </si>
  <si>
    <t>指向固定床煤气化炉交替通入空气和水蒸气制得的煤气</t>
  </si>
  <si>
    <t>3164</t>
  </si>
  <si>
    <t>1100201050000000000</t>
  </si>
  <si>
    <t>发生炉煤气</t>
  </si>
  <si>
    <t>指利用煤气发生炉使固体燃料转化成的煤气</t>
  </si>
  <si>
    <t>3165</t>
  </si>
  <si>
    <t>1100201060000000000</t>
  </si>
  <si>
    <t>加压气化炉煤气</t>
  </si>
  <si>
    <t>指将煤与氧气、水蒸汽等介质通过加压气化炉在一定温度和压力下反应生成的可燃气体</t>
  </si>
  <si>
    <t>3166</t>
  </si>
  <si>
    <t>1100201990000000000</t>
  </si>
  <si>
    <t>其他煤气</t>
  </si>
  <si>
    <t>3167</t>
  </si>
  <si>
    <t>1100202010000000000</t>
  </si>
  <si>
    <t>人工煤气</t>
  </si>
  <si>
    <t>包括煤制气、油制气。</t>
  </si>
  <si>
    <t>3168</t>
  </si>
  <si>
    <t>1100202020000000000</t>
  </si>
  <si>
    <t>民用天然气</t>
  </si>
  <si>
    <t>3169</t>
  </si>
  <si>
    <t>1100202030000000000</t>
  </si>
  <si>
    <t>液化天然气（LNG）</t>
  </si>
  <si>
    <t>3170</t>
  </si>
  <si>
    <t>1100202040000000000</t>
  </si>
  <si>
    <t>民用液化石油气</t>
  </si>
  <si>
    <t>3171</t>
  </si>
  <si>
    <t>水、冰、雪</t>
  </si>
  <si>
    <t>水冰雪</t>
  </si>
  <si>
    <t>1100301010000000000</t>
  </si>
  <si>
    <t>自来水</t>
  </si>
  <si>
    <t>3172</t>
  </si>
  <si>
    <t>1100301020000000000</t>
  </si>
  <si>
    <t>再生水</t>
  </si>
  <si>
    <t>3173</t>
  </si>
  <si>
    <t>1100301030000000000</t>
  </si>
  <si>
    <t>淡化水</t>
  </si>
  <si>
    <t>3174</t>
  </si>
  <si>
    <t>1100301040000000000</t>
  </si>
  <si>
    <t>天然水</t>
  </si>
  <si>
    <t>包括江河、海洋、冰川、湖泊、沼泽等地表水以及土壤、岩石层内的地下水等天然水体</t>
  </si>
  <si>
    <t>3175</t>
  </si>
  <si>
    <t>1100302010000000000</t>
  </si>
  <si>
    <t>自然冰</t>
  </si>
  <si>
    <t>3176</t>
  </si>
  <si>
    <t>1100302020000000000</t>
  </si>
  <si>
    <t>工业人造冰</t>
  </si>
  <si>
    <t>3177</t>
  </si>
  <si>
    <t>1100302030000000000</t>
  </si>
  <si>
    <t>自然雪</t>
  </si>
  <si>
    <t>3178</t>
  </si>
  <si>
    <t>1100302040000000000</t>
  </si>
  <si>
    <t>人造雪</t>
  </si>
  <si>
    <t>3179</t>
  </si>
  <si>
    <t>1100399000000000000</t>
  </si>
  <si>
    <t>其他水冰雪</t>
  </si>
  <si>
    <t>3180</t>
  </si>
  <si>
    <t>报废产品</t>
  </si>
  <si>
    <t>废钢铁</t>
  </si>
  <si>
    <t>制造性废钢铁</t>
  </si>
  <si>
    <t>1110101000000000000</t>
  </si>
  <si>
    <t>使用钢材制造终端使用商品的边角余料。</t>
  </si>
  <si>
    <t>3181</t>
  </si>
  <si>
    <t>农业废钢铁</t>
  </si>
  <si>
    <t>1110102000000000000</t>
  </si>
  <si>
    <t>来源于损坏的各种农业设施，如闸、坝、桥、具、工器具等。</t>
  </si>
  <si>
    <t>3182</t>
  </si>
  <si>
    <t>建筑业废钢铁</t>
  </si>
  <si>
    <t>1110103000000000000</t>
  </si>
  <si>
    <t>建筑工地上拆解下来的各种型号的钢筋、角、槽、板，工程用角、槽、板的下脚料，淘汰报废的建筑设备和工器具。</t>
  </si>
  <si>
    <t>3183</t>
  </si>
  <si>
    <t>家用废钢铁</t>
  </si>
  <si>
    <t>1110104000000000000</t>
  </si>
  <si>
    <t>家用淘汰产生的废钢铁，例如家电的外皮、钢铁制桌椅家具、办公家具、灶具、厨具、上下水管道、钢制门窗、脚踏工具、健身器材、饮料容器等。</t>
  </si>
  <si>
    <t>3184</t>
  </si>
  <si>
    <t>机器设备废钢铁</t>
  </si>
  <si>
    <t>1110105000000000000</t>
  </si>
  <si>
    <t>来源于报废的各种机器设备。</t>
  </si>
  <si>
    <t>3185</t>
  </si>
  <si>
    <t>其他废钢铁</t>
  </si>
  <si>
    <t>1110199000000000000</t>
  </si>
  <si>
    <t>3186</t>
  </si>
  <si>
    <t>废有色金属</t>
  </si>
  <si>
    <t>废铜</t>
  </si>
  <si>
    <t>1110201000000000000</t>
  </si>
  <si>
    <t>3187</t>
  </si>
  <si>
    <t>废铝</t>
  </si>
  <si>
    <t>1110202000000000000</t>
  </si>
  <si>
    <t>3188</t>
  </si>
  <si>
    <t>废铅</t>
  </si>
  <si>
    <t>1110203000000000000</t>
  </si>
  <si>
    <t>3189</t>
  </si>
  <si>
    <t>废锌</t>
  </si>
  <si>
    <t>1110204000000000000</t>
  </si>
  <si>
    <t>3190</t>
  </si>
  <si>
    <t>废稀贵金属</t>
  </si>
  <si>
    <t>1110205000000000000</t>
  </si>
  <si>
    <t>不包括稀土及稀土产品。</t>
  </si>
  <si>
    <t>3191</t>
  </si>
  <si>
    <t>其他废有色金属</t>
  </si>
  <si>
    <t>1110299000000000000</t>
  </si>
  <si>
    <t>3192</t>
  </si>
  <si>
    <t>废塑料</t>
  </si>
  <si>
    <t>1110300000000000000</t>
  </si>
  <si>
    <t>3193</t>
  </si>
  <si>
    <t>废轮胎</t>
  </si>
  <si>
    <t>1110400000000000000</t>
  </si>
  <si>
    <t>3194</t>
  </si>
  <si>
    <t>废纸</t>
  </si>
  <si>
    <t>1110500000000000000</t>
  </si>
  <si>
    <t>3195</t>
  </si>
  <si>
    <t>废弃电器电子产品</t>
  </si>
  <si>
    <t>废电视机</t>
  </si>
  <si>
    <t>1110601000000000000</t>
  </si>
  <si>
    <t>3196</t>
  </si>
  <si>
    <t>废电冰箱</t>
  </si>
  <si>
    <t>1110602000000000000</t>
  </si>
  <si>
    <t>3197</t>
  </si>
  <si>
    <t>废洗衣机</t>
  </si>
  <si>
    <t>1110603000000000000</t>
  </si>
  <si>
    <t>3198</t>
  </si>
  <si>
    <t>废空调</t>
  </si>
  <si>
    <t>1110604000000000000</t>
  </si>
  <si>
    <t>3199</t>
  </si>
  <si>
    <t>废电脑</t>
  </si>
  <si>
    <t>1110605000000000000</t>
  </si>
  <si>
    <t>3200</t>
  </si>
  <si>
    <t>废手机</t>
  </si>
  <si>
    <t>1110606000000000000</t>
  </si>
  <si>
    <t>3201</t>
  </si>
  <si>
    <t>其他废弃电器电子产品</t>
  </si>
  <si>
    <t>1110699000000000000</t>
  </si>
  <si>
    <t>3202</t>
  </si>
  <si>
    <t>报废机动车</t>
  </si>
  <si>
    <t>报废汽车</t>
  </si>
  <si>
    <t>1110701000000000000</t>
  </si>
  <si>
    <t>3203</t>
  </si>
  <si>
    <t>报废摩托车</t>
  </si>
  <si>
    <t>1110702000000000000</t>
  </si>
  <si>
    <t>3204</t>
  </si>
  <si>
    <t>其他报废机动车</t>
  </si>
  <si>
    <t>1110799000000000000</t>
  </si>
  <si>
    <t>3205</t>
  </si>
  <si>
    <t>废电池</t>
  </si>
  <si>
    <t>废铅蓄电池</t>
  </si>
  <si>
    <t>1111001000000000000</t>
  </si>
  <si>
    <t>3206</t>
  </si>
  <si>
    <t>废锂离子电池</t>
  </si>
  <si>
    <t>1111002000000000000</t>
  </si>
  <si>
    <t>3207</t>
  </si>
  <si>
    <t>废镍氢电池</t>
  </si>
  <si>
    <t>1111003000000000000</t>
  </si>
  <si>
    <t>3208</t>
  </si>
  <si>
    <t>其他废电池</t>
  </si>
  <si>
    <t>1111099000000000000</t>
  </si>
  <si>
    <t>3209</t>
  </si>
  <si>
    <t>其他报废产品</t>
  </si>
  <si>
    <t>其他生活类报废产品</t>
  </si>
  <si>
    <t>1119901000000000000</t>
  </si>
  <si>
    <t>3210</t>
  </si>
  <si>
    <t>报废船舶</t>
  </si>
  <si>
    <t>1119902000000000000</t>
  </si>
  <si>
    <t>3211</t>
  </si>
  <si>
    <t>其他未列明报废产品</t>
  </si>
  <si>
    <t>1119999000000000000</t>
  </si>
  <si>
    <t>3212</t>
  </si>
  <si>
    <t>废旧纺织品</t>
  </si>
  <si>
    <t>1110800000000000000</t>
  </si>
  <si>
    <t>3213</t>
  </si>
  <si>
    <t>废玻璃</t>
  </si>
  <si>
    <t>1110900000000000000</t>
  </si>
  <si>
    <t>劳务</t>
  </si>
  <si>
    <t>加工劳务</t>
  </si>
  <si>
    <t>2010200000000000000</t>
  </si>
  <si>
    <t>垃圾处理、污泥处理处置劳务</t>
  </si>
  <si>
    <t>垃圾处理是指运用填埋、焚烧、综合处理和回收利用等形式，对垃圾进行减量化、资源化和无害化处理处置的业务。污泥处理处置是指对污水处理后产生的污泥进行稳定化、减量化和无害化处理处置的业务。</t>
  </si>
  <si>
    <t>2010300000000000000</t>
  </si>
  <si>
    <t>污水处理劳务</t>
  </si>
  <si>
    <t>指将污水（包括城镇污水和工业废水）处理后达到《城镇污水处理厂污染物排放标准》（GB18918-2002），或达到相应的国家或地方水污染物排放标准中的直接排放限值的业务。其中，城镇污水是指城镇居民生活污水，机关、学校、医院、商业服务机构及各种公共设施排水，以及允许排入城镇污水收集系统的工业废水和初期雨水。工业废水是指工业生产过程中产生的，不允许排入城镇污水收集系统的废水和废液。</t>
  </si>
  <si>
    <t>2010400000000000000</t>
  </si>
  <si>
    <t>工业废气处理劳务</t>
  </si>
  <si>
    <t>指专门针对工业场所如工厂、车间产生的废气在对外排放前进行预处理，以达到国家废气对外排放标准的工作。</t>
  </si>
  <si>
    <t>2010500000000000000</t>
  </si>
  <si>
    <t>其他加工劳务</t>
  </si>
  <si>
    <t>指除稀土冶炼分离产品加工劳务、垃圾处理、污泥处理处置劳务、污水处理劳务、工业废气处理劳务以外的其他加工劳务。</t>
  </si>
  <si>
    <t>修理修配劳务</t>
  </si>
  <si>
    <t>2020000000000000000</t>
  </si>
  <si>
    <t>指受托对损伤和丧失功能的货物进行修复，使其恢复原状和功能的业务。</t>
  </si>
  <si>
    <t>其他劳务</t>
  </si>
  <si>
    <t>2030000000000000000</t>
  </si>
  <si>
    <t>油气田企业为生产原油、天然气提供的生产性劳务</t>
  </si>
  <si>
    <t>生产性劳务是指油气田企业为生产原油、天然气，从地质普查、勘探开发到原油天然气销售的一系列生产过程所发生的劳务（具体见《增值税生产性劳务征税范围注释》）。</t>
  </si>
  <si>
    <t>2040000000000000000</t>
  </si>
  <si>
    <t>矿产资源开采、挖掘、切割、破碎、分拣、洗选等劳务</t>
  </si>
  <si>
    <t>包括矿产资源开采、挖掘、切割、破碎、分拣、洗选等。</t>
  </si>
  <si>
    <t>销售服务</t>
  </si>
  <si>
    <t>交通运输服务</t>
  </si>
  <si>
    <t>运输服务</t>
  </si>
  <si>
    <t>3010101010100000000</t>
  </si>
  <si>
    <t>国内铁路旅客运输服务</t>
  </si>
  <si>
    <t>指起运地和目的地都在境内的铁路旅客运输业务活动。</t>
  </si>
  <si>
    <t>3010101010200000000</t>
  </si>
  <si>
    <t>国际铁路旅客运输服务</t>
  </si>
  <si>
    <t>指通过铁路从境内载运旅客出境、从境外载运旅客入境，以及在境外载运旅客的运输业务活动。</t>
  </si>
  <si>
    <t>3010101010300000000</t>
  </si>
  <si>
    <t>港澳台铁路旅客运输服务</t>
  </si>
  <si>
    <t>指通过铁路往返香港、澳门、台湾，以及在香港、澳门、台湾提供的旅客运输业务活动。</t>
  </si>
  <si>
    <t>3010101020101010000</t>
  </si>
  <si>
    <t>国内长途汽车旅客运输服务</t>
  </si>
  <si>
    <t>指起运地和目的地都在境内的长途旅客运输业务活动，含长途班车服务。</t>
  </si>
  <si>
    <t>3010101020101020000</t>
  </si>
  <si>
    <t>国际长途汽车旅客运输服务</t>
  </si>
  <si>
    <t>指通过道路从境内载运旅客出境、从境外载运旅客入境，以及在境外载运旅客的运输业务活动。</t>
  </si>
  <si>
    <t>3010101020101030000</t>
  </si>
  <si>
    <t>港澳台长途汽车旅客运输服务</t>
  </si>
  <si>
    <t>指通过道路往返香港、澳门、台湾，以及在香港、澳门、台湾提供的旅客运输业务活动。</t>
  </si>
  <si>
    <t>3010101020102000000</t>
  </si>
  <si>
    <t>其他公路旅客运输服务</t>
  </si>
  <si>
    <t>指汽车以外的其他运输工具提供的旅客运输业务活动。</t>
  </si>
  <si>
    <t>3010101020201000000</t>
  </si>
  <si>
    <t>公共电汽车客运服务</t>
  </si>
  <si>
    <t>指通过公共电汽车提供的旅客运输业务活动。</t>
  </si>
  <si>
    <t>3010101020202000000</t>
  </si>
  <si>
    <t>城市轨道交通服务</t>
  </si>
  <si>
    <t>指通过城市地铁、轻轨、有轨电车等轨道交通提供的旅客运输业务活动。</t>
  </si>
  <si>
    <t>3010101020203000000</t>
  </si>
  <si>
    <t>出租汽车客运服务</t>
  </si>
  <si>
    <t>指轿车出租计程、轿车出租包车、中型客车出租、大型客车出租客运业务活动，含城市班车服务。</t>
  </si>
  <si>
    <t>3010101020204000000</t>
  </si>
  <si>
    <t>索道客运服务</t>
  </si>
  <si>
    <t>3010101020299000000</t>
  </si>
  <si>
    <t>其他城市旅客公共交通服务</t>
  </si>
  <si>
    <t>指其他未列明的城市旅客运输活动。</t>
  </si>
  <si>
    <t>3010102010100000000</t>
  </si>
  <si>
    <t>国内铁路货物运输服务</t>
  </si>
  <si>
    <t>指起运地、目的地都在境内的铁路货物运输业务活动。</t>
  </si>
  <si>
    <t>3010102010200000000</t>
  </si>
  <si>
    <t>国际铁路货物运输服务</t>
  </si>
  <si>
    <t>指通过铁路从境内载运货物出境、从境外载运货物入境以及在境外载运货物的运输业务活动。</t>
  </si>
  <si>
    <t>3010102010300000000</t>
  </si>
  <si>
    <t>港澳台铁路货物运输服务</t>
  </si>
  <si>
    <t>指通过铁路往返香港、澳门、台湾以及在香港、澳门、台湾提供的货物运输业务活动。</t>
  </si>
  <si>
    <t>3010102020100000000</t>
  </si>
  <si>
    <t>国内道路货物运输服务</t>
  </si>
  <si>
    <t>指起运地、目的地都在境内的道路货物运输业务活动。</t>
  </si>
  <si>
    <t>3010102020200000000</t>
  </si>
  <si>
    <t>国际道路货物运输服务</t>
  </si>
  <si>
    <t>指通过道路从境内载运货物出境、从境外载运货物入境以及在境外载运货物的运输业务活动。</t>
  </si>
  <si>
    <t>3010102020300000000</t>
  </si>
  <si>
    <t>港澳台道路货物运输服务</t>
  </si>
  <si>
    <t>指通过道路往返香港、澳门、台湾以及在香港、澳门、台湾提供的货物运输业务活动。</t>
  </si>
  <si>
    <t>3010102990100000000</t>
  </si>
  <si>
    <t>国内其他陆路货物运输服务</t>
  </si>
  <si>
    <t>指起运地、目的地都在境内的其他陆路货物运输业务。</t>
  </si>
  <si>
    <t>3010102990200000000</t>
  </si>
  <si>
    <t>国际其他陆路货物运输服务</t>
  </si>
  <si>
    <t>指通过其他陆运方式从境内载运货物出境、从境外载运货物入境以及在境外载运货物的运输业务活动。</t>
  </si>
  <si>
    <t>3010102990300000000</t>
  </si>
  <si>
    <t>港澳台其他陆路货物运输服务</t>
  </si>
  <si>
    <t>指通过其他陆运方式往返香港、澳门、台湾以及在香港、澳门、台湾提供的货物运输业务活动。</t>
  </si>
  <si>
    <t>3010201010000000000</t>
  </si>
  <si>
    <t>国内水路旅客运输服务</t>
  </si>
  <si>
    <t>指起运地和目的地都在境内的水路旅客运输业务活动，含轮客渡服务。</t>
  </si>
  <si>
    <t>3010201020000000000</t>
  </si>
  <si>
    <t>国际水路旅客运输服务</t>
  </si>
  <si>
    <t>指通过水路运输方式在境内载运旅客出境、从境外载运旅客入境以及在境外载运旅客的运输业务活动。</t>
  </si>
  <si>
    <t>3010201030000000000</t>
  </si>
  <si>
    <t>港澳台水路旅客运输服务</t>
  </si>
  <si>
    <t>指通过水路运输方式往返香港、澳门、台湾，以及在香港、澳门、台湾提供的旅客运输业务活动。</t>
  </si>
  <si>
    <t>3010202010000000000</t>
  </si>
  <si>
    <t>国内水路货物运输服务</t>
  </si>
  <si>
    <t>指起运地和目的地都在境内的水路货物运输业务活动。</t>
  </si>
  <si>
    <t>3010202020000000000</t>
  </si>
  <si>
    <t>国际水路货物运输服务</t>
  </si>
  <si>
    <t>指通过水路运输方式从境内载运货物出境、从境外载运货物入境以及在境外载运货物的运输业务活动。</t>
  </si>
  <si>
    <t>3010202030000000000</t>
  </si>
  <si>
    <t>港澳台水路货物运输服务</t>
  </si>
  <si>
    <t>指通过水路运输方式往返香港、澳门、台湾以及在香港、澳门、台湾提供的货物运输业务活动。</t>
  </si>
  <si>
    <t>3010203010000000000</t>
  </si>
  <si>
    <t>水路旅客运输期租业务</t>
  </si>
  <si>
    <t>指运输企业为租船人完成某一特定航次的运输货物任务并收取租赁费的业务。</t>
  </si>
  <si>
    <t>3010203020000000000</t>
  </si>
  <si>
    <t>水路货物运输期租业务</t>
  </si>
  <si>
    <t>指运输企业为租船人完成某一特定航次的运输旅客任务并收取租赁费的业务。</t>
  </si>
  <si>
    <t>3010204010000000000</t>
  </si>
  <si>
    <t>水路旅客运输程租业务</t>
  </si>
  <si>
    <t>指运输企业将配备有操作人员的船舶承租给他人使用（主要用于旅客运输）一定期限，承租期内听候承租方调遣，不论是否经营，均按天向承租方收取租赁费，发生的固定费用均由船东负担的业务。</t>
  </si>
  <si>
    <t>3010204020000000000</t>
  </si>
  <si>
    <t>水路货物运输程租业务</t>
  </si>
  <si>
    <t>指运输企业将配备有操作人员的船舶承租给他人使用（主要用于货物运输）一定期限，承租期内听候承租方调遣，不论是否经营，均按天向承租方收取租赁费，发生的固定费用均由船东负担的业务。</t>
  </si>
  <si>
    <t>3010301010100000000</t>
  </si>
  <si>
    <t>国内航空旅客运输服务</t>
  </si>
  <si>
    <t>指起运地和目的地都在境内的航空旅客运输业务活动。</t>
  </si>
  <si>
    <t>3010301010200000000</t>
  </si>
  <si>
    <t>国际及港澳台地区航空旅客运输服务</t>
  </si>
  <si>
    <t>指通过航空运输方式在境内载运旅客出境、从境外载运旅客入境以及在境外载运旅客的运输业务活动。</t>
  </si>
  <si>
    <t>3010301020100000000</t>
  </si>
  <si>
    <t>国内航空货物运输服务</t>
  </si>
  <si>
    <t>指起运地和目的地都在境内的航空货物运输业务活动。</t>
  </si>
  <si>
    <t>3010301020200000000</t>
  </si>
  <si>
    <t>国际航空货物运输服务</t>
  </si>
  <si>
    <t>指通过航空运输方式从境内载运货物出境、从境外载运货物入境以及在境外载运货物的运输业务活动。</t>
  </si>
  <si>
    <t>3010301020300000000</t>
  </si>
  <si>
    <t>港澳台航空货物运输服务</t>
  </si>
  <si>
    <t>指通过航空运输方式往返香港、澳门、台湾以及在香港、澳门、台湾提供的货物运输业务活动。</t>
  </si>
  <si>
    <t>3010301030100000000</t>
  </si>
  <si>
    <t>航空旅客运输湿租业务</t>
  </si>
  <si>
    <t>指航空运输企业将配备有机组人员的飞机承租给他人使用（主要用于旅客运输）一定期限，承租期内听候承租方调遣，不论是否经营，均按一定标准向承租方收取租赁费，发生的固定费用均由承租方承担的业务。</t>
  </si>
  <si>
    <t>3010301030200000000</t>
  </si>
  <si>
    <t>航空货物运输湿租业务</t>
  </si>
  <si>
    <t>指航空运输企业将配备有机组人员的飞机承租给他人使用（主要用于货物运输）一定期限，承租期内听候承租方调遣，不论是否经营，均按一定标准向承租方收取租赁费，发生的固定费用均由承租方承担的业务。</t>
  </si>
  <si>
    <t>3010302000000000000</t>
  </si>
  <si>
    <t>航天运输服务</t>
  </si>
  <si>
    <t>指利用火箭等载体将卫星、空间探测器等空间飞行器发射到空间轨道的业务活动。</t>
  </si>
  <si>
    <t>3010401010000000000</t>
  </si>
  <si>
    <t>国内液体管道运输服务</t>
  </si>
  <si>
    <t>指起运地和目的地都在境内的液体管道运输业务活动。</t>
  </si>
  <si>
    <t>3010401020000000000</t>
  </si>
  <si>
    <t>国际液体管道运输服务</t>
  </si>
  <si>
    <t>指通过管道运输方式从境内载运液体货物出境、从境外载运液体货物入境以及在境外载运液体货物的运输业务活动。</t>
  </si>
  <si>
    <t>3010401030000000000</t>
  </si>
  <si>
    <t>港澳台液体管道运输服务</t>
  </si>
  <si>
    <t>指利用管道运输方式运送液体货物往返香港、澳门、台湾以及在香港、澳门、台湾运送液体货物的运输业务活动。</t>
  </si>
  <si>
    <t>3010402010000000000</t>
  </si>
  <si>
    <t>国内气体管道运输服务</t>
  </si>
  <si>
    <t>指起运地和目的地都在境内的气体管道运输业务活动。</t>
  </si>
  <si>
    <t>3010402020000000000</t>
  </si>
  <si>
    <t>国际气体管道运输服务</t>
  </si>
  <si>
    <t>指通过管道运输方式从境内载运气体货物出境、从境外载运气体货物入境以及在境外载运气体货物的运输业务活动。</t>
  </si>
  <si>
    <t>3010402030000000000</t>
  </si>
  <si>
    <t>港澳台气体管道运输服务</t>
  </si>
  <si>
    <t>指利用管道运输方式运送气体货物往返香港、澳门、台湾以及在香港、澳门、台湾运送气体货物的运输业务活动。</t>
  </si>
  <si>
    <t>3010403010000000000</t>
  </si>
  <si>
    <t>国内固体管道运输服务</t>
  </si>
  <si>
    <t>指起运地和目的地都在境内的固体管道运输业务活动。</t>
  </si>
  <si>
    <t>3010403020000000000</t>
  </si>
  <si>
    <t>国际固体管道运输服务</t>
  </si>
  <si>
    <t>指通过管道运输方式从境内载运固体货物出境、从境外载运固体货物入境以及在境外载运固体货物的运输业务活动。</t>
  </si>
  <si>
    <t>3010403030000000000</t>
  </si>
  <si>
    <t>港澳台固体管道运输服务</t>
  </si>
  <si>
    <t>指利用管道运输方式运送固体货物往返香港、澳门、台湾的交通运输服务以及在香港、澳门、台湾提供管道运送固体货物的运输业务活动。</t>
  </si>
  <si>
    <t>3010499010000000000</t>
  </si>
  <si>
    <t>国内其他管道运输服务</t>
  </si>
  <si>
    <t>指起运地和目的地都在境内的其他管道运输业务活动。</t>
  </si>
  <si>
    <t>3010499020000000000</t>
  </si>
  <si>
    <t>国际其他管道运输服务</t>
  </si>
  <si>
    <t>指通过管道运输方式在境内载运其他货物出境、从境外载运其他货物入境以及在境外载运其他货物的运输业务活动。</t>
  </si>
  <si>
    <t>3010499030000000000</t>
  </si>
  <si>
    <t>港澳台其他管道运输服务</t>
  </si>
  <si>
    <t>指利用管道运输方式运送其他货物往返香港、澳门、台湾以及在香港、澳门、台湾提供管道运送其他货物的运输业务活动。</t>
  </si>
  <si>
    <t>3010502010100000000</t>
  </si>
  <si>
    <t>无运输工具承运铁路旅客运输服务</t>
  </si>
  <si>
    <t>指经营者以承运人身份与托运人签订铁路旅客运输服务合同，收取运费并承担承运人责任，然后委托实际承运人完成运输服务的经营活动。</t>
  </si>
  <si>
    <t>3010502010200000000</t>
  </si>
  <si>
    <t>无运输工具承运铁路货物运输服务</t>
  </si>
  <si>
    <t>指经营者以承运人身份与托运人签订铁路货物运输服务合同，收取运费并承担承运人责任，然后委托实际承运人完成运输服务的经营活动。</t>
  </si>
  <si>
    <t>3010502020100000000</t>
  </si>
  <si>
    <t>无运输工具承运道路旅客运输服务</t>
  </si>
  <si>
    <t>指经营者以承运人身份与托运人签订道路旅客运输服务合同，收取运费并承担承运人责任，然后委托实际承运人完成运输服务的经营活动。</t>
  </si>
  <si>
    <t>3010502020200000000</t>
  </si>
  <si>
    <t>无运输工具承运道路货物运输服务</t>
  </si>
  <si>
    <t>指经营者以承运人身份与托运人签订道路货物运输服务合同，收取运费并承担承运人责任，然后委托实际承运人完成运输服务的经营活动。</t>
  </si>
  <si>
    <t>3010503010000000000</t>
  </si>
  <si>
    <t>无运输工具承运水路旅客运输服务</t>
  </si>
  <si>
    <t>指经营者以承运人身份与托运人签订水路旅客运输服务合同，收取运费并承担承运人责任，然后委托实际承运人完成运输服务的经营活动。</t>
  </si>
  <si>
    <t>3010503020000000000</t>
  </si>
  <si>
    <t>无运输工具承运水路货物运输服务</t>
  </si>
  <si>
    <t>指经营者以承运人身份与托运人签订水路货物运输服务合同，收取运费并承担承运人责任，然后委托实际承运人完成运输服务的经营活动。</t>
  </si>
  <si>
    <t>3010504010000000000</t>
  </si>
  <si>
    <t>无运输工具承运航空旅客运输服务</t>
  </si>
  <si>
    <t>指经营者以承运人身份与托运人签订航空旅客运输服务合同，收取运费并承担承运人责任，然后委托实际承运人完成运输服务的经营活动。</t>
  </si>
  <si>
    <t>3010504020000000000</t>
  </si>
  <si>
    <t>无运输工具承运航空货物运输服务</t>
  </si>
  <si>
    <t>指经营者以承运人身份与托运人签订航空货物运输服务合同，收取运费并承担承运人责任，然后委托实际承运人完成运输服务的经营活动。</t>
  </si>
  <si>
    <t>3010505000000000000</t>
  </si>
  <si>
    <t>无运输工具承运管道运输服务</t>
  </si>
  <si>
    <t>指经营者以承运人身份与托运人签订管道运输服务合同，收取运费并承担承运人责任，然后委托实际承运人完成运输服务的经营活动。</t>
  </si>
  <si>
    <t>3010506010000000000</t>
  </si>
  <si>
    <t>无运输工具承运旅客联运运输服务</t>
  </si>
  <si>
    <t>指经营者以承运人身份与托运人签订旅客联运运输服务合同，收取运费并承担承运人责任，然后委托实际承运人利用多种运输工具完成运输服务的经营活动。</t>
  </si>
  <si>
    <t>3010506020000000000</t>
  </si>
  <si>
    <t>无运输工具承运货物联运运输服务</t>
  </si>
  <si>
    <t>指经营者以承运人身份与托运人签订货物联运运输服务合同，收取运费并承担承运人责任，然后委托实际承运人利用多种运输工具完成运输服务的经营活动。</t>
  </si>
  <si>
    <t>3010599010000000000</t>
  </si>
  <si>
    <t>其他无运输工具承运旅客运输业务</t>
  </si>
  <si>
    <t>3010599020000000000</t>
  </si>
  <si>
    <t>其他无运输工具承运货物运输业务</t>
  </si>
  <si>
    <t>3010601000000000000</t>
  </si>
  <si>
    <t>旅客联运服务</t>
  </si>
  <si>
    <t>指利用多种运输工具载运旅客的业务活动。</t>
  </si>
  <si>
    <t>3010602000000000000</t>
  </si>
  <si>
    <t>货物联运服务</t>
  </si>
  <si>
    <t>指利用多种运输工具载运货物的业务活动。</t>
  </si>
  <si>
    <t>3019901000000000000</t>
  </si>
  <si>
    <t>其他旅客运输服务</t>
  </si>
  <si>
    <t>3019902000000000000</t>
  </si>
  <si>
    <t>其他货物运输服务</t>
  </si>
  <si>
    <t>邮政服务</t>
  </si>
  <si>
    <t>3020101010000000000</t>
  </si>
  <si>
    <t>函件寄递服务</t>
  </si>
  <si>
    <t>指信函、印刷品、邮资封片卡、无名址函件和邮政小包等的寄递服务业务。</t>
  </si>
  <si>
    <t>3020101020000000000</t>
  </si>
  <si>
    <t>包裹寄递服务</t>
  </si>
  <si>
    <t>指寄递包裹的业务，包裹是指按照封装上的名址递送给特定个人或者单位的独立封装的物品，其重量不超过五十千克，任何一边的尺寸不超过一百五十厘米，长、宽、高合计不超过三百厘米。</t>
  </si>
  <si>
    <t>3020101990000000000</t>
  </si>
  <si>
    <t>其他邮件寄递服务</t>
  </si>
  <si>
    <t>指除函件、包裹以外的邮件寄递服务。</t>
  </si>
  <si>
    <t>3020102000000000000</t>
  </si>
  <si>
    <t>邮票发行服务</t>
  </si>
  <si>
    <t>3020103000000000000</t>
  </si>
  <si>
    <t>报刊发行服务</t>
  </si>
  <si>
    <t>3020104000000000000</t>
  </si>
  <si>
    <t>邮政汇兑</t>
  </si>
  <si>
    <t>3020199000000000000</t>
  </si>
  <si>
    <t>其他邮政普遍服务</t>
  </si>
  <si>
    <t>3020200000000000000</t>
  </si>
  <si>
    <t>邮政特殊服务</t>
  </si>
  <si>
    <t>指义务兵平常信函、机要通信、盲人读物和革命烈士遗物的寄递等业务活动。</t>
  </si>
  <si>
    <t>3020301000000000000</t>
  </si>
  <si>
    <t>邮册等邮品销售服务</t>
  </si>
  <si>
    <t>3020302000000000000</t>
  </si>
  <si>
    <t>邮政代理服务</t>
  </si>
  <si>
    <t>3020399000000000000</t>
  </si>
  <si>
    <t>其他未列邮政服务</t>
  </si>
  <si>
    <t>电信服务</t>
  </si>
  <si>
    <t>3030101000000000000</t>
  </si>
  <si>
    <t>语音通话服务</t>
  </si>
  <si>
    <t>3030102000000000000</t>
  </si>
  <si>
    <t>出租或出售网络元素</t>
  </si>
  <si>
    <t>3030201000000000000</t>
  </si>
  <si>
    <t>短信和彩信服务</t>
  </si>
  <si>
    <t>3030202000000000000</t>
  </si>
  <si>
    <t>电子数据和信息的传输及应用服务</t>
  </si>
  <si>
    <t>3030203000000000000</t>
  </si>
  <si>
    <t>互联网接入服务</t>
  </si>
  <si>
    <t>3030204000000000000</t>
  </si>
  <si>
    <t>广播电视信号传输服务</t>
  </si>
  <si>
    <t>3030205000000000000</t>
  </si>
  <si>
    <t>卫星电视信号落地转接服务</t>
  </si>
  <si>
    <t>3030299000000000000</t>
  </si>
  <si>
    <t>其他增值电信服务</t>
  </si>
  <si>
    <t>指除短信和彩信服务、电子数据和信息的传输及应用服务、互联网接入服务、广播电视信号传输服务以外的增值电信服务。</t>
  </si>
  <si>
    <t>现代服务</t>
  </si>
  <si>
    <t>研发和技术服务</t>
  </si>
  <si>
    <t>3040101000000000000</t>
  </si>
  <si>
    <t>研发服务</t>
  </si>
  <si>
    <t>指就新技术、新产品、新工艺或者新材料及其系统进行研究与试验开发的业务活动。</t>
  </si>
  <si>
    <t>3040103000000000000</t>
  </si>
  <si>
    <t>合同能源管理服务</t>
  </si>
  <si>
    <t>指节能服务公司与用能单位以契约形式约定节能目标，节能服务公司提供必要的服务，用能单位以节能效果支付节能服务公司投入及其合理报酬的业务活动。</t>
  </si>
  <si>
    <t>3040104010000000000</t>
  </si>
  <si>
    <t>工程勘察服务</t>
  </si>
  <si>
    <t>指研究和查明工程建设场地的地质地理环境特征的服务。</t>
  </si>
  <si>
    <t>3040104020100000000</t>
  </si>
  <si>
    <t>矿产地质勘查服务</t>
  </si>
  <si>
    <t>指运用找矿方法、手段系统收集勘查区地质矿产信息资料，了解或查明勘查区地质特征、含矿特征、矿石质量、资源量、采选冶条件等。</t>
  </si>
  <si>
    <t>3040104020200000000</t>
  </si>
  <si>
    <t>基础地质勘查服务</t>
  </si>
  <si>
    <t>指区域、海洋、环境和水文地质勘查活动。</t>
  </si>
  <si>
    <t>3040104029900000000</t>
  </si>
  <si>
    <t>其他地质勘查服务</t>
  </si>
  <si>
    <t>3040105000000000000</t>
  </si>
  <si>
    <t>专业技术服务</t>
  </si>
  <si>
    <t>指气象服务、地震服务、海洋服务、测绘服务、城市规划、环境与生态监测服务等专项技术服务。</t>
  </si>
  <si>
    <t>信息技术服务</t>
  </si>
  <si>
    <t>3040201010000000000</t>
  </si>
  <si>
    <t>软件开发服务</t>
  </si>
  <si>
    <t>包括对基础软件、应用软件、嵌入式软件等软件提供的开发服务。</t>
  </si>
  <si>
    <t>3040201030000000000</t>
  </si>
  <si>
    <t>软件维护服务</t>
  </si>
  <si>
    <t>包括对基础软件、应用软件、嵌入式软件等软件提供的维护服务。</t>
  </si>
  <si>
    <t>3040201050000000000</t>
  </si>
  <si>
    <t>税控技术维护服务</t>
  </si>
  <si>
    <t>服务单位为使用金税盘、税控盘等税控专用设备的纳税人提供的增值税税控系统技术维护服务，不包括增值服务。</t>
  </si>
  <si>
    <t>3040201040000000000</t>
  </si>
  <si>
    <t>软件测试服务</t>
  </si>
  <si>
    <t>包括对基础软件、应用软件、嵌入式软件等软件提供的测试服务。</t>
  </si>
  <si>
    <t>3040201990000000000</t>
  </si>
  <si>
    <t>其他软件服务</t>
  </si>
  <si>
    <t>指除软件开发、软件咨询、软件维护、软件测试以外的其他软件服务。</t>
  </si>
  <si>
    <t>3040202010000000000</t>
  </si>
  <si>
    <t>电路设计服务</t>
  </si>
  <si>
    <t>指对集成电路、电子电路产品等提供的设计服务。</t>
  </si>
  <si>
    <t>3040202020000000000</t>
  </si>
  <si>
    <t>电路测试服务</t>
  </si>
  <si>
    <t>指对集成电路、电子电路产品等提供的测试服务。</t>
  </si>
  <si>
    <t>3040202030000000000</t>
  </si>
  <si>
    <t>相关电路技术支持服务</t>
  </si>
  <si>
    <t>指对集成电路、电子电路产品等提供的技术支持服务。</t>
  </si>
  <si>
    <t>3040203000000000000</t>
  </si>
  <si>
    <t>信息系统服务</t>
  </si>
  <si>
    <t>是指提供信息系统集成、网络管理、网站内容维护、桌面管理与维护、信息系统应用、基础信息技术管理平台整合、信息技术基础设施管理、数据中心、托管中心、信息安全服务、在线杀毒、虚拟主机等业务活动。包括网站对非自有的网络游戏提供的网络运营服务。</t>
  </si>
  <si>
    <t>3040204000000000000</t>
  </si>
  <si>
    <t>业务流程管理服务</t>
  </si>
  <si>
    <t>是指依托信息技术提供的人力资源管理、财务经济管理、审计管理、税务管理、物流信息管理、经营信息管理和呼叫中心等服务的活动。</t>
  </si>
  <si>
    <t>3040205000000000000</t>
  </si>
  <si>
    <t>信息系统增值服务</t>
  </si>
  <si>
    <t>指利用信息系统资源为用户附加提供的信息技术服务。包括数据处理、分析和整合、数据库管理、数据备份、数据存储、容灾服务、电子商务平台等。</t>
  </si>
  <si>
    <t>设计服务</t>
  </si>
  <si>
    <t>3040301010000000000</t>
  </si>
  <si>
    <t>工程设计服务</t>
  </si>
  <si>
    <t>包括为房屋建筑物工程、煤炭工程、化工石化医药工程、石油天然气工程、电力工程、冶金工程、机械工程、商业工程、仓储工程、粮食工程、核工业工程、电子通信广电工程、轻纺工程、建材工程、铁道工程、公路工程、水运工程、民航工程、市政工程、农林工程、水利工程、海洋工程、体育及休闲娱乐工程、室内装饰、专项工程等提供的设计服务。</t>
  </si>
  <si>
    <t>3040301020000000000</t>
  </si>
  <si>
    <t>专业设计服务</t>
  </si>
  <si>
    <t>包括工业设计、造型设计、服装设计、环境设计、平面设计、包装设计、动漫设计、网游设计、展示设计、网站设计、机械设计、广告设计等。2016年5月1日起停用，归入304010403</t>
  </si>
  <si>
    <t>3040301030000000000</t>
  </si>
  <si>
    <t>文印晒图服务</t>
  </si>
  <si>
    <t>3040301990000000000</t>
  </si>
  <si>
    <t>其他设计服务</t>
  </si>
  <si>
    <t>包括创意策划等其他设计服务。</t>
  </si>
  <si>
    <t>3040302000000000000</t>
  </si>
  <si>
    <t>知识产权服务</t>
  </si>
  <si>
    <t>指处理知识产权事务的业务活动。包括对专利、商标、著作权、软件、集成电路布图设计的登记、鉴定、评估、认证、检索服务。</t>
  </si>
  <si>
    <t>广告服务</t>
  </si>
  <si>
    <t>3040303010100000000</t>
  </si>
  <si>
    <t>影视、广播广告发布服务</t>
  </si>
  <si>
    <t>指利用广播、电视、电影等形式进行的广告发布服务。</t>
  </si>
  <si>
    <t>3040303010200000000</t>
  </si>
  <si>
    <t>报纸、杂志广告发布服务</t>
  </si>
  <si>
    <t>指利用图书、报纸、杂志等形式进行的广告发布服务。</t>
  </si>
  <si>
    <t>3040303010300000000</t>
  </si>
  <si>
    <t>灯箱广告发布服务</t>
  </si>
  <si>
    <t>指利用灯箱等形式进行的广告发布服务。</t>
  </si>
  <si>
    <t>3040303010400000000</t>
  </si>
  <si>
    <t>路牌广告发布服务</t>
  </si>
  <si>
    <t>指利用路牌等形式进行的广告发布服务。</t>
  </si>
  <si>
    <t>3040303010500000000</t>
  </si>
  <si>
    <t>建筑物广告发布服务</t>
  </si>
  <si>
    <t>指利用外墙等建筑物结构进行的广告发布服务。</t>
  </si>
  <si>
    <t>3040303010600000000</t>
  </si>
  <si>
    <t>互联网广告发布服务</t>
  </si>
  <si>
    <t>指利用互联网等形式进行的广告发布服务。</t>
  </si>
  <si>
    <t>3040303010700000000</t>
  </si>
  <si>
    <t>流动广告发布服务</t>
  </si>
  <si>
    <t>指利用机动车、非机动车车体等进行的广告发布服务，以及受雇人员身穿广告服装等进行的广告发布服务。</t>
  </si>
  <si>
    <t>3040303019900000000</t>
  </si>
  <si>
    <t>其他广告发布服务</t>
  </si>
  <si>
    <t>广告代理服务</t>
  </si>
  <si>
    <t>3040303020000000000</t>
  </si>
  <si>
    <t>指广告经营者接受广告主或广告发布者委托，从事广告媒介安排等经营活动。</t>
  </si>
  <si>
    <t>会展服务</t>
  </si>
  <si>
    <t>3040304010000000000</t>
  </si>
  <si>
    <t>会议服务</t>
  </si>
  <si>
    <t>包括国际会议服务、国内会议服务及会议中心服务。</t>
  </si>
  <si>
    <t>3040304020000000000</t>
  </si>
  <si>
    <t>展览服务</t>
  </si>
  <si>
    <t>包括为博览会、专业技术产品展览、生活消费品展览、文化产品展览、进出口交易展会、一般产品展会、产品订货展会等提供的展览服务。</t>
  </si>
  <si>
    <t>物流辅助服务</t>
  </si>
  <si>
    <t>3040401010100000000</t>
  </si>
  <si>
    <t>机场服务</t>
  </si>
  <si>
    <t>3040401010200000000</t>
  </si>
  <si>
    <t>空中交通管理服务</t>
  </si>
  <si>
    <t>3040401019900000000</t>
  </si>
  <si>
    <t>其他航空地面服务</t>
  </si>
  <si>
    <t>3040401020100000000</t>
  </si>
  <si>
    <t>航空摄影</t>
  </si>
  <si>
    <t>3040401020200000000</t>
  </si>
  <si>
    <t>航空培训</t>
  </si>
  <si>
    <t>3040401020300000000</t>
  </si>
  <si>
    <t>航空测量</t>
  </si>
  <si>
    <t>3040401020400000000</t>
  </si>
  <si>
    <t>航空勘探</t>
  </si>
  <si>
    <t>3040401020500000000</t>
  </si>
  <si>
    <t>航空护林</t>
  </si>
  <si>
    <t>3040401020600000000</t>
  </si>
  <si>
    <t>航空播洒农药</t>
  </si>
  <si>
    <t>3040401020700000000</t>
  </si>
  <si>
    <t>航空降雨</t>
  </si>
  <si>
    <t>3040401029900000000</t>
  </si>
  <si>
    <t>其他通用航空服务</t>
  </si>
  <si>
    <t>3040402010000000000</t>
  </si>
  <si>
    <t>客运港口码头服务</t>
  </si>
  <si>
    <t>3040402020000000000</t>
  </si>
  <si>
    <t>货运港口码头服务</t>
  </si>
  <si>
    <t>3040402990000000000</t>
  </si>
  <si>
    <t>其他港口码头服务</t>
  </si>
  <si>
    <t>3040403010000000000</t>
  </si>
  <si>
    <t>铁路货运客运场站服务</t>
  </si>
  <si>
    <t>3040403020000000000</t>
  </si>
  <si>
    <t>道路货运客运场站服务</t>
  </si>
  <si>
    <t>3040404000000000000</t>
  </si>
  <si>
    <t>打捞救助服务</t>
  </si>
  <si>
    <t>指提供船舶人员救助、船舶财产救助、水上救助和沉船沉物打捞服务的业务活动。</t>
  </si>
  <si>
    <t>3040407010000000000</t>
  </si>
  <si>
    <t>农产品仓储服务</t>
  </si>
  <si>
    <t>指利用仓库等场所代客贮放、保管粮食、棉花、化肥等农产品的服务。</t>
  </si>
  <si>
    <t>3040407020000000000</t>
  </si>
  <si>
    <t>专业仓储服务</t>
  </si>
  <si>
    <t>指利用仓库等场所代客贮放、保管原油、成品油、燃气、危险品、冷冻食品等的业务活动。</t>
  </si>
  <si>
    <t>3040407030000000000</t>
  </si>
  <si>
    <t>运输货场仓储服务</t>
  </si>
  <si>
    <t>指货运客运场站提供的仓储服务。</t>
  </si>
  <si>
    <t>3040407040000000000</t>
  </si>
  <si>
    <t>商业流通仓储服务</t>
  </si>
  <si>
    <t>包括百货仓储、连锁零售仓储、专卖店仓储等商业流通仓储服务。</t>
  </si>
  <si>
    <t>3040407990000000000</t>
  </si>
  <si>
    <t>其他仓储服务</t>
  </si>
  <si>
    <t>指除农产品仓储、专业仓储、运输货场仓储、商业流通仓储以外的其他仓储服务。</t>
  </si>
  <si>
    <t>3040408000000000000</t>
  </si>
  <si>
    <t>装卸搬运服务</t>
  </si>
  <si>
    <t>指使用装卸搬运工具或人力、畜力将货物在运输工具之间、装卸现场之间或者运输工具与装卸现场之间进行装卸和搬运的业务活动。</t>
  </si>
  <si>
    <t>3040409010000000000</t>
  </si>
  <si>
    <t>收件服务</t>
  </si>
  <si>
    <t>指从寄件人收取函件和包裹，并运送到服务提供方同城的集散中心的业务活动。</t>
  </si>
  <si>
    <t>3040409020000000000</t>
  </si>
  <si>
    <t>分拣服务</t>
  </si>
  <si>
    <t>指服务提供方在其集散中心对函件和包裹进行归类、分发的业务活动。</t>
  </si>
  <si>
    <t>3040409030000000000</t>
  </si>
  <si>
    <t>派送服务</t>
  </si>
  <si>
    <t>指服务提供方从其集散中心将函件和包裹送达同城的收件人的业务活动。</t>
  </si>
  <si>
    <t>快递服务</t>
  </si>
  <si>
    <t>3040409040000000000</t>
  </si>
  <si>
    <t>指快递企业在承诺的时限内完成快件的收寄、分拣、运输、投递服务的业务活动，不包括快递企业仅提供运输服务的业务活动。</t>
  </si>
  <si>
    <t>融资租赁</t>
  </si>
  <si>
    <t>3040501010000000000</t>
  </si>
  <si>
    <t>有形动产融资租赁服务</t>
  </si>
  <si>
    <t>指出租人根据承租人所要求的规格、型号、性能等条件购入有形动产直接租赁给承租人，合同期内设备所有权属于出租人，承租人只拥有使用权，合同期满付清租金后，承租人有权按照残值购入有形动产，以拥有其所有权。</t>
  </si>
  <si>
    <t>3040501030000000000</t>
  </si>
  <si>
    <t>不动产融资租赁服务</t>
  </si>
  <si>
    <t>指承租方以融资为目的，将不动产出售给从事融资租赁业务的企业后，又将该资产租回的业务活动。</t>
  </si>
  <si>
    <t>3040501990000000000</t>
  </si>
  <si>
    <t>其他融资租赁服务</t>
  </si>
  <si>
    <t>指除有形动产和无形动产融资租赁以外的融资租赁服务。</t>
  </si>
  <si>
    <t>经营租赁</t>
  </si>
  <si>
    <t>3040502010100000000</t>
  </si>
  <si>
    <t>光租业务</t>
  </si>
  <si>
    <t>是指运输企业将船舶在约定的时间内出租给他人使用，不配备操作人员，不承担运输过程中发生的各项费用，只收取固定租赁费的业务活动。</t>
  </si>
  <si>
    <t>3040502010200000000</t>
  </si>
  <si>
    <t>干租业务</t>
  </si>
  <si>
    <t>是指航空运输企业将飞机在约定的时间内出租给他人使用，不配备机组人员，不承担运输过程中发生的各项费用，只收取固定租赁费的业务活动。</t>
  </si>
  <si>
    <t>3040502019900000000</t>
  </si>
  <si>
    <t>其他有形动产经营租赁服务</t>
  </si>
  <si>
    <t>指光、干租以外其他有形动产经营租赁服务。</t>
  </si>
  <si>
    <t>3040502020101000000</t>
  </si>
  <si>
    <t>公共住房租赁</t>
  </si>
  <si>
    <t>3040502020102000000</t>
  </si>
  <si>
    <t>个人出租住房</t>
  </si>
  <si>
    <t>3040502020199000000</t>
  </si>
  <si>
    <t>其他住房租赁服务</t>
  </si>
  <si>
    <t>3040502020200000000</t>
  </si>
  <si>
    <t>车辆停放服务</t>
  </si>
  <si>
    <t>指提供停放车辆服务</t>
  </si>
  <si>
    <t>3040502020301000000</t>
  </si>
  <si>
    <t>高速公路通行服务</t>
  </si>
  <si>
    <t>3040502020302000000</t>
  </si>
  <si>
    <t>江河等闸口通行服务</t>
  </si>
  <si>
    <t>3040502020303000000</t>
  </si>
  <si>
    <t>桥梁通行服务</t>
  </si>
  <si>
    <t>3040502020399000000</t>
  </si>
  <si>
    <t>其他道路通行服务</t>
  </si>
  <si>
    <t>3040502020400000000</t>
  </si>
  <si>
    <t>商业营业用房经营租赁服务</t>
  </si>
  <si>
    <t>3040502029901000000</t>
  </si>
  <si>
    <t>军队空余房产租赁服务</t>
  </si>
  <si>
    <t>3040502029902000000</t>
  </si>
  <si>
    <t>其他情形不动产经营租赁服务</t>
  </si>
  <si>
    <t>鉴证咨询服务</t>
  </si>
  <si>
    <t>3040601000000000000</t>
  </si>
  <si>
    <t>认证服务</t>
  </si>
  <si>
    <t>指具有专业资质的单位利用检测、检验、计量等技术，证明产品、服务、管理体系符合相关技术规范、相关技术规范的强制性要求或者标准的业务活动。</t>
  </si>
  <si>
    <t>3040602010000000000</t>
  </si>
  <si>
    <t>工程监理服务</t>
  </si>
  <si>
    <t>3040602040000000000</t>
  </si>
  <si>
    <t>审计服务</t>
  </si>
  <si>
    <t>审查企业会计报表,出具审计报告；验证企业资本,出具验资报告；办理企业合并、分立、清算事宜中的审计业务,出具有关报告；办理法律、行政法规规定的其他审计业务</t>
  </si>
  <si>
    <t>3040602020000000000</t>
  </si>
  <si>
    <t>涉税鉴证</t>
  </si>
  <si>
    <t>3040602030000000000</t>
  </si>
  <si>
    <t>纳税情况审查</t>
  </si>
  <si>
    <t>3040602990000000000</t>
  </si>
  <si>
    <t>其他鉴证服务</t>
  </si>
  <si>
    <t>3040603060000000000</t>
  </si>
  <si>
    <t>会计咨询</t>
  </si>
  <si>
    <t>3040603070000000000</t>
  </si>
  <si>
    <t>法律咨询</t>
  </si>
  <si>
    <t>3040603010000000000</t>
  </si>
  <si>
    <t>一般税务咨询</t>
  </si>
  <si>
    <t>3040603020000000000</t>
  </si>
  <si>
    <t>专业税务顾问</t>
  </si>
  <si>
    <t>3040603030000000000</t>
  </si>
  <si>
    <t>税务合规计划</t>
  </si>
  <si>
    <t>3040603040000000000</t>
  </si>
  <si>
    <t>其他税务代理</t>
  </si>
  <si>
    <t>3040603990000000000</t>
  </si>
  <si>
    <t>其他咨询服务</t>
  </si>
  <si>
    <t>3040603050000000000</t>
  </si>
  <si>
    <t>会计服务</t>
  </si>
  <si>
    <t>广播影视服务</t>
  </si>
  <si>
    <t>3040701010000000000</t>
  </si>
  <si>
    <t>广播节目制作服务</t>
  </si>
  <si>
    <t>指广播电台的制作服务，以及专门为广播电台制作节目的服务。</t>
  </si>
  <si>
    <t>3040701020000000000</t>
  </si>
  <si>
    <t>电视节目制作服务</t>
  </si>
  <si>
    <t>指电视台的制作服务，以及专门为电视台制作节目的服务。</t>
  </si>
  <si>
    <t>3040701030000000000</t>
  </si>
  <si>
    <t>电影制作服务</t>
  </si>
  <si>
    <t>指电影节目和作品的制作服务。</t>
  </si>
  <si>
    <t>3040701040000000000</t>
  </si>
  <si>
    <t>音像制作服务</t>
  </si>
  <si>
    <t>指音像节目和作品的制作服务。</t>
  </si>
  <si>
    <t>3040702010000000000</t>
  </si>
  <si>
    <t>广播节目发行服务</t>
  </si>
  <si>
    <t>指以分账、买断、委托、代理等方式，向单位和个人发行广播节目（作品）以及转让体育赛事等活动的报道及播映权的业务活动。</t>
  </si>
  <si>
    <t>3040702020000000000</t>
  </si>
  <si>
    <t>电视节目发行服务</t>
  </si>
  <si>
    <t>指以分账、买断、委托、代理等方式，向单位和个人发行电视节目（作品）以及转让体育赛事等活动的报道及播映权的业务活动。</t>
  </si>
  <si>
    <t>3040702030000000000</t>
  </si>
  <si>
    <t>电影发行服务</t>
  </si>
  <si>
    <t>指以分账、买断、委托、代理等方式，向单位和个人发行电影节目（作品）的业务活动。</t>
  </si>
  <si>
    <t>3040703010000000000</t>
  </si>
  <si>
    <t>广播节目播出服务</t>
  </si>
  <si>
    <t>指通过电台等无线或有线装置播映广播节目（作品）的业务活动，包括通过互联网播出广播节目（作品）。</t>
  </si>
  <si>
    <t>3040703020000000000</t>
  </si>
  <si>
    <t>电视节目播出服务</t>
  </si>
  <si>
    <t>指通过电视台、有线电视等无线或有线装置播映电视节目（作品）的业务活动，包括通过互联网播出电视节目。</t>
  </si>
  <si>
    <t>3040703030100000000</t>
  </si>
  <si>
    <t>现场电影放映服务</t>
  </si>
  <si>
    <t>指电影院线、普通影院、露天影院及录像等现场电影放映服务。</t>
  </si>
  <si>
    <t>3040703030200000000</t>
  </si>
  <si>
    <t>互联网电影播出服务</t>
  </si>
  <si>
    <t>指通过互联网播出电影的业务活动。</t>
  </si>
  <si>
    <t>企业管理服务</t>
  </si>
  <si>
    <t>3040801010000000000</t>
  </si>
  <si>
    <t>物业管理服务</t>
  </si>
  <si>
    <t>3040801990000000000</t>
  </si>
  <si>
    <t>其他企业管理服务</t>
  </si>
  <si>
    <t>经纪代理服务</t>
  </si>
  <si>
    <t>3040802010100000000</t>
  </si>
  <si>
    <t>国内货物运输代理服务</t>
  </si>
  <si>
    <t>指提供国内货物运输代理服务。</t>
  </si>
  <si>
    <t>3040802010200000000</t>
  </si>
  <si>
    <t>国际货物运输代理服务</t>
  </si>
  <si>
    <t>指提供国际货物运输代理服务。</t>
  </si>
  <si>
    <t>3040802010300000000</t>
  </si>
  <si>
    <t>港澳台货物运输代理服务</t>
  </si>
  <si>
    <t>指港澳台货物运输代理服务。</t>
  </si>
  <si>
    <t>3040802019900000000</t>
  </si>
  <si>
    <t>其他货物运输代理服务</t>
  </si>
  <si>
    <t>除货物运输代理服务外其他经纪代理服务。</t>
  </si>
  <si>
    <t>3040802020000000000</t>
  </si>
  <si>
    <t>代理报关服务</t>
  </si>
  <si>
    <t>指接受进出口货物的收、发货人委托，代为办理报关手续的业务活动。</t>
  </si>
  <si>
    <t>3040802030000000000</t>
  </si>
  <si>
    <t>婚姻介绍服务</t>
  </si>
  <si>
    <t>3040802050000000000</t>
  </si>
  <si>
    <t>纳税申报代办</t>
  </si>
  <si>
    <t>3040802060000000000</t>
  </si>
  <si>
    <t>其他税务事项代办</t>
  </si>
  <si>
    <t>3040802070200000000</t>
  </si>
  <si>
    <t>非诉讼代理</t>
  </si>
  <si>
    <t>接受委托，参加调解、仲裁活动；接受委托，提供非诉讼法律服务；代写诉讼文书和有关法律事务的其他文书</t>
  </si>
  <si>
    <t>3040802070100000000</t>
  </si>
  <si>
    <t>诉讼代理</t>
  </si>
  <si>
    <t>接受刑事案件犯罪嫌疑人、被告人的委托或者依法接受法律援助机构的指派，担任辩护人，接受自诉案件自诉人、公诉案件被害人或者其近亲属的委托，担任代理人，参加诉讼</t>
  </si>
  <si>
    <t>3040802080000000000</t>
  </si>
  <si>
    <t>代理记账</t>
  </si>
  <si>
    <t>根据委托人提供的原始凭证和其他相关资料，按照国家统一的会计制度的规定进行会计核算，包括审核原始凭证、填制记账凭证、登记会计账簿、编制财务会计报告等；对外提供财务会计报告；委托人委托的其他会计业务</t>
  </si>
  <si>
    <t>3040802990000000000</t>
  </si>
  <si>
    <t>其他经纪代理服务</t>
  </si>
  <si>
    <t>人力资源服务</t>
  </si>
  <si>
    <t>3040803010000000000</t>
  </si>
  <si>
    <t>劳务派遣服务</t>
  </si>
  <si>
    <t>3040803990000000000</t>
  </si>
  <si>
    <t>其他人力资源服务</t>
  </si>
  <si>
    <t>安全保护服务</t>
  </si>
  <si>
    <t>3040804000000000000</t>
  </si>
  <si>
    <t>指提供保护人身安全和财产安全，维护社会治安等的业务活动。包括场所住宅保安、特种保安、安全系统监控以及其他安保服务。</t>
  </si>
  <si>
    <t>3049900000000000000</t>
  </si>
  <si>
    <t>其他现代服务</t>
  </si>
  <si>
    <t>指除研发和技术服务、信息技术服务、文化创意服务、物流辅助服务、租赁服务、鉴证咨询服务、广播影视服务和商务辅助服务以外的现代服务。</t>
  </si>
  <si>
    <t>建筑服务</t>
  </si>
  <si>
    <t>3050100000000000000</t>
  </si>
  <si>
    <t>工程服务</t>
  </si>
  <si>
    <t>指新建、改建各种建筑物、构筑物的工程作业，包括与建筑物相连的各种设备或者支柱、操作平台的安装或者装设工程作业，以及各种窑炉和金属结构工程作业。</t>
  </si>
  <si>
    <t>3050200000000000000</t>
  </si>
  <si>
    <t>安装服务</t>
  </si>
  <si>
    <t>指生产设备、动力设备、起重设备、运输设备、传动设备、医疗实验设备以及其他各种设备、设施的装配、安置工程作业，包括与被安装设备相连的工作台、梯子、栏杆的装设工程作业，以及被安装设备的绝缘、防腐、保温、油漆等工程作业。包括固定电话、有线电视、宽带、水、电、燃气、暖气等经营者向用户收取的安装费、初装费、开户费、扩容费以及类似收费。</t>
  </si>
  <si>
    <t>3050300000000000000</t>
  </si>
  <si>
    <t>修缮服务</t>
  </si>
  <si>
    <t>指对建筑物、构筑物进行修补、加固、养护、改善，使之恢复原来的使用价值或者延长期使用期限的工程作业。</t>
  </si>
  <si>
    <t>3050400000000000000</t>
  </si>
  <si>
    <t>装饰服务</t>
  </si>
  <si>
    <t>指对建筑物、构筑物进行修饰装修，使之美观或者具有特定用途的工程作业。</t>
  </si>
  <si>
    <t>3059900000000000000</t>
  </si>
  <si>
    <t>其他建筑服务</t>
  </si>
  <si>
    <t>指上列工程作业之外的各种工程作业服务，如钻井（打井）、拆除建筑物或者构筑物、平整土地、园林绿化、疏浚（不包括航道疏浚）、建筑物平移、搭脚手架、爆破、矿山穿孔、表面附着物（包括岩层、土层、沙层等）剥离和清理劳务等工程作业。</t>
  </si>
  <si>
    <t>金融服务</t>
  </si>
  <si>
    <t>3060101000000000000</t>
  </si>
  <si>
    <t>金融同业往来业务</t>
  </si>
  <si>
    <t>3060102000000000000</t>
  </si>
  <si>
    <t>金融机构农户小额贷款</t>
  </si>
  <si>
    <t>3060103000000000000</t>
  </si>
  <si>
    <t>国家助学贷款</t>
  </si>
  <si>
    <t>3060104000000000000</t>
  </si>
  <si>
    <t>国债</t>
  </si>
  <si>
    <t>3060105000000000000</t>
  </si>
  <si>
    <t>地方政府债</t>
  </si>
  <si>
    <t>3060106000000000000</t>
  </si>
  <si>
    <t>住房公积金个人住房贷款</t>
  </si>
  <si>
    <t>3060107000000000000</t>
  </si>
  <si>
    <t>外汇局外汇贷款</t>
  </si>
  <si>
    <t>3060108000000000000</t>
  </si>
  <si>
    <t>统借统还</t>
  </si>
  <si>
    <t>3060109010000000000</t>
  </si>
  <si>
    <t>有形动产融资性售后回租</t>
  </si>
  <si>
    <t>3060109020000000000</t>
  </si>
  <si>
    <t>不动产融资性售后回租</t>
  </si>
  <si>
    <t>3060109990000000000</t>
  </si>
  <si>
    <t>其他融资性售后回租</t>
  </si>
  <si>
    <t>3060110010000000000</t>
  </si>
  <si>
    <t>企业贷款</t>
  </si>
  <si>
    <t>向企业客户发放贷款业务。</t>
  </si>
  <si>
    <t>3060110020000000000</t>
  </si>
  <si>
    <t>个人贷款</t>
  </si>
  <si>
    <t>向个人客户发放贷款以及票据贴现业务。</t>
  </si>
  <si>
    <t>3060110030000000000</t>
  </si>
  <si>
    <t>票据贴现</t>
  </si>
  <si>
    <t>向企业和个人等客户票据贴现业务。</t>
  </si>
  <si>
    <t>3060199000000000000</t>
  </si>
  <si>
    <t>其他贷款服务</t>
  </si>
  <si>
    <t>3060200000000000000</t>
  </si>
  <si>
    <t>直接收费金融服务</t>
  </si>
  <si>
    <t>指为货币资金融通及其他金融业务提供相关服务并且收取费用的业务活动。包括提供货币兑换、账户管理、电子银行、信用卡、信用证、财务担保、资产管理、信托管理、基金管理、金融商品交易、资金结算、资金清算、金融支付等服务。</t>
  </si>
  <si>
    <t>保险服务</t>
  </si>
  <si>
    <t>3060301010000000000</t>
  </si>
  <si>
    <t>一年期以上的返还性人身保险和健康保险服务</t>
  </si>
  <si>
    <t>3060301990000000000</t>
  </si>
  <si>
    <t>其他人身保险服务</t>
  </si>
  <si>
    <t>3060302010000000000</t>
  </si>
  <si>
    <t>出口货物保险服务</t>
  </si>
  <si>
    <t>3060302020000000000</t>
  </si>
  <si>
    <t>机动车交通事故责任强制保险服务</t>
  </si>
  <si>
    <t>3060302030000000000</t>
  </si>
  <si>
    <t>农牧业保险服务</t>
  </si>
  <si>
    <t>3060302040000000000</t>
  </si>
  <si>
    <t>国际航运保险服务</t>
  </si>
  <si>
    <t>3060302990000000000</t>
  </si>
  <si>
    <t>其他财产保险服务</t>
  </si>
  <si>
    <t>3060401000000000000</t>
  </si>
  <si>
    <t>股票转让</t>
  </si>
  <si>
    <t>3060402000000000000</t>
  </si>
  <si>
    <t>债券转让</t>
  </si>
  <si>
    <t>3060403000000000000</t>
  </si>
  <si>
    <t>外汇转让</t>
  </si>
  <si>
    <t>3060499000000000000</t>
  </si>
  <si>
    <t>其他金融商品转让</t>
  </si>
  <si>
    <t>包括基金、信托、理财产品等各类资产管理产品和各种金融衍生品的转让。</t>
  </si>
  <si>
    <t>生活服务</t>
  </si>
  <si>
    <t>文化服务</t>
  </si>
  <si>
    <t>3070101000000000000</t>
  </si>
  <si>
    <t>指为满足社会公众文化生活需求提供的各种服务。包括文艺创作、文艺表演、文化比赛、图书馆的图书和资料借阅、档案馆的档案管理、文物及非物质文化遗产保护、组织举办宗教活动、科技活动、文化活动。</t>
  </si>
  <si>
    <t>体育服务</t>
  </si>
  <si>
    <t>3070102000000000000</t>
  </si>
  <si>
    <t>指组织举办体育比赛、体育表演、体育活动，提供体育训练、体育指导、体育管理的业务活动。</t>
  </si>
  <si>
    <t>学历教育服务</t>
  </si>
  <si>
    <t>3070201010000000000</t>
  </si>
  <si>
    <t>指根据教育行政管理部门确定或者认可的招生和教学计划组织教学，并颁发相应学历证书的业务活动。包括初等教育、初级中等教育、高级中等教育、高等教育等。</t>
  </si>
  <si>
    <t>非学历教育服务</t>
  </si>
  <si>
    <t>3070201020000000000</t>
  </si>
  <si>
    <t>包括学前教育、各类培训、演讲、讲座、报告会等。</t>
  </si>
  <si>
    <t>代办境外考试服务费</t>
  </si>
  <si>
    <t>3070201030100000000</t>
  </si>
  <si>
    <t>教育部考试中心及其直属单位代办境外单位考试服务费</t>
  </si>
  <si>
    <t>其他教育辅助服务</t>
  </si>
  <si>
    <t>3070201039900000000</t>
  </si>
  <si>
    <t>医疗服务</t>
  </si>
  <si>
    <t>3070202000000000000</t>
  </si>
  <si>
    <t>指提供医学检查、诊断、治疗、康复、预防、保健、接生、计划生育、防疫服务等方面的服务，以及与这些服务有关的提供药品、医用材料器具、救护车、病房住宿和伙食的业务。</t>
  </si>
  <si>
    <t>旅游服务</t>
  </si>
  <si>
    <t>3070301000000000000</t>
  </si>
  <si>
    <t>指根据旅游者的要求，组织安排交通、游览、住宿、餐饮、购物、文娱、商务等服务的业务活动。</t>
  </si>
  <si>
    <t>娱乐服务</t>
  </si>
  <si>
    <t>3070302000000000000</t>
  </si>
  <si>
    <t>指为娱乐活动同时提供场所和服务的业务，包括：歌厅、舞厅、夜总会、酒吧、台球、高尔夫球、保龄球、游艺（射击、狩猎、跑马、游戏机、蹦极、卡丁车、热气球、动力伞、射箭、飞镖）。</t>
  </si>
  <si>
    <t>餐饮服务</t>
  </si>
  <si>
    <t>3070401000000000000</t>
  </si>
  <si>
    <t>指通过同时提供饮食和饮食场所的方式为消费者提供饮食消费服务的业务活动。</t>
  </si>
  <si>
    <t>住宿服务</t>
  </si>
  <si>
    <t>3070402000000000000</t>
  </si>
  <si>
    <t>指提供住宿场所及配套服务等的活动。包括宾馆、旅馆、旅社、度假村和其他经营性住宿场所提供的住宿服务。</t>
  </si>
  <si>
    <t>3070501000000000000</t>
  </si>
  <si>
    <t>殡葬服务</t>
  </si>
  <si>
    <t>3070502000000000000</t>
  </si>
  <si>
    <t>养老服务</t>
  </si>
  <si>
    <t>3070503000000000000</t>
  </si>
  <si>
    <t>员工制家政服务</t>
  </si>
  <si>
    <t>3070504000000000000</t>
  </si>
  <si>
    <t>育养服务</t>
  </si>
  <si>
    <t>托儿所、幼儿园、残疾人福利机构提供的育养服务。</t>
  </si>
  <si>
    <t>3070599000000000000</t>
  </si>
  <si>
    <t>其他居民日常服务</t>
  </si>
  <si>
    <t>3079900000000000000</t>
  </si>
  <si>
    <t>其他生活服务</t>
  </si>
  <si>
    <t>指除文化体育服务、教育医疗服务、旅游娱乐服务、餐饮住宿服务和居民日常服务之外的生活服务。</t>
  </si>
  <si>
    <t>无形资产</t>
  </si>
  <si>
    <t>技术</t>
  </si>
  <si>
    <t>4010100000000000000</t>
  </si>
  <si>
    <t>专利技术</t>
  </si>
  <si>
    <t>4010200000000000000</t>
  </si>
  <si>
    <t>非专利技术</t>
  </si>
  <si>
    <t>商标</t>
  </si>
  <si>
    <t>4020000000000000000</t>
  </si>
  <si>
    <t>著作权</t>
  </si>
  <si>
    <t>4030000000000000000</t>
  </si>
  <si>
    <t>商誉</t>
  </si>
  <si>
    <t>4040000000000000000</t>
  </si>
  <si>
    <t>土地使用权</t>
  </si>
  <si>
    <t>4050101000000000000</t>
  </si>
  <si>
    <t>出让土地使用权</t>
  </si>
  <si>
    <t>4050102000000000000</t>
  </si>
  <si>
    <t>收回土地使用权</t>
  </si>
  <si>
    <t>4050199000000000000</t>
  </si>
  <si>
    <t>其他土地使用权</t>
  </si>
  <si>
    <t>探矿权</t>
  </si>
  <si>
    <t>4050200000000000000</t>
  </si>
  <si>
    <t>采矿权</t>
  </si>
  <si>
    <t>4050300000000000000</t>
  </si>
  <si>
    <t>自然资源使用权</t>
  </si>
  <si>
    <t>4059900000000000000</t>
  </si>
  <si>
    <t>其他自然资源使用权</t>
  </si>
  <si>
    <t>其他权益性无形资产</t>
  </si>
  <si>
    <t>碳排放交易配额</t>
  </si>
  <si>
    <t>4060101000000000000</t>
  </si>
  <si>
    <t>碳排放配额、核证自愿减排量等。</t>
  </si>
  <si>
    <t>其他配额</t>
  </si>
  <si>
    <t>4060199000000000000</t>
  </si>
  <si>
    <t>碳排放交易配额以外的其他配额</t>
  </si>
  <si>
    <t>4069900000000000000</t>
  </si>
  <si>
    <t>其他未列明权益性无形资产</t>
  </si>
  <si>
    <t>基础设施资产经营权、公共事业特许权、经营权（包括特许经营权、连锁经营权、其他经营权）、经销权、分销权、代理权、会员权、席位权、网络游戏虚拟道具、域名、名称权、肖像权、冠名权、转会费等。</t>
  </si>
  <si>
    <t>不动产</t>
  </si>
  <si>
    <t>住宅</t>
  </si>
  <si>
    <t>5010101000000000000</t>
  </si>
  <si>
    <t>房地产开发住宅</t>
  </si>
  <si>
    <t>房地产企业开发的住宅（不含房改房）</t>
  </si>
  <si>
    <t>5010102000000000000</t>
  </si>
  <si>
    <t>取得的住宅</t>
  </si>
  <si>
    <t>以直接购买、接受捐赠、接受投资入股、自建以及抵债等各种形式取得的住宅。</t>
  </si>
  <si>
    <t>5010103000000000000</t>
  </si>
  <si>
    <t>房改房</t>
  </si>
  <si>
    <t>为了配合国家住房制度改革，企业、行政事业单位按房改成本价、标准价出售的住房。</t>
  </si>
  <si>
    <t>5010199000000000000</t>
  </si>
  <si>
    <t>其他住房</t>
  </si>
  <si>
    <t>商业营业用房</t>
  </si>
  <si>
    <t>5010201000000000000</t>
  </si>
  <si>
    <t>房地产开发商业用房</t>
  </si>
  <si>
    <t>房地产企业开发的商业营业用房</t>
  </si>
  <si>
    <t>5010202000000000000</t>
  </si>
  <si>
    <t>取得的商业用房</t>
  </si>
  <si>
    <t>以直接购买、接受捐赠、接受投资入股、自建以及抵债等各种形式取得的商业营业用房。</t>
  </si>
  <si>
    <t>5010299000000000000</t>
  </si>
  <si>
    <t>其他商业用房</t>
  </si>
  <si>
    <t>其他建筑物</t>
  </si>
  <si>
    <t>5019900000000000000</t>
  </si>
  <si>
    <t>指住宅、商业营业用房以外的建筑物,包括工业厂房、仓库、办公楼、学校、教堂、寺庙等。</t>
  </si>
  <si>
    <t>构筑物</t>
  </si>
  <si>
    <t>5020000000000000000</t>
  </si>
  <si>
    <t>包括道路、桥梁、隧道、水坝等建造物。</t>
  </si>
  <si>
    <t>其他不动产</t>
  </si>
  <si>
    <t>5030000000000000000</t>
  </si>
  <si>
    <t>建筑物、构筑物以外的不动产。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</si>
</sst>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宋体"/>
      <charset val="134"/>
      <scheme val="minor"/>
    </font>
    <font>
      <sz val="11"/>
      <color indexed="8"/>
      <name val="宋体"/>
      <charset val="134"/>
    </font>
    <font>
      <b/>
      <sz val="10"/>
      <color indexed="8"/>
      <name val="宋体"/>
      <charset val="134"/>
    </font>
    <font>
      <sz val="8"/>
      <color indexed="8"/>
      <name val="宋体"/>
      <charset val="134"/>
    </font>
    <font>
      <sz val="8"/>
      <color theme="1"/>
      <name val="宋体"/>
      <charset val="134"/>
      <scheme val="minor"/>
    </font>
    <font>
      <sz val="9"/>
      <color theme="1"/>
      <name val="宋体"/>
      <charset val="134"/>
      <scheme val="minor"/>
    </font>
    <font>
      <sz val="8"/>
      <name val="宋体"/>
      <charset val="134"/>
    </font>
    <font>
      <sz val="10"/>
      <color indexed="8"/>
      <name val="宋体"/>
      <charset val="134"/>
    </font>
    <font>
      <sz val="12"/>
      <name val="宋体"/>
      <charset val="134"/>
    </font>
    <font>
      <sz val="9"/>
      <name val="宋体"/>
      <charset val="134"/>
      <scheme val="minor"/>
    </font>
  </fonts>
  <fills count="5">
    <fill>
      <patternFill patternType="none"/>
    </fill>
    <fill>
      <patternFill patternType="gray125"/>
    </fill>
    <fill>
      <patternFill patternType="solid">
        <fgColor theme="4" tint="0.39994506668294322"/>
        <bgColor indexed="8"/>
      </patternFill>
    </fill>
    <fill>
      <patternFill patternType="solid">
        <fgColor rgb="FFFFFF00"/>
        <bgColor indexed="8"/>
      </patternFill>
    </fill>
    <fill>
      <patternFill patternType="solid">
        <fgColor indexed="9"/>
        <bgColor indexed="8"/>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8" fillId="0" borderId="0"/>
    <xf numFmtId="0" fontId="8" fillId="0" borderId="0">
      <alignment vertical="center"/>
    </xf>
  </cellStyleXfs>
  <cellXfs count="17">
    <xf numFmtId="0" fontId="0" fillId="0" borderId="0" xfId="0">
      <alignment vertical="center"/>
    </xf>
    <xf numFmtId="0" fontId="1" fillId="0" borderId="0" xfId="1" applyFont="1" applyAlignment="1">
      <alignment horizontal="center" vertical="center"/>
    </xf>
    <xf numFmtId="0" fontId="1" fillId="0" borderId="0" xfId="1" applyFont="1" applyAlignment="1">
      <alignment vertical="center"/>
    </xf>
    <xf numFmtId="49" fontId="2" fillId="2" borderId="1" xfId="1" applyNumberFormat="1" applyFont="1" applyFill="1" applyBorder="1" applyAlignment="1">
      <alignment horizontal="center" vertical="center"/>
    </xf>
    <xf numFmtId="49" fontId="2" fillId="2" borderId="1" xfId="2" applyNumberFormat="1" applyFont="1" applyFill="1" applyBorder="1" applyAlignment="1">
      <alignment horizontal="center" vertical="center"/>
    </xf>
    <xf numFmtId="49" fontId="3" fillId="0" borderId="1" xfId="1" applyNumberFormat="1" applyFont="1" applyBorder="1" applyAlignment="1">
      <alignment horizontal="center" vertical="center"/>
    </xf>
    <xf numFmtId="49" fontId="3" fillId="0" borderId="1" xfId="1" applyNumberFormat="1" applyFont="1" applyBorder="1" applyAlignment="1">
      <alignment vertical="center"/>
    </xf>
    <xf numFmtId="49" fontId="2" fillId="3" borderId="1" xfId="1" applyNumberFormat="1" applyFont="1" applyFill="1" applyBorder="1" applyAlignment="1">
      <alignment horizontal="center" vertical="center"/>
    </xf>
    <xf numFmtId="49" fontId="2" fillId="3" borderId="1" xfId="2" applyNumberFormat="1" applyFont="1" applyFill="1" applyBorder="1" applyAlignment="1">
      <alignment horizontal="center" vertical="center"/>
    </xf>
    <xf numFmtId="0" fontId="3" fillId="0" borderId="1" xfId="1" applyFont="1" applyBorder="1" applyAlignment="1">
      <alignment vertical="center"/>
    </xf>
    <xf numFmtId="0" fontId="4" fillId="0" borderId="1" xfId="0" applyFont="1" applyBorder="1">
      <alignment vertical="center"/>
    </xf>
    <xf numFmtId="0" fontId="5" fillId="0" borderId="1" xfId="0" applyFont="1" applyBorder="1">
      <alignment vertical="center"/>
    </xf>
    <xf numFmtId="0" fontId="6" fillId="0" borderId="0" xfId="0" applyFont="1">
      <alignment vertical="center"/>
    </xf>
    <xf numFmtId="49" fontId="7" fillId="4" borderId="0" xfId="1" applyNumberFormat="1" applyFont="1" applyFill="1" applyAlignment="1">
      <alignment vertical="center"/>
    </xf>
    <xf numFmtId="0" fontId="1" fillId="0" borderId="0" xfId="1" applyFont="1"/>
    <xf numFmtId="0" fontId="3" fillId="0" borderId="0" xfId="1" applyFont="1"/>
    <xf numFmtId="0" fontId="3" fillId="0" borderId="1" xfId="1" applyFont="1" applyBorder="1"/>
  </cellXfs>
  <cellStyles count="3">
    <cellStyle name="常规" xfId="0" builtinId="0"/>
    <cellStyle name="常规 13" xfId="1" xr:uid="{00000000-0005-0000-0000-000031000000}"/>
    <cellStyle name="常规 3" xfId="2" xr:uid="{00000000-0005-0000-0000-000032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eoLiang\Downloads\2022&#34892;&#19994;&#25490;&#25918;&#22240;&#2337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LeoLiang\Downloads\2022%20&#34892;&#19994;&#25490;&#25918;&#22240;&#23376;_&#20013;&#25991;&#2925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LeoLiang\Downloads\&#26381;&#21153;&#31867;&#30446;&#34892;&#19994;&#20998;&#31867;&#32467;&#26524;%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完整分类结果"/>
      <sheetName val="行业分布统计"/>
      <sheetName val="分类规则说明"/>
    </sheetNames>
    <sheetDataSet>
      <sheetData sheetId="0">
        <row r="1">
          <cell r="E1" t="str">
            <v>货物和劳务名称</v>
          </cell>
          <cell r="F1" t="str">
            <v>说明</v>
          </cell>
          <cell r="G1" t="str">
            <v>所属前44行业</v>
          </cell>
        </row>
        <row r="2">
          <cell r="E2" t="str">
            <v>稻谷</v>
          </cell>
          <cell r="F2" t="str">
            <v>包括早籼稻、晚籼稻、中籼稻、粳稻、糯稻、其他稻谷。</v>
          </cell>
          <cell r="G2" t="str">
            <v>农、林、牧、渔及水利业</v>
          </cell>
        </row>
        <row r="3">
          <cell r="E3" t="str">
            <v>小麦</v>
          </cell>
          <cell r="F3" t="str">
            <v>包括硬质小麦、软质小麦、其他小麦。</v>
          </cell>
          <cell r="G3" t="str">
            <v>农、林、牧、渔及水利业</v>
          </cell>
        </row>
        <row r="4">
          <cell r="E4" t="str">
            <v>玉米</v>
          </cell>
          <cell r="F4" t="str">
            <v>包括白玉米、黄玉米、糯玉米、甜玉米、其他玉米。</v>
          </cell>
          <cell r="G4" t="str">
            <v>农、林、牧、渔及水利业</v>
          </cell>
        </row>
        <row r="5">
          <cell r="E5" t="str">
            <v>谷子</v>
          </cell>
          <cell r="F5" t="str">
            <v>包括硬谷子、糯谷子、其他谷子。</v>
          </cell>
          <cell r="G5" t="str">
            <v>农、林、牧、渔及水利业</v>
          </cell>
        </row>
        <row r="6">
          <cell r="E6" t="str">
            <v>高粱</v>
          </cell>
          <cell r="F6" t="str">
            <v>包括红粒高粱、白粒高粱、糯高粱、其他高粱。</v>
          </cell>
          <cell r="G6" t="str">
            <v>农、林、牧、渔及水利业</v>
          </cell>
        </row>
        <row r="7">
          <cell r="E7" t="str">
            <v>大麦</v>
          </cell>
          <cell r="F7" t="str">
            <v>包括裸大麦、皮大麦。</v>
          </cell>
          <cell r="G7" t="str">
            <v>农、林、牧、渔及水利业</v>
          </cell>
        </row>
        <row r="8">
          <cell r="E8" t="str">
            <v>燕麦</v>
          </cell>
          <cell r="F8" t="str">
            <v>包括裸燕麦、皮燕麦。</v>
          </cell>
          <cell r="G8" t="str">
            <v>农、林、牧、渔及水利业</v>
          </cell>
        </row>
        <row r="9">
          <cell r="E9" t="str">
            <v>黑麦</v>
          </cell>
          <cell r="F9" t="str">
            <v>无说明</v>
          </cell>
          <cell r="G9" t="str">
            <v>农、林、牧、渔及水利业</v>
          </cell>
        </row>
        <row r="10">
          <cell r="E10" t="str">
            <v>荞麦</v>
          </cell>
          <cell r="F10" t="str">
            <v>包括甜荞麦、苦荞麦。</v>
          </cell>
          <cell r="G10" t="str">
            <v>农、林、牧、渔及水利业</v>
          </cell>
        </row>
        <row r="11">
          <cell r="E11" t="str">
            <v>其他谷物</v>
          </cell>
          <cell r="F11" t="str">
            <v>包括糜子（硬糜子、糯糜子）、紫米、薏苡等。</v>
          </cell>
          <cell r="G11" t="str">
            <v>农、林、牧、渔及水利业</v>
          </cell>
        </row>
        <row r="12">
          <cell r="E12" t="str">
            <v>马铃薯</v>
          </cell>
          <cell r="F12" t="str">
            <v>又称土豆、山药蛋。</v>
          </cell>
          <cell r="G12" t="str">
            <v>农、林、牧、渔及水利业</v>
          </cell>
        </row>
        <row r="13">
          <cell r="E13" t="str">
            <v>木薯</v>
          </cell>
          <cell r="F13" t="str">
            <v>包括鲜木薯、木薯干、其他木薯。</v>
          </cell>
          <cell r="G13" t="str">
            <v>农、林、牧、渔及水利业</v>
          </cell>
        </row>
        <row r="14">
          <cell r="E14" t="str">
            <v>甘薯</v>
          </cell>
          <cell r="F14" t="str">
            <v>又称红薯、白薯、地瓜、番薯、包括甘薯干、其他鲜甘薯。</v>
          </cell>
          <cell r="G14" t="str">
            <v>农、林、牧、渔及水利业</v>
          </cell>
        </row>
        <row r="15">
          <cell r="E15" t="str">
            <v>其他薯类</v>
          </cell>
          <cell r="F15" t="str">
            <v>指其他未列明薯类。</v>
          </cell>
          <cell r="G15" t="str">
            <v>农、林、牧、渔及水利业</v>
          </cell>
        </row>
        <row r="16">
          <cell r="E16" t="str">
            <v>花生</v>
          </cell>
          <cell r="F16" t="str">
            <v>包括带壳花生、花生仁。</v>
          </cell>
          <cell r="G16" t="str">
            <v>农、林、牧、渔及水利业</v>
          </cell>
        </row>
        <row r="17">
          <cell r="E17" t="str">
            <v>油菜籽</v>
          </cell>
          <cell r="F17" t="str">
            <v>包括双低油菜籽（指低硫苷、低芥酸油菜籽）、其他油菜籽。</v>
          </cell>
          <cell r="G17" t="str">
            <v>农、林、牧、渔及水利业</v>
          </cell>
        </row>
        <row r="18">
          <cell r="E18" t="str">
            <v>芝麻</v>
          </cell>
          <cell r="F18" t="str">
            <v>包括白芝麻、黑芝麻、黄芝麻。</v>
          </cell>
          <cell r="G18" t="str">
            <v>农、林、牧、渔及水利业</v>
          </cell>
        </row>
        <row r="19">
          <cell r="E19" t="str">
            <v>其他油料</v>
          </cell>
          <cell r="F19" t="str">
            <v>其他含油子仁及果实，如胡麻籽、棉籽、蓖麻籽、芥子、红花籽、油棕果及油棕仁、罂粟子、油橄榄果、油茶籽（油料）等。</v>
          </cell>
          <cell r="G19" t="str">
            <v>农、林、牧、渔及水利业</v>
          </cell>
        </row>
        <row r="20">
          <cell r="E20" t="str">
            <v>大豆</v>
          </cell>
          <cell r="F20" t="str">
            <v>包括黄大豆、黑大豆、青大豆、褐红大豆、双青豆、青仁乌豆、小黑豆、其他大豆。</v>
          </cell>
          <cell r="G20" t="str">
            <v>农、林、牧、渔及水利业</v>
          </cell>
        </row>
        <row r="21">
          <cell r="E21" t="str">
            <v>绿豆</v>
          </cell>
          <cell r="F21" t="str">
            <v>包括明绿豆、毛绿豆。</v>
          </cell>
          <cell r="G21" t="str">
            <v>农、林、牧、渔及水利业</v>
          </cell>
        </row>
        <row r="22">
          <cell r="E22" t="str">
            <v>其他杂豆</v>
          </cell>
          <cell r="F22" t="str">
            <v>其他杂豆、包括小豆、干豌豆、小扁豆、干蚕豆、芸豆、饭豆、干豇豆、鹰嘴豆、其他杂豆，但不包括种用其他杂豆（详见101011904）。</v>
          </cell>
          <cell r="G22" t="str">
            <v>农、林、牧、渔及水利业</v>
          </cell>
        </row>
        <row r="23">
          <cell r="E23" t="str">
            <v>棉花</v>
          </cell>
          <cell r="F23" t="str">
            <v>不论是否轧过、具体包括籽棉、皮棉（细绒棉皮棉、长绒棉皮棉）、其他棉花。</v>
          </cell>
          <cell r="G23" t="str">
            <v>农、林、牧、渔及水利业</v>
          </cell>
        </row>
        <row r="24">
          <cell r="E24" t="str">
            <v>生麻</v>
          </cell>
          <cell r="F24" t="str">
            <v>包括生亚麻、生苎麻、生黄红麻、生线麻、生苘麻、生大麻、生剑麻、其他生麻。</v>
          </cell>
          <cell r="G24" t="str">
            <v>农、林、牧、渔及水利业</v>
          </cell>
        </row>
        <row r="25">
          <cell r="E25" t="str">
            <v>甘蔗</v>
          </cell>
          <cell r="F25" t="str">
            <v>无说明</v>
          </cell>
          <cell r="G25" t="str">
            <v>农、林、牧、渔及水利业</v>
          </cell>
        </row>
        <row r="26">
          <cell r="E26" t="str">
            <v>甜菜</v>
          </cell>
          <cell r="F26" t="str">
            <v>无说明</v>
          </cell>
          <cell r="G26" t="str">
            <v>农、林、牧、渔及水利业</v>
          </cell>
        </row>
        <row r="27">
          <cell r="E27" t="str">
            <v>其他糖料</v>
          </cell>
          <cell r="F27" t="str">
            <v>无说明</v>
          </cell>
          <cell r="G27" t="str">
            <v>农、林、牧、渔及水利业</v>
          </cell>
        </row>
        <row r="28">
          <cell r="E28" t="str">
            <v>未去梗烤烟叶</v>
          </cell>
          <cell r="F28" t="str">
            <v>指初烤未去梗烤烟叶，不包括复烤烟叶（详见1030401）。</v>
          </cell>
          <cell r="G28" t="str">
            <v>农、林、牧、渔及水利业</v>
          </cell>
        </row>
        <row r="29">
          <cell r="E29" t="str">
            <v>其他未加工烟草</v>
          </cell>
          <cell r="F29" t="str">
            <v>指其他未加工烟草，包括未去梗晒烟叶、未去梗晾烟叶、未去梗白肋烟、其他未加工烟草。</v>
          </cell>
          <cell r="G29" t="str">
            <v>农、林、牧、渔及水利业</v>
          </cell>
        </row>
        <row r="30">
          <cell r="E30" t="str">
            <v>饲料牧草</v>
          </cell>
          <cell r="F30" t="str">
            <v>包括苜蓿干草、羊草、沙打旺、其他饲料牧草。</v>
          </cell>
          <cell r="G30" t="str">
            <v>农、林、牧、渔及水利业</v>
          </cell>
        </row>
        <row r="31">
          <cell r="E31" t="str">
            <v>其他饲料作物</v>
          </cell>
          <cell r="F31" t="str">
            <v>包括青饲料、其他饲料作物。</v>
          </cell>
          <cell r="G31" t="str">
            <v>农、林、牧、渔及水利业</v>
          </cell>
        </row>
        <row r="32">
          <cell r="E32" t="str">
            <v>水生植物类</v>
          </cell>
          <cell r="F32" t="str">
            <v>包括芦苇、席草、苇子、莲子、蒲草、慈姑、其他水生植物类。</v>
          </cell>
          <cell r="G32" t="str">
            <v>农、林、牧、渔及水利业</v>
          </cell>
        </row>
        <row r="33">
          <cell r="E33" t="str">
            <v>作物茎、秆、根</v>
          </cell>
          <cell r="F33" t="str">
            <v>包括稻草、麦秸、谷壳、谷子秸、玉米秸、高粱秸、薯藤、大豆秸、花生蔓、油菜籽秆、芝麻秆、向日葵秆、棉花秆、麻秆、烟秆、其他作物茎、杆、根。</v>
          </cell>
          <cell r="G33" t="str">
            <v>农、林、牧、渔及水利业</v>
          </cell>
        </row>
        <row r="34">
          <cell r="E34" t="str">
            <v>其他农作物副产品</v>
          </cell>
          <cell r="F34" t="str">
            <v>包括红黑瓜籽、园参籽等。</v>
          </cell>
          <cell r="G34" t="str">
            <v>农、林、牧、渔及水利业</v>
          </cell>
        </row>
        <row r="35">
          <cell r="E35" t="str">
            <v>萝卜等根菜类蔬菜</v>
          </cell>
          <cell r="F35" t="str">
            <v>包括萝卜（别名：葖、芦菔、莱菔）、胡萝卜（别名：红萝卜、黄萝卜、丁香萝卜、药性萝卜、番萝卜）、芜菁（别名：蔓菁、圆根、盘菜）、芜菁甘蓝（别名：洋蔓菁、洋疙瘩、洋大头菜）、根菾菜（别名：红菜头、紫菜头）、美洲防风（别名：欧防风芹菜萝卜、蒲芹萝卜）、牛蒡（别名：东洋萝卜、蝙蝠刺、大力子）、根芹菜（别名：根洋芹菜、球根塘蒿）、婆罗门参（别名：西洋牛蒡、蒜叶婆罗门参）、山葵）、黑婆罗门参（别名：菊牛蒡、鸦葱）。</v>
          </cell>
          <cell r="G35" t="str">
            <v>农、林、牧、渔及水利业</v>
          </cell>
        </row>
        <row r="36">
          <cell r="E36" t="str">
            <v>山药等薯芋类蔬菜</v>
          </cell>
          <cell r="F36" t="str">
            <v>包括姜（别名：生姜、黄姜）、芋（别名：芋头、芋艿、毛芋）、魔芋（别名：磨芋、蒟蒻）、山药（别名：薯蓣、白苕、脚板苕、山薯、大薯、佛掌薯）、豆薯（别名：地瓜、凉薯、沙葛、新罗葛）、葛、菊芋（别名：洋姜、鬼子姜）、菜用土圞儿（别名：香芋、美洲土圞儿）、蕉芋（别名：蕉藕、姜芋、食用美人蕉、食用莲蕉）、草石蚕（别名：螺丝菜、宝塔菜、甘露儿、地蚕）。不包括马铃薯（详见101010201）、甘薯（详见101010203）。</v>
          </cell>
          <cell r="G36" t="str">
            <v>农、林、牧、渔及水利业</v>
          </cell>
        </row>
        <row r="37">
          <cell r="E37" t="str">
            <v>葱蒜类蔬菜</v>
          </cell>
          <cell r="F37" t="str">
            <v>包括韭（别名：草钟乳、起阳草、懒人菜、韭黄）、大葱（别名：木葱、汉葱）、洋葱（别名：葱头、圆葱）、大蒜（别名：胡蒜、蒜）、蒜薹（别名：蒜苔）、蒜苗（别名：蒜黄、青蒜）、分葱（别名：四季葱、菜葱、冬葱）、胡葱（别名：蒜头葱、瓣子葱、火葱、肉葱）、细香葱（别名：四季葱、香葱、蝦夷葱）、韭葱（别名：扁葱、扁叶葱、洋蒜苗）、楼葱（别名：龙爪葱、龙角葱）、蕹（别名：藠头、藠子、莱芝）。</v>
          </cell>
          <cell r="G37" t="str">
            <v>农、林、牧、渔及水利业</v>
          </cell>
        </row>
        <row r="38">
          <cell r="E38" t="str">
            <v>白菜类蔬菜</v>
          </cell>
          <cell r="F38" t="str">
            <v>包括大白菜（别名：结球白菜、黄芽菜、包心白菜）、普通白菜（别名：白菜、小白菜、青菜、油菜）、乌塌菜（别名：榻菜、塌棵菜、榻地菘、黑菜）、菜薹（别名：菜心、绿菜薹、菜尖）、薹菜、紫菜薹（别名：红菜薹）。</v>
          </cell>
          <cell r="G38" t="str">
            <v>农、林、牧、渔及水利业</v>
          </cell>
        </row>
        <row r="39">
          <cell r="E39" t="str">
            <v>芥菜类蔬菜</v>
          </cell>
          <cell r="F39" t="str">
            <v>包括茎芥（别名：茎瘤芥、青菜头、菜头、包包菜、羊角菜、菱角菜、抱子芥、儿菜、娃娃菜、笋子芥、棒菜）、叶芥（别名：青菜、苦菜、春菜、辣菜、雪里蕻）、根芥（别名：辣疙瘩、冲菜、芥头、大头菜、疙瘩菜）、薹芥。</v>
          </cell>
          <cell r="G39" t="str">
            <v>农、林、牧、渔及水利业</v>
          </cell>
        </row>
        <row r="40">
          <cell r="E40" t="str">
            <v>甘蓝类蔬菜</v>
          </cell>
          <cell r="F40" t="str">
            <v>包括结球甘蓝（别名：洋白菜、卷心菜、包心菜、椰菜、莲花白、包包白、圆白菜、茴子白）、球茎甘蓝（别名：苤蓝、菘、玉蔓菁、芥蓝头、擘蓝）、花椰菜（别名：花菜、菜花）、青花菜（别名：木立花椰菜、意大利花椰菜、嫩茎花椰菜、绿菜花、西兰花）、芥蓝（别名：白花芥蓝）、抱子甘蓝（别名：芽甘蓝、子持甘蓝）、羽衣甘蓝（别名：绿叶甘蓝、菜用羽衣甘蓝、叶牡丹、花包菜）。</v>
          </cell>
          <cell r="G40" t="str">
            <v>农、林、牧、渔及水利业</v>
          </cell>
        </row>
        <row r="41">
          <cell r="E41" t="str">
            <v>芹菜等叶菜类蔬菜</v>
          </cell>
          <cell r="F41" t="str">
            <v>包括菠菜（别名：菠稜菜、赤根菜、角菜、波斯草）、莴苣（别名：千金菜、莴笋、生菜、青笋、莴苣笋、莴菜、油麦菜、莜麦菜）、芹菜（别名：芹、药芹、苦堇、堇葵、堇菜、旱芹）、蕹菜（别名：空心菜、竹叶菜、通菜、藤菜、蓊菜）、苋菜（别名：米苋、赤苋、刺苋、青香苋、苋）、叶菾菜（别名：莙荙菜、牛皮菜、厚皮菜、光菜、叶甜菜）、菊苣（别名：欧洲菊苣、苞菜、吉康菜、法国莒荬菜）、冬寒菜（别名：冬苋菜、冬葵、葵菜、滑肠菜）、落葵（别名：木耳菜、软浆叶、软姜子、染浆叶、胭脂豆、豆腐菜、藤菜、紫果菜）、茼蒿（别名：蒿子秆、大叶茼蒿、蓬蒿、春菊）、芫荽（别名：香菜、胡荽、香荽）、茴香（别名：小茴香、香丝菜、结球茴香、鲜茎茴香、甜茴香）、菊花脑（别名：菊花叶、黄菊籽、路边黄、黄菊仔）、荠菜（别名：护生草、菱角菜、地米草、扇子草）、菜苜蓿（别名：草头、金花菜、黄花苜蓿、刺苜蓿、南苜蓿、黄花草子）、番杏（别名：新西兰菠菜、洋菠菜、夏菠菜、白番苋、海滨莴苣、宾菜、蔓菜）、苦苣（别名：花叶生菜、花苣）、紫背天葵（别名：血皮菜、紫背菜、红凤菜、观音苋、双色三七草）、罗勒（别名：毛罗勒、九层塔、零陵香、兰香草、光明子、省头草）、马齿苋（别名：马齿菜、长命菜、五行草、瓜子菜、马蛇子菜）、紫苏（别名：荏、赤苏、白苏、香苏、苏叶、桂荏、回回苏）、榆钱菠菜（别名：食用滨藜、洋菠菜、山菠菜、山菠薐草）、薄荷（别名：山野薄荷、蕃荷菜）、莳萝（别名：土茴香、草茴香、小茴香）、鸭儿芹（别名：鸭脚板、三叶芹、山芹菜、野蜀葵、三蜀葵、水芹菜）、蕺菜（别名：鱼腥草、蕺儿根、侧耳根、狗帖耳、鱼鳞草、菹菜）、蒲公英（别名：黄花苗、黄花地丁、婆婆丁、蒲公草）、马兰（别名：马兰头、红梗菜、紫菊、田边菊、马兰菊、鸡儿肠、竹节草）、香芹菜（别名：荷兰芹、洋芫荽、欧芹、法国香菜、旱芹菜）、珍珠菜（别名：角菜、白苞蒿、山芹菜、珍珠花菜、甜菜子、鸭脚艾、乳白艾）。</v>
          </cell>
          <cell r="G41" t="str">
            <v>农、林、牧、渔及水利业</v>
          </cell>
        </row>
        <row r="42">
          <cell r="E42" t="str">
            <v>瓜类蔬菜</v>
          </cell>
          <cell r="F42" t="str">
            <v>包括黄瓜（别名：王瓜、胡瓜）、冬瓜（别名：东瓜）、节瓜（别名：毛瓜）、南瓜（别名：中国南瓜、倭瓜、番瓜、饭瓜）、笋瓜（别名：印度南瓜、玉瓜、北瓜）、西葫芦（别名：美洲南瓜、蔓瓜、白瓜、香瓜）、越瓜（别名：白瓜、脆瓜、酥瓜、梢瓜）、菜瓜（别名：蛇甜瓜、老羊瓜、酱瓜）、丝瓜（别名：圆筒丝瓜、蛮瓜、水瓜、棱角丝瓜、胜瓜）、苦瓜（别名：凉瓜）、瓠瓜（别名：扁蒲、葫芦、蒲瓜、夜开花、瓠子）、佛手瓜（别名：洋丝瓜、合掌瓜、菜肴梨、瓦瓜、万年瓜、拳头瓜）、蛇瓜（别名：蛇豆、蛇丝瓜、长豆角）。</v>
          </cell>
          <cell r="G42" t="str">
            <v>农、林、牧、渔及水利业</v>
          </cell>
        </row>
        <row r="43">
          <cell r="E43" t="str">
            <v>番茄等茄果类蔬菜</v>
          </cell>
          <cell r="F43" t="str">
            <v>包括番茄（别名：西红柿、番柿、柿子、洋柿子）、茄子（别名：落苏）、辣椒（别名：海椒、辣子、辣角、番椒）、青椒（别名：大椒、灯笼椒、柿子椒、彩色甜椒、甜椒）、酸浆（别名：红姑娘、洋姑娘、灯笼草、洛神珠）。</v>
          </cell>
          <cell r="G43" t="str">
            <v>农、林、牧、渔及水利业</v>
          </cell>
        </row>
        <row r="44">
          <cell r="E44" t="str">
            <v>菜豆等豆类蔬菜</v>
          </cell>
          <cell r="F44" t="str">
            <v>包括菜豆（别名：四季豆、芸豆、芸扁豆、豆角、刀豆、敏豆、玉豆、油豆）、长豇豆（别名：长豆角、豆角、带豆、裙带豆）、菜用大豆（别名：毛豆、枝豆）、豌豆（别名：青斑豆、麻豆、青小豆、荷兰豆、淮豆、留豆、金豆、麦豆、回回豆、甜豌豆）、蚕豆（别名：胡豆、佛豆、寒豆、罗汉豆）、扁豆（别名：峨眉豆、沿篱豆、眉豆、肉豆、龙爪豆）、莱豆（别名：金甲豆、科马豆、荷豆、玉豆、雪豆、洋扁豆、白豆、状元豆、棉豆、荷包豆）、刀豆（别名：大刀豆、关刀豆、洋刀豆）、多花菜豆（别名：红花菜豆、大白芸豆、大花芸豆、看花豆）、四棱豆（别名：翼豆、翅豆、四角豆、杨桃豆、热带大豆、四稔豆）、藜豆（别名：黧豆、黎豆、猫猫豆、毛毛豆、毛胡豆、毛狗豆、小狗豆、狸豆、八升豆、狗爪豆）。不包括干豆类（详见1010104）。</v>
          </cell>
          <cell r="G44" t="str">
            <v>农、林、牧、渔及水利业</v>
          </cell>
        </row>
        <row r="45">
          <cell r="E45" t="str">
            <v>莲藕等水生蔬菜</v>
          </cell>
          <cell r="F45" t="str">
            <v>包括莲藕（别名：莲、藕、荷）、茭白（别名：茭瓜、茭笋、菰首）、慈姑（别名：剪刀草、燕尾草）、水芹（别名：刀芹、楚葵、蜀芹、紫堇、蕲）、荸荠（别名：马蹄、地栗、乌芋、凫茈）、菱（别名：菱角、龙角、水栗）、豆瓣菜（别名：西洋菜、水田芥、水蔊菜）、芡实（别名：鸡头米、鸡头、水底黄蜂）、莼菜（别名：马蹄草、水葵、水荷叶、湖菜、露葵）、蒲菜（别名：香蒲、甘蒲）、海带（别名：江白菜、昆布）、紫菜。</v>
          </cell>
          <cell r="G45" t="str">
            <v>农、林、牧、渔及水利业</v>
          </cell>
        </row>
        <row r="46">
          <cell r="E46" t="str">
            <v>竹笋等多年生及杂类蔬菜</v>
          </cell>
          <cell r="F46" t="str">
            <v>包括笋用竹（别名：竹笋）、芦笋（别名：石刁柏、龙须菜）、黄花菜（别名：萱草、金针菜）、百合（别名：夜合、中篷花）、香椿（别名：香椿树、红椿、椿花、椿甜树）、枸杞（别名：枸杞菜、枸杞头、枸杞芽）、蘘荷（别名：阳霍、野姜、蘘草、茗荷、苴蓴）、菜蓟（别名：朝鲜蓟、洋蓟、荷兰百合、法国百合）、辣根（别名：西洋山萮菜、山葵萝卜）、食用大黄（别名：原叶大黄、圆叶大黄）、黄秋葵（别名：秋葵、羊角豆）、桔梗（别名：地参、四叶菜、绿花根、铃铛花、沙油菜、梗草、道拉基）、蕨（别名：蕨菜、蕨苔、龙头菜、蕨儿菜鹿蕨菜）、乾苔（别名：发菜、头发菜、石发）、蒌蒿（别名：芦蒿、水蒿、香艾蒿、小艾、水艾）、薇菜（别名：野豌豆、大巢菜、斑矛架、野苕子）、车前草（别名：车轮菜、牛舌菜、蛤蟆衣）、食用菊（别名：甘菊、臭菊）、玉米笋（别名：玉笋、多穗玉米、珍珠笋、番麦笋）。不包括嫩玉米、糯玉米、甜玉米（详见101010103）。</v>
          </cell>
          <cell r="G46" t="str">
            <v>农、林、牧、渔及水利业</v>
          </cell>
        </row>
        <row r="47">
          <cell r="E47" t="str">
            <v>香菇等食用菌</v>
          </cell>
          <cell r="F47" t="str">
            <v>包括香菇（别名：香蕈、冬菇、花菇）、双孢蘑菇（别名：蘑菇、白蘑菇、双孢菇、洋菇、褐蘑菇、棕色蘑菇）、糙皮侧耳（别名：平菇、北风菌、青蘑、桐子菌）、草菇（别名：兰花菇、美味包脚菇、秆菇、麻菇、中国蘑菇）、金针菇（别名：毛柄金钱菇、冬菇、朴菇、朴菰）、黑木耳（别名：木耳、光木耳、云耳）、银耳（别名：白木耳、雪耳）、猴头菇（别名：猴头蘑、刺猬菌）、毛头鬼伞（别名：鸡腿蘑、鸡腿菇）、姬松茸（别名：巴西蘑菇、巴氏蘑菇）、茶薪菇（别名：杨树菇、柱状田头菇、柳环菌、茶树菇）、真姬菇（别名：玉蕈、斑玉蕈、蟹味菇、胶玉蘑、鸿喜菇、海鲜菇）、灰树花（别名：贝叶多孔菌、云蕈、栗蘑、舞茸、莲花菌、千佛菌）、滑菇（别名：珍珠菇、光帽鳞伞、滑子蘑）、刺芹侧耳（别名：雪茸、干贝菇、杏鲍菇）、白灵侧耳（别名：白灵菇）、阿魏侧耳（别名：阿魏菇）、盖襄侧耳（别名：台湾平菇、鲍鱼菇）、毛木耳、竹荪（别名：长裙竹荪、短裙竹荪、棘托竹荪）、肺形侧耳（别名：姬菇、秀珍菇、小平菇）、金顶侧耳（别名：榆黄蘑、玉皇菇）、大球盖菇、长根菇、大杯蕈（别名：猪肚菇）、洛巴伊口蘑（别名：金福菇）、北冬虫夏草（别名：蛹虫草）、牛肝菌、松茸、鸡枞。</v>
          </cell>
          <cell r="G47" t="str">
            <v>农、林、牧、渔及水利业</v>
          </cell>
        </row>
        <row r="48">
          <cell r="E48" t="str">
            <v>绿豆芽等芽苗菜</v>
          </cell>
          <cell r="F48" t="str">
            <v>包括绿豆芽（别名：绿豆芽幼芽）、黄豆芽（别名：黄豆幼芽）、黑豆芽（别名：黑豆幼芽）、青豆芽（别名：青豆幼芽）、红豆芽（别名：红豆幼芽）、蚕豆芽（别名：蚕豆幼芽）、红小豆苗（别名：红小豆幼芽）、豌豆苗（别名：豌豆幼芽）、花生芽（别名：花生幼芽）、苜蓿芽（别名：苜蓿幼芽或幼苗）、小扁豆芽（别名：小扁豆幼芽或幼苗）、萝卜芽（别名：萝卜芽幼苗）、菘蓝芽（别名：菘蓝幼芽或幼苗）、沙芥芽（别名：沙芥幼芽或幼苗）、芥菜芽（别名：芥菜幼芽或幼苗）、芥蓝芽（别名：芥蓝幼芽或幼苗）、白菜芽（别名：白菜幼芽或幼苗）、独行菜芽（别名：独行菜幼苗）、香椿苗（别名：香椿幼苗）、向日葵芽（别名：向日葵幼芽）、荞麦芽（别名：荞麦幼苗）、胡椒芽（别名：胡椒幼芽或幼苗）、紫苏芽（别名：紫苏幼芽或幼苗）、水芹芽（别名：水芹幼苗）、小麦苗（别名：小麦幼苗）、胡麻芽（别名：胡麻幼芽或幼苗）、蕹菜芽（别名：蕹菜幼苗）、芝麻芽（别名：芝麻幼芽或幼苗）、黄秋葵芽（别名：黄秋葵幼苗）、花椒脑（别名：花椒嫩芽）。</v>
          </cell>
          <cell r="G48" t="str">
            <v>农、林、牧、渔及水利业</v>
          </cell>
        </row>
        <row r="49">
          <cell r="E49" t="str">
            <v>其他蔬菜</v>
          </cell>
          <cell r="F49" t="str">
            <v>无说明</v>
          </cell>
          <cell r="G49" t="str">
            <v>农、林、牧、渔及水利业</v>
          </cell>
        </row>
        <row r="50">
          <cell r="E50" t="str">
            <v>盆栽花</v>
          </cell>
          <cell r="F50" t="str">
            <v>包括鳞茎、块茎、块根、球茎、根颈及根茎等花卉。</v>
          </cell>
          <cell r="G50" t="str">
            <v>农、林、牧、渔及水利业</v>
          </cell>
        </row>
        <row r="51">
          <cell r="E51" t="str">
            <v>鲜切花及花蕾</v>
          </cell>
          <cell r="F51" t="str">
            <v>包括康乃馨、满天星、勿忘我、玫瑰、情人草、紫罗兰、月季、香石竹、唐菖蒲、百合花、非洲菊、补血草、马蹄莲、火鹤、其他鲜切花及花蕾。</v>
          </cell>
          <cell r="G51" t="str">
            <v>农、林、牧、渔及水利业</v>
          </cell>
        </row>
        <row r="52">
          <cell r="E52" t="str">
            <v>切叶</v>
          </cell>
          <cell r="F52" t="str">
            <v>包括肾蕨、散尾葵、苏铁、富贵竹、龟背竹、其他切叶。</v>
          </cell>
          <cell r="G52" t="str">
            <v>农、林、牧、渔及水利业</v>
          </cell>
        </row>
        <row r="53">
          <cell r="E53" t="str">
            <v>切枝</v>
          </cell>
          <cell r="F53" t="str">
            <v>包括银芽柳、其他切枝。</v>
          </cell>
          <cell r="G53" t="str">
            <v>农、林、牧、渔及水利业</v>
          </cell>
        </row>
        <row r="54">
          <cell r="E54" t="str">
            <v>干燥花</v>
          </cell>
          <cell r="F54" t="str">
            <v>指经过干制处理的花卉。</v>
          </cell>
          <cell r="G54" t="str">
            <v>农、林、牧、渔及水利业</v>
          </cell>
        </row>
        <row r="55">
          <cell r="E55" t="str">
            <v>盆栽观叶植物</v>
          </cell>
          <cell r="F55" t="str">
            <v>包括龙血树（巴西木）、马拉巴栗（发财树）、喜林芋、绿萝、变叶木、袖珍椰子、盆栽散尾葵、绿巨人、花叶万年青（黛粉）、竹芋、白鹤芋、花叶芋、亮丝草、其他盆栽观叶植物。</v>
          </cell>
          <cell r="G55" t="str">
            <v>农、林、牧、渔及水利业</v>
          </cell>
        </row>
        <row r="56">
          <cell r="E56" t="str">
            <v>草皮</v>
          </cell>
          <cell r="F56" t="str">
            <v>无说明</v>
          </cell>
          <cell r="G56" t="str">
            <v>农、林、牧、渔及水利业</v>
          </cell>
        </row>
        <row r="57">
          <cell r="E57" t="str">
            <v>草坪</v>
          </cell>
          <cell r="F57" t="str">
            <v>无说明</v>
          </cell>
          <cell r="G57" t="str">
            <v>农、林、牧、渔及水利业</v>
          </cell>
        </row>
        <row r="58">
          <cell r="E58" t="str">
            <v>其他盆景及园艺产品</v>
          </cell>
          <cell r="F58" t="str">
            <v>无说明</v>
          </cell>
          <cell r="G58" t="str">
            <v>农、林、牧、渔及水利业</v>
          </cell>
        </row>
        <row r="59">
          <cell r="E59" t="str">
            <v>苹果</v>
          </cell>
          <cell r="F59" t="str">
            <v>包括红富士苹果、国光苹果、秦冠苹果、香蕉苹果、金冠苹果、元帅苹果、新红星苹果、其他苹果。</v>
          </cell>
          <cell r="G59" t="str">
            <v>农、林、牧、渔及水利业</v>
          </cell>
        </row>
        <row r="60">
          <cell r="E60" t="str">
            <v>梨</v>
          </cell>
          <cell r="F60" t="str">
            <v>包括雪花梨、鸭梨、酥梨、香梨、苹果梨、黄冠梨、绿宝石梨、冬果梨、贡梨、黄花梨、其他梨。</v>
          </cell>
          <cell r="G60" t="str">
            <v>农、林、牧、渔及水利业</v>
          </cell>
        </row>
        <row r="61">
          <cell r="E61" t="str">
            <v>柑橘类水果</v>
          </cell>
          <cell r="F61" t="str">
            <v>包括柑、橘、橙、柚、柠檬等。</v>
          </cell>
          <cell r="G61" t="str">
            <v>农、林、牧、渔及水利业</v>
          </cell>
        </row>
        <row r="62">
          <cell r="E62" t="str">
            <v>葡萄</v>
          </cell>
          <cell r="F62" t="str">
            <v>指鲜葡萄，包括巨峰葡萄、玫瑰香葡萄、白葡萄、龙眼葡萄、木纳格葡萄、红提葡萄、酿造葡萄、其他葡萄。</v>
          </cell>
          <cell r="G62" t="str">
            <v>农、林、牧、渔及水利业</v>
          </cell>
        </row>
        <row r="63">
          <cell r="E63" t="str">
            <v>香蕉</v>
          </cell>
          <cell r="F63" t="str">
            <v>包括芭蕉。</v>
          </cell>
          <cell r="G63" t="str">
            <v>农、林、牧、渔及水利业</v>
          </cell>
        </row>
        <row r="64">
          <cell r="E64" t="str">
            <v>菠萝</v>
          </cell>
          <cell r="F64" t="str">
            <v>无说明</v>
          </cell>
          <cell r="G64" t="str">
            <v>农、林、牧、渔及水利业</v>
          </cell>
        </row>
        <row r="65">
          <cell r="E65" t="str">
            <v>龙眼</v>
          </cell>
          <cell r="F65" t="str">
            <v>无说明</v>
          </cell>
          <cell r="G65" t="str">
            <v>农、林、牧、渔及水利业</v>
          </cell>
        </row>
        <row r="66">
          <cell r="E66" t="str">
            <v>荔枝</v>
          </cell>
          <cell r="F66" t="str">
            <v>无说明</v>
          </cell>
          <cell r="G66" t="str">
            <v>农、林、牧、渔及水利业</v>
          </cell>
        </row>
        <row r="67">
          <cell r="E67" t="str">
            <v>枇杷</v>
          </cell>
          <cell r="F67" t="str">
            <v>无说明</v>
          </cell>
          <cell r="G67" t="str">
            <v>农、林、牧、渔及水利业</v>
          </cell>
        </row>
        <row r="68">
          <cell r="E68" t="str">
            <v>红毛丹</v>
          </cell>
          <cell r="F68" t="str">
            <v>无说明</v>
          </cell>
          <cell r="G68" t="str">
            <v>农、林、牧、渔及水利业</v>
          </cell>
        </row>
        <row r="69">
          <cell r="E69" t="str">
            <v>芒果</v>
          </cell>
          <cell r="F69" t="str">
            <v>无说明</v>
          </cell>
          <cell r="G69" t="str">
            <v>农、林、牧、渔及水利业</v>
          </cell>
        </row>
        <row r="70">
          <cell r="E70" t="str">
            <v>橄榄</v>
          </cell>
          <cell r="F70" t="str">
            <v>无说明</v>
          </cell>
          <cell r="G70" t="str">
            <v>农、林、牧、渔及水利业</v>
          </cell>
        </row>
        <row r="71">
          <cell r="E71" t="str">
            <v>无花果</v>
          </cell>
          <cell r="F71" t="str">
            <v>无说明</v>
          </cell>
          <cell r="G71" t="str">
            <v>农、林、牧、渔及水利业</v>
          </cell>
        </row>
        <row r="72">
          <cell r="E72" t="str">
            <v>鳄梨</v>
          </cell>
          <cell r="F72" t="str">
            <v>无说明</v>
          </cell>
          <cell r="G72" t="str">
            <v>农、林、牧、渔及水利业</v>
          </cell>
        </row>
        <row r="73">
          <cell r="E73" t="str">
            <v>番石榴</v>
          </cell>
          <cell r="F73" t="str">
            <v>无说明</v>
          </cell>
          <cell r="G73" t="str">
            <v>农、林、牧、渔及水利业</v>
          </cell>
        </row>
        <row r="74">
          <cell r="E74" t="str">
            <v>山竹果</v>
          </cell>
          <cell r="F74" t="str">
            <v>无说明</v>
          </cell>
          <cell r="G74" t="str">
            <v>农、林、牧、渔及水利业</v>
          </cell>
        </row>
        <row r="75">
          <cell r="E75" t="str">
            <v>杨桃</v>
          </cell>
          <cell r="F75" t="str">
            <v>无说明</v>
          </cell>
          <cell r="G75" t="str">
            <v>农、林、牧、渔及水利业</v>
          </cell>
        </row>
        <row r="76">
          <cell r="E76" t="str">
            <v>莲雾</v>
          </cell>
          <cell r="F76" t="str">
            <v>无说明</v>
          </cell>
          <cell r="G76" t="str">
            <v>农、林、牧、渔及水利业</v>
          </cell>
        </row>
        <row r="77">
          <cell r="E77" t="str">
            <v>火龙果</v>
          </cell>
          <cell r="F77" t="str">
            <v>无说明</v>
          </cell>
          <cell r="G77" t="str">
            <v>农、林、牧、渔及水利业</v>
          </cell>
        </row>
        <row r="78">
          <cell r="E78" t="str">
            <v>西瓜</v>
          </cell>
          <cell r="F78" t="str">
            <v>无说明</v>
          </cell>
          <cell r="G78" t="str">
            <v>农、林、牧、渔及水利业</v>
          </cell>
        </row>
        <row r="79">
          <cell r="E79" t="str">
            <v>哈密瓜</v>
          </cell>
          <cell r="F79" t="str">
            <v>无说明</v>
          </cell>
          <cell r="G79" t="str">
            <v>农、林、牧、渔及水利业</v>
          </cell>
        </row>
        <row r="80">
          <cell r="E80" t="str">
            <v>华莱士瓜</v>
          </cell>
          <cell r="F80" t="str">
            <v>无说明</v>
          </cell>
          <cell r="G80" t="str">
            <v>农、林、牧、渔及水利业</v>
          </cell>
        </row>
        <row r="81">
          <cell r="E81" t="str">
            <v>香瓜</v>
          </cell>
          <cell r="F81" t="str">
            <v>无说明</v>
          </cell>
          <cell r="G81" t="str">
            <v>农、林、牧、渔及水利业</v>
          </cell>
        </row>
        <row r="82">
          <cell r="E82" t="str">
            <v>伊利沙白瓜</v>
          </cell>
          <cell r="F82" t="str">
            <v>无说明</v>
          </cell>
          <cell r="G82" t="str">
            <v>农、林、牧、渔及水利业</v>
          </cell>
        </row>
        <row r="83">
          <cell r="E83" t="str">
            <v>木瓜</v>
          </cell>
          <cell r="F83" t="str">
            <v>无说明</v>
          </cell>
          <cell r="G83" t="str">
            <v>农、林、牧、渔及水利业</v>
          </cell>
        </row>
        <row r="84">
          <cell r="E84" t="str">
            <v>樱桃</v>
          </cell>
          <cell r="F84" t="str">
            <v>无说明</v>
          </cell>
          <cell r="G84" t="str">
            <v>农、林、牧、渔及水利业</v>
          </cell>
        </row>
        <row r="85">
          <cell r="E85" t="str">
            <v>枣</v>
          </cell>
          <cell r="F85" t="str">
            <v>指鲜枣，包括小枣、冬枣、沙枣、青枣等。</v>
          </cell>
          <cell r="G85" t="str">
            <v>农、林、牧、渔及水利业</v>
          </cell>
        </row>
        <row r="86">
          <cell r="E86" t="str">
            <v>红果</v>
          </cell>
          <cell r="F86" t="str">
            <v>无说明</v>
          </cell>
          <cell r="G86" t="str">
            <v>农、林、牧、渔及水利业</v>
          </cell>
        </row>
        <row r="87">
          <cell r="E87" t="str">
            <v>柿子</v>
          </cell>
          <cell r="F87" t="str">
            <v>无说明</v>
          </cell>
          <cell r="G87" t="str">
            <v>农、林、牧、渔及水利业</v>
          </cell>
        </row>
        <row r="88">
          <cell r="E88" t="str">
            <v>桃</v>
          </cell>
          <cell r="F88" t="str">
            <v>无说明</v>
          </cell>
          <cell r="G88" t="str">
            <v>农、林、牧、渔及水利业</v>
          </cell>
        </row>
        <row r="89">
          <cell r="E89" t="str">
            <v>李子</v>
          </cell>
          <cell r="F89" t="str">
            <v>无说明</v>
          </cell>
          <cell r="G89" t="str">
            <v>农、林、牧、渔及水利业</v>
          </cell>
        </row>
        <row r="90">
          <cell r="E90" t="str">
            <v>石榴</v>
          </cell>
          <cell r="F90" t="str">
            <v>无说明</v>
          </cell>
          <cell r="G90" t="str">
            <v>农、林、牧、渔及水利业</v>
          </cell>
        </row>
        <row r="91">
          <cell r="E91" t="str">
            <v>杏</v>
          </cell>
          <cell r="F91" t="str">
            <v>无说明</v>
          </cell>
          <cell r="G91" t="str">
            <v>农、林、牧、渔及水利业</v>
          </cell>
        </row>
        <row r="92">
          <cell r="E92" t="str">
            <v>杨梅</v>
          </cell>
          <cell r="F92" t="str">
            <v>无说明</v>
          </cell>
          <cell r="G92" t="str">
            <v>农、林、牧、渔及水利业</v>
          </cell>
        </row>
        <row r="93">
          <cell r="E93" t="str">
            <v>草莓</v>
          </cell>
          <cell r="F93" t="str">
            <v>无说明</v>
          </cell>
          <cell r="G93" t="str">
            <v>农、林、牧、渔及水利业</v>
          </cell>
        </row>
        <row r="94">
          <cell r="E94" t="str">
            <v>黑莓</v>
          </cell>
          <cell r="F94" t="str">
            <v>无说明</v>
          </cell>
          <cell r="G94" t="str">
            <v>农、林、牧、渔及水利业</v>
          </cell>
        </row>
        <row r="95">
          <cell r="E95" t="str">
            <v>桑椹</v>
          </cell>
          <cell r="F95" t="str">
            <v>无说明</v>
          </cell>
          <cell r="G95" t="str">
            <v>农、林、牧、渔及水利业</v>
          </cell>
        </row>
        <row r="96">
          <cell r="E96" t="str">
            <v>猕猴桃</v>
          </cell>
          <cell r="F96" t="str">
            <v>又名奇异果</v>
          </cell>
          <cell r="G96" t="str">
            <v>农、林、牧、渔及水利业</v>
          </cell>
        </row>
        <row r="97">
          <cell r="E97" t="str">
            <v>沙棘</v>
          </cell>
          <cell r="F97" t="str">
            <v>无说明</v>
          </cell>
          <cell r="G97" t="str">
            <v>农、林、牧、渔及水利业</v>
          </cell>
        </row>
        <row r="98">
          <cell r="E98" t="str">
            <v>其他未列明水果</v>
          </cell>
          <cell r="F98" t="str">
            <v>包括罗甘莓、木莓等。</v>
          </cell>
          <cell r="G98" t="str">
            <v>农、林、牧、渔及水利业</v>
          </cell>
        </row>
        <row r="99">
          <cell r="E99" t="str">
            <v>干制水果</v>
          </cell>
          <cell r="F99" t="str">
            <v>包括葡萄干、杏干、梅干及李干、苹果干、龙眼干（肉）、柿饼、干枣、椰子干、荔枝干、其他干制水果。</v>
          </cell>
          <cell r="G99" t="str">
            <v>农、林、牧、渔及水利业</v>
          </cell>
        </row>
        <row r="100">
          <cell r="E100" t="str">
            <v>椰子</v>
          </cell>
          <cell r="F100" t="str">
            <v>包括种用椰子、其他椰子。</v>
          </cell>
          <cell r="G100" t="str">
            <v>农、林、牧、渔及水利业</v>
          </cell>
        </row>
        <row r="101">
          <cell r="E101" t="str">
            <v>腰果</v>
          </cell>
          <cell r="F101" t="str">
            <v>无说明</v>
          </cell>
          <cell r="G101" t="str">
            <v>农、林、牧、渔及水利业</v>
          </cell>
        </row>
        <row r="102">
          <cell r="E102" t="str">
            <v>核桃</v>
          </cell>
          <cell r="F102" t="str">
            <v>无说明</v>
          </cell>
          <cell r="G102" t="str">
            <v>农、林、牧、渔及水利业</v>
          </cell>
        </row>
        <row r="103">
          <cell r="E103" t="str">
            <v>山核桃</v>
          </cell>
          <cell r="F103" t="str">
            <v>无说明</v>
          </cell>
          <cell r="G103" t="str">
            <v>农、林、牧、渔及水利业</v>
          </cell>
        </row>
        <row r="104">
          <cell r="E104" t="str">
            <v>栗子</v>
          </cell>
          <cell r="F104" t="str">
            <v>包括板栗、锥栗、丹东栗、其他栗子。</v>
          </cell>
          <cell r="G104" t="str">
            <v>农、林、牧、渔及水利业</v>
          </cell>
        </row>
        <row r="105">
          <cell r="E105" t="str">
            <v>松子</v>
          </cell>
          <cell r="F105" t="str">
            <v>无说明</v>
          </cell>
          <cell r="G105" t="str">
            <v>农、林、牧、渔及水利业</v>
          </cell>
        </row>
        <row r="106">
          <cell r="E106" t="str">
            <v>榛子</v>
          </cell>
          <cell r="F106" t="str">
            <v>无说明</v>
          </cell>
          <cell r="G106" t="str">
            <v>农、林、牧、渔及水利业</v>
          </cell>
        </row>
        <row r="107">
          <cell r="E107" t="str">
            <v>阿月浑子果（开心果）</v>
          </cell>
          <cell r="F107" t="str">
            <v>无说明</v>
          </cell>
          <cell r="G107" t="str">
            <v>农、林、牧、渔及水利业</v>
          </cell>
        </row>
        <row r="108">
          <cell r="E108" t="str">
            <v>槟榔</v>
          </cell>
          <cell r="F108" t="str">
            <v>无说明</v>
          </cell>
          <cell r="G108" t="str">
            <v>农、林、牧、渔及水利业</v>
          </cell>
        </row>
        <row r="109">
          <cell r="E109" t="str">
            <v>白果</v>
          </cell>
          <cell r="F109" t="str">
            <v>无说明</v>
          </cell>
          <cell r="G109" t="str">
            <v>农、林、牧、渔及水利业</v>
          </cell>
        </row>
        <row r="110">
          <cell r="E110" t="str">
            <v>香榧</v>
          </cell>
          <cell r="F110" t="str">
            <v>无说明</v>
          </cell>
          <cell r="G110" t="str">
            <v>农、林、牧、渔及水利业</v>
          </cell>
        </row>
        <row r="111">
          <cell r="E111" t="str">
            <v>巴旦杏</v>
          </cell>
          <cell r="F111" t="str">
            <v>无说明</v>
          </cell>
          <cell r="G111" t="str">
            <v>农、林、牧、渔及水利业</v>
          </cell>
        </row>
        <row r="112">
          <cell r="E112" t="str">
            <v>夏威夷果</v>
          </cell>
          <cell r="F112" t="str">
            <v>又名“澳洲坚果”、山龙眼科、澳洲坚果属、生长在热带地区</v>
          </cell>
          <cell r="G112" t="str">
            <v>农、林、牧、渔及水利业</v>
          </cell>
        </row>
        <row r="113">
          <cell r="E113" t="str">
            <v>其他食用坚果</v>
          </cell>
          <cell r="F113" t="str">
            <v>无说明</v>
          </cell>
          <cell r="G113" t="str">
            <v>农、林、牧、渔及水利业</v>
          </cell>
        </row>
        <row r="114">
          <cell r="E114" t="str">
            <v>茶叶</v>
          </cell>
          <cell r="F114" t="str">
            <v>指茶农采集和经过初加工（如炒制、晾晒）的毛茶。如红毛茶、绿毛茶、乌龙毛茶、白毛茶、黑毛茶等。</v>
          </cell>
          <cell r="G114" t="str">
            <v>农、林、牧、渔及水利业</v>
          </cell>
        </row>
        <row r="115">
          <cell r="E115" t="str">
            <v>饮料原料</v>
          </cell>
          <cell r="F115" t="str">
            <v>包括可可豆、咖啡豆。</v>
          </cell>
          <cell r="G115" t="str">
            <v>农、林、牧、渔及水利业</v>
          </cell>
        </row>
        <row r="116">
          <cell r="E116" t="str">
            <v>其他未列明饮料原料</v>
          </cell>
          <cell r="F116" t="str">
            <v>无说明</v>
          </cell>
          <cell r="G116" t="str">
            <v>农、林、牧、渔及水利业</v>
          </cell>
        </row>
        <row r="117">
          <cell r="E117" t="str">
            <v>香料原料</v>
          </cell>
          <cell r="F117" t="str">
            <v>指未研磨香料原料，包括调味香料（如花椒、胡椒、八椒、桂皮、桂花、丁香、豆蔻、小茴香、咖喱、枯茗子、蒿子、杜松果等）、香味料（香子兰、香茅草、留兰香、番红花、姜黄、啤酒花、麝香草、月桂叶等）。不包括研磨过香料原料（详见103020604）。</v>
          </cell>
          <cell r="G117" t="str">
            <v>农、林、牧、渔及水利业</v>
          </cell>
        </row>
        <row r="118">
          <cell r="E118" t="str">
            <v>中草药材</v>
          </cell>
          <cell r="F118" t="str">
            <v>指主要作香料、药料、杀虫、杀菌等用途的植物。包括甘草、人参、古柯叶、罂粟杆、当归、田七、党参、黄连、菊花、冬虫夏草、贝母、川芎、半夏、白芍、天麻、黄芪、大黄、籽黄、白术、地黄、槐米、杜仲、茯苓、枸杞、大海子、沉香、沙参、青蒿、鱼藤根、除虫菊、灵芝、五味子、刺五加、生地、麦冬、云木香、白芷、元胡、山茱萸、莲翘、辛荑、厚朴、黄芩、葛根、柴胡、麻黄、列当、肉苁蓉、锁阳、罗布麻等。</v>
          </cell>
          <cell r="G118" t="str">
            <v>农、林、牧、渔及水利业</v>
          </cell>
        </row>
        <row r="119">
          <cell r="E119" t="str">
            <v>种用谷物</v>
          </cell>
          <cell r="F119" t="str">
            <v>包括种用硬质小麦、种用甜玉米、种用软质小麦、种用皮大麦、种用糯玉米、种用糯高粱、种用裸大麦、种用黄玉米、种用红粒高粱、种用白玉米、种用白粒高粱、其他种用玉米、其他种用小麦、其他种用高粱、种用中籼稻、种用早籼稻、种用晚籼稻、种用糯稻、种用粳稻、其他种用稻谷。</v>
          </cell>
          <cell r="G119" t="str">
            <v>农、林、牧、渔及水利业</v>
          </cell>
        </row>
        <row r="120">
          <cell r="E120" t="str">
            <v>种用薯类</v>
          </cell>
          <cell r="F120" t="str">
            <v>包括种用马铃薯、种用甘薯。</v>
          </cell>
          <cell r="G120" t="str">
            <v>农、林、牧、渔及水利业</v>
          </cell>
        </row>
        <row r="121">
          <cell r="E121" t="str">
            <v>种用油料</v>
          </cell>
          <cell r="F121" t="str">
            <v>包括种用油棕果及油棕仁、种用棉籽、种用蓖麻籽、种用芥子、种用胡麻籽、种用红花籽、种用黄芝麻、种用黑芝麻、种用带壳花生、种用白芝麻、种用油葵、种用双低油菜籽、种用食葵、其他种用油菜籽。</v>
          </cell>
          <cell r="G121" t="str">
            <v>农、林、牧、渔及水利业</v>
          </cell>
        </row>
        <row r="122">
          <cell r="E122" t="str">
            <v>种用豆类</v>
          </cell>
          <cell r="F122" t="str">
            <v>包括种用杂豆、种用芸豆、种用鹰嘴豆、种用干豇豆、种用干蚕豆、种用饭豆、种用明绿豆、种用毛绿豆、种用麻豌豆、种用绿豌豆、种用白豌豆。</v>
          </cell>
          <cell r="G122" t="str">
            <v>农、林、牧、渔及水利业</v>
          </cell>
        </row>
        <row r="123">
          <cell r="E123" t="str">
            <v>种用饲料作物</v>
          </cell>
          <cell r="F123" t="str">
            <v>指饲料作物用种子。</v>
          </cell>
          <cell r="G123" t="str">
            <v>农、林、牧、渔及水利业</v>
          </cell>
        </row>
        <row r="124">
          <cell r="E124" t="str">
            <v>蔬菜籽</v>
          </cell>
          <cell r="F124" t="str">
            <v>无说明</v>
          </cell>
          <cell r="G124" t="str">
            <v>农、林、牧、渔及水利业</v>
          </cell>
        </row>
        <row r="125">
          <cell r="E125" t="str">
            <v>花草种</v>
          </cell>
          <cell r="F125" t="str">
            <v>包括草种（苜蓿草种、箭舌豌豆草种、红豆草草种、草木犀草种、燕麦草种、多花黑麦草草种、披碱草草种、柠挑草种、沙打旺草种、锦鸡儿草种、老芒麦草种、羊柴草种、其他草种）、花卉种球（唐菖蒲种球、百合种球、郁金香种球、水仙种球、马蹄莲种球、大丽花种球、美人蕉种球、风信子种球、小苍兰种球、球根鸢尾种球、晚香玉种球、其他花卉种球）、花卉种子（一串红种子、矮牵牛种子、万寿菊种子、凤仙花种子、鸡冠花种子、三色堇种子、金鱼草种子、石竹种子、翠菊种子、四季秋海棠种子、其他花卉种子）、花卉种苗（香石竹种苗、菊花种苗、非洲菊种苗、月季种苗、火鹤种苗、兰花种苗、君子兰种苗、其他花卉种苗）。</v>
          </cell>
          <cell r="G125" t="str">
            <v>农、林、牧、渔及水利业</v>
          </cell>
        </row>
        <row r="126">
          <cell r="E126" t="str">
            <v>水果籽</v>
          </cell>
          <cell r="F126" t="str">
            <v>包括杏核、葡萄籽、其他水果籽。</v>
          </cell>
          <cell r="G126" t="str">
            <v>农、林、牧、渔及水利业</v>
          </cell>
        </row>
        <row r="127">
          <cell r="E127" t="str">
            <v>其他种子、种苗</v>
          </cell>
          <cell r="F127" t="str">
            <v>无说明</v>
          </cell>
          <cell r="G127" t="str">
            <v>农、林、牧、渔及水利业</v>
          </cell>
        </row>
        <row r="128">
          <cell r="E128" t="str">
            <v>育种和育苗</v>
          </cell>
          <cell r="F128" t="str">
            <v>包括林木种子（针叶乔木树种种子、阔叶乔木树种种子、其他林木种子）、灌木藤木相关林木种子、针叶乔木苗类、阔叶乔木苗类、果树苗、竹苗、灌木树苗。</v>
          </cell>
          <cell r="G128" t="str">
            <v>农、林、牧、渔及水利业</v>
          </cell>
        </row>
        <row r="129">
          <cell r="E129" t="str">
            <v>原木</v>
          </cell>
          <cell r="F129" t="str">
            <v>指将砍伐倒的乔木去其枝芽,梢头或者皮的乔木、灌木,以及锯成一定长度的木段。</v>
          </cell>
          <cell r="G129" t="str">
            <v>农、林、牧、渔及水利业</v>
          </cell>
        </row>
        <row r="130">
          <cell r="E130" t="str">
            <v>小规格木材</v>
          </cell>
          <cell r="F130" t="str">
            <v>包括针叶木小规格木材、其他木小规格木材、木箍木、木劈条、木片及粗修整的木棒等。</v>
          </cell>
          <cell r="G130" t="str">
            <v>农、林、牧、渔及水利业</v>
          </cell>
        </row>
        <row r="131">
          <cell r="E131" t="str">
            <v>薪材</v>
          </cell>
          <cell r="F131" t="str">
            <v>一般是作为燃料或木炭原料的材种。</v>
          </cell>
          <cell r="G131" t="str">
            <v>农、林、牧、渔及水利业</v>
          </cell>
        </row>
        <row r="132">
          <cell r="E132" t="str">
            <v>短条及细枝等</v>
          </cell>
          <cell r="F132" t="str">
            <v>无说明</v>
          </cell>
          <cell r="G132" t="str">
            <v>农、林、牧、渔及水利业</v>
          </cell>
        </row>
        <row r="133">
          <cell r="E133" t="str">
            <v>其他木材采伐产品</v>
          </cell>
          <cell r="F133" t="str">
            <v>无说明</v>
          </cell>
          <cell r="G133" t="str">
            <v>农、林、牧、渔及水利业</v>
          </cell>
        </row>
        <row r="134">
          <cell r="E134" t="str">
            <v>原竹</v>
          </cell>
          <cell r="F134" t="str">
            <v>指将砍倒的竹去其枝,梢或者叶的竹类植物,以及锯成一定长度的竹段。</v>
          </cell>
          <cell r="G134" t="str">
            <v>农、林、牧、渔及水利业</v>
          </cell>
        </row>
        <row r="135">
          <cell r="E135" t="str">
            <v>其他竹材采伐产品</v>
          </cell>
          <cell r="F135" t="str">
            <v>无说明</v>
          </cell>
          <cell r="G135" t="str">
            <v>农、林、牧、渔及水利业</v>
          </cell>
        </row>
        <row r="136">
          <cell r="E136" t="str">
            <v>天然橡胶</v>
          </cell>
          <cell r="F136" t="str">
            <v>未加工的天然橡胶，包括天然橡胶乳、烟胶片、胶清片、白皱片、褐胶片、标准胶片、其他天然橡胶。</v>
          </cell>
          <cell r="G136" t="str">
            <v>农、林、牧、渔及水利业</v>
          </cell>
        </row>
        <row r="137">
          <cell r="E137" t="str">
            <v>天然树脂、树胶</v>
          </cell>
          <cell r="F137" t="str">
            <v>主要来源于植物渗（泌）出物的无定形半固体或固体有机物。包括天然生漆、天然松脂、虫胶、桃胶、冷杉胶、其他天然树脂、树胶。</v>
          </cell>
          <cell r="G137" t="str">
            <v>农、林、牧、渔及水利业</v>
          </cell>
        </row>
        <row r="138">
          <cell r="E138" t="str">
            <v>栲胶原料</v>
          </cell>
          <cell r="F138" t="str">
            <v>用于栲胶工业性生产的富含单宁的木质、皮层、叶子、荚壳等。包括落叶松树皮、杨梅树皮、油柑树皮、檞树皮、木麻黄树皮、黑荆树皮、橡碗、化香果、其他栲胶原料。</v>
          </cell>
          <cell r="G138" t="str">
            <v>农、林、牧、渔及水利业</v>
          </cell>
        </row>
        <row r="139">
          <cell r="E139" t="str">
            <v>非直接食用果类</v>
          </cell>
          <cell r="F139" t="str">
            <v>包括油桐籽、油茶籽、沙棘果、油棕果、乌桕子、油橄榄、文冠果、山苍籽、黑椋子、其他非食用坚果。</v>
          </cell>
          <cell r="G139" t="str">
            <v>农、林、牧、渔及水利业</v>
          </cell>
        </row>
        <row r="140">
          <cell r="E140" t="str">
            <v>编结用原料</v>
          </cell>
          <cell r="F140" t="str">
            <v>包括藤条、柳条、柠条、荆条、桑条、灯心草、菖蒲、葵叶、其他编织用原料。</v>
          </cell>
          <cell r="G140" t="str">
            <v>农、林、牧、渔及水利业</v>
          </cell>
        </row>
        <row r="141">
          <cell r="E141" t="str">
            <v>染色、鞣革用植物原料</v>
          </cell>
          <cell r="F141" t="str">
            <v>包括五倍子、地衣、蓝靛、薯茛、其他染色、鞣革用植物原料。</v>
          </cell>
          <cell r="G141" t="str">
            <v>农、林、牧、渔及水利业</v>
          </cell>
        </row>
        <row r="142">
          <cell r="E142" t="str">
            <v>野生植物活体</v>
          </cell>
          <cell r="F142" t="str">
            <v>包括野生乔木、灌木、草灌木、菌类、以及其他野生植物活体。</v>
          </cell>
          <cell r="G142" t="str">
            <v>农、林、牧、渔及水利业</v>
          </cell>
        </row>
        <row r="143">
          <cell r="E143" t="str">
            <v>野生植物采集产品</v>
          </cell>
          <cell r="F143" t="str">
            <v>包括野生植物根、茎、叶、花、果实、以及其他野生植物采集产品。</v>
          </cell>
          <cell r="G143" t="str">
            <v>农、林、牧、渔及水利业</v>
          </cell>
        </row>
        <row r="144">
          <cell r="E144" t="str">
            <v>其他林产品</v>
          </cell>
          <cell r="F144" t="str">
            <v>未加工天然软木、棕片、竹笋干、黄柏桕、山苍子、桉树叶、其他未列明林产品。</v>
          </cell>
          <cell r="G144" t="str">
            <v>农、林、牧、渔及水利业</v>
          </cell>
        </row>
        <row r="145">
          <cell r="E145" t="str">
            <v>猪</v>
          </cell>
          <cell r="F145" t="str">
            <v>包括种猪、仔猪、中猪、能繁殖母猪、其他活猪。</v>
          </cell>
          <cell r="G145" t="str">
            <v>农、林、牧、渔及水利业</v>
          </cell>
        </row>
        <row r="146">
          <cell r="E146" t="str">
            <v>牛</v>
          </cell>
          <cell r="F146" t="str">
            <v>包括种牛、黄牛、水牛、奶牛、牦牛、牛犊、能繁殖母牛、其他活牛。</v>
          </cell>
          <cell r="G146" t="str">
            <v>农、林、牧、渔及水利业</v>
          </cell>
        </row>
        <row r="147">
          <cell r="E147" t="str">
            <v>马</v>
          </cell>
          <cell r="F147" t="str">
            <v>包括种马、马驹、其他活马。</v>
          </cell>
          <cell r="G147" t="str">
            <v>农、林、牧、渔及水利业</v>
          </cell>
        </row>
        <row r="148">
          <cell r="E148" t="str">
            <v>驴</v>
          </cell>
          <cell r="F148" t="str">
            <v>包括种驴、其他驴。</v>
          </cell>
          <cell r="G148" t="str">
            <v>农、林、牧、渔及水利业</v>
          </cell>
        </row>
        <row r="149">
          <cell r="E149" t="str">
            <v>骡</v>
          </cell>
          <cell r="F149" t="str">
            <v>无说明</v>
          </cell>
          <cell r="G149" t="str">
            <v>农、林、牧、渔及水利业</v>
          </cell>
        </row>
        <row r="150">
          <cell r="E150" t="str">
            <v>羊</v>
          </cell>
          <cell r="F150" t="str">
            <v>包括绵羊、山羊、能繁殖母羊、羔羊等。</v>
          </cell>
          <cell r="G150" t="str">
            <v>农、林、牧、渔及水利业</v>
          </cell>
        </row>
        <row r="151">
          <cell r="E151" t="str">
            <v>骆驼</v>
          </cell>
          <cell r="F151" t="str">
            <v>无说明</v>
          </cell>
          <cell r="G151" t="str">
            <v>农、林、牧、渔及水利业</v>
          </cell>
        </row>
        <row r="152">
          <cell r="E152" t="str">
            <v>其他活牲畜</v>
          </cell>
          <cell r="F152" t="str">
            <v>无说明</v>
          </cell>
          <cell r="G152" t="str">
            <v>农、林、牧、渔及水利业</v>
          </cell>
        </row>
        <row r="153">
          <cell r="E153" t="str">
            <v>活鸡</v>
          </cell>
          <cell r="F153" t="str">
            <v>包括蛋鸡、雏鸡、肉鸡、其他活鸡。</v>
          </cell>
          <cell r="G153" t="str">
            <v>农、林、牧、渔及水利业</v>
          </cell>
        </row>
        <row r="154">
          <cell r="E154" t="str">
            <v>活鸭</v>
          </cell>
          <cell r="F154" t="str">
            <v>包括雏鸭、成鸭。</v>
          </cell>
          <cell r="G154" t="str">
            <v>农、林、牧、渔及水利业</v>
          </cell>
        </row>
        <row r="155">
          <cell r="E155" t="str">
            <v>活鹅</v>
          </cell>
          <cell r="F155" t="str">
            <v>包括雏鹅、成鹅。</v>
          </cell>
          <cell r="G155" t="str">
            <v>农、林、牧、渔及水利业</v>
          </cell>
        </row>
        <row r="156">
          <cell r="E156" t="str">
            <v>其他活家禽</v>
          </cell>
          <cell r="F156" t="str">
            <v>包括鸽子、鸵鸟、野鸭、鹌鹑、其他未列明活家禽。</v>
          </cell>
          <cell r="G156" t="str">
            <v>农、林、牧、渔及水利业</v>
          </cell>
        </row>
        <row r="157">
          <cell r="E157" t="str">
            <v>生奶</v>
          </cell>
          <cell r="F157" t="str">
            <v>指未经过消毒和杀菌的奶。包括生牛奶、生羊奶、生马奶等。</v>
          </cell>
          <cell r="G157" t="str">
            <v>农、林、牧、渔及水利业</v>
          </cell>
        </row>
        <row r="158">
          <cell r="E158" t="str">
            <v>鸡蛋</v>
          </cell>
          <cell r="F158" t="str">
            <v>无说明</v>
          </cell>
          <cell r="G158" t="str">
            <v>农、林、牧、渔及水利业</v>
          </cell>
        </row>
        <row r="159">
          <cell r="E159" t="str">
            <v>鸭蛋</v>
          </cell>
          <cell r="F159" t="str">
            <v>无说明</v>
          </cell>
          <cell r="G159" t="str">
            <v>农、林、牧、渔及水利业</v>
          </cell>
        </row>
        <row r="160">
          <cell r="E160" t="str">
            <v>鹅蛋</v>
          </cell>
          <cell r="F160" t="str">
            <v>无说明</v>
          </cell>
          <cell r="G160" t="str">
            <v>农、林、牧、渔及水利业</v>
          </cell>
        </row>
        <row r="161">
          <cell r="E161" t="str">
            <v>鹌鹑蛋</v>
          </cell>
          <cell r="F161" t="str">
            <v>又名鹑鸟蛋。</v>
          </cell>
          <cell r="G161" t="str">
            <v>农、林、牧、渔及水利业</v>
          </cell>
        </row>
        <row r="162">
          <cell r="E162" t="str">
            <v>其他禽蛋</v>
          </cell>
          <cell r="F162" t="str">
            <v>无说明</v>
          </cell>
          <cell r="G162" t="str">
            <v>农、林、牧、渔及水利业</v>
          </cell>
        </row>
        <row r="163">
          <cell r="E163" t="str">
            <v>天然蜂蜜</v>
          </cell>
          <cell r="F163" t="str">
            <v>无说明</v>
          </cell>
          <cell r="G163" t="str">
            <v>农、林、牧、渔及水利业</v>
          </cell>
        </row>
        <row r="164">
          <cell r="E164" t="str">
            <v>蜂蜡</v>
          </cell>
          <cell r="F164" t="str">
            <v>蜂蜡是工蜂腹部下面四对蜡腺分泌的物质。</v>
          </cell>
          <cell r="G164" t="str">
            <v>农、林、牧、渔及水利业</v>
          </cell>
        </row>
        <row r="165">
          <cell r="E165" t="str">
            <v>鲜蜂王浆</v>
          </cell>
          <cell r="F165" t="str">
            <v>又称蜂皇浆、蜂王乳等、是工蜂的一种分泌物、喂蜂后的食物。</v>
          </cell>
          <cell r="G165" t="str">
            <v>农、林、牧、渔及水利业</v>
          </cell>
        </row>
        <row r="166">
          <cell r="E166" t="str">
            <v>其他天然蜂蜜及副产品</v>
          </cell>
          <cell r="F166" t="str">
            <v>无说明</v>
          </cell>
          <cell r="G166" t="str">
            <v>农、林、牧、渔及水利业</v>
          </cell>
        </row>
        <row r="167">
          <cell r="E167" t="str">
            <v>蚕茧</v>
          </cell>
          <cell r="F167" t="str">
            <v>指适于缫丝的丝茧。包括桑蚕茧、柞蚕茧、蓖麻蚕茧、其他蚕茧。</v>
          </cell>
          <cell r="G167" t="str">
            <v>农、林、牧、渔及水利业</v>
          </cell>
        </row>
        <row r="168">
          <cell r="E168" t="str">
            <v>动物毛类</v>
          </cell>
          <cell r="F168" t="str">
            <v>指未梳毛。包括绵羊毛、山羊毛、山羊粗毛、牦牛毛、兔毛、骆驼毛、马毛、其他动物毛类。</v>
          </cell>
          <cell r="G168" t="str">
            <v>农、林、牧、渔及水利业</v>
          </cell>
        </row>
        <row r="169">
          <cell r="E169" t="str">
            <v>生皮</v>
          </cell>
          <cell r="F169" t="str">
            <v>指经简单干燥的整张动物生皮、包括整张生牛皮、整张绵羊生皮、整张山羊生皮、整张生猪皮、整张生马皮、整张爬行动物皮、其他生皮，不包括生毛皮（详见101030307）、半成品革（详见1040301）。</v>
          </cell>
          <cell r="G169" t="str">
            <v>农、林、牧、渔及水利业</v>
          </cell>
        </row>
        <row r="170">
          <cell r="E170" t="str">
            <v>生毛皮</v>
          </cell>
          <cell r="F170" t="str">
            <v>指未经鞣制或硝制的整张动物毛皮、整张羔羊生毛皮、整张水貂生毛皮、整张狐生毛皮、整张兔生毛皮、其他生毛皮，不包括生皮（详见101030306）、鞣制毛皮（详见104030601）。</v>
          </cell>
          <cell r="G170" t="str">
            <v>农、林、牧、渔及水利业</v>
          </cell>
        </row>
        <row r="171">
          <cell r="E171" t="str">
            <v>制刷用兽毛</v>
          </cell>
          <cell r="F171" t="str">
            <v>包括猪鬃、制刷用山羊毛、其他制刷用兽毛、猪鬃、猪毛及其废料。</v>
          </cell>
          <cell r="G171" t="str">
            <v>农、林、牧、渔及水利业</v>
          </cell>
        </row>
        <row r="172">
          <cell r="E172" t="str">
            <v>麝香</v>
          </cell>
          <cell r="F172" t="str">
            <v>为雄麝的肚脐和生殖器之间的腺囊的分泌物、干燥后呈颗粒状或块状。</v>
          </cell>
          <cell r="G172" t="str">
            <v>农、林、牧、渔及水利业</v>
          </cell>
        </row>
        <row r="173">
          <cell r="E173" t="str">
            <v>鹿茸</v>
          </cell>
          <cell r="F173" t="str">
            <v>雄鹿没有长成硬骨时、带茸毛、含血液的嫩角。</v>
          </cell>
          <cell r="G173" t="str">
            <v>农、林、牧、渔及水利业</v>
          </cell>
        </row>
        <row r="174">
          <cell r="E174" t="str">
            <v>燕窝</v>
          </cell>
          <cell r="F174" t="str">
            <v>又称燕菜、燕根、燕蔬菜、为雨燕科动物金丝燕及多种同属燕类用唾液与绒羽等混合凝结所筑成的巢窝。</v>
          </cell>
          <cell r="G174" t="str">
            <v>农、林、牧、渔及水利业</v>
          </cell>
        </row>
        <row r="175">
          <cell r="E175" t="str">
            <v>其他畜禽产品</v>
          </cell>
          <cell r="F175" t="str">
            <v>无说明</v>
          </cell>
          <cell r="G175" t="str">
            <v>农、林、牧、渔及水利业</v>
          </cell>
        </row>
        <row r="176">
          <cell r="E176" t="str">
            <v>野生动物</v>
          </cell>
          <cell r="F176" t="str">
            <v>是指生存于自然状态下、野外环境生长繁殖的动物。包括野兔、狐狸、其他野生动物。</v>
          </cell>
          <cell r="G176" t="str">
            <v>农、林、牧、渔及水利业</v>
          </cell>
        </row>
        <row r="177">
          <cell r="E177" t="str">
            <v>野生鸟类</v>
          </cell>
          <cell r="F177" t="str">
            <v>包括水禽、雉鸡、野鸡、其他野生鸟类。</v>
          </cell>
          <cell r="G177" t="str">
            <v>农、林、牧、渔及水利业</v>
          </cell>
        </row>
        <row r="178">
          <cell r="E178" t="str">
            <v>其他野生动物</v>
          </cell>
          <cell r="F178" t="str">
            <v>无说明</v>
          </cell>
          <cell r="G178" t="str">
            <v>农、林、牧、渔及水利业</v>
          </cell>
        </row>
        <row r="179">
          <cell r="E179" t="str">
            <v>其他饲养动物</v>
          </cell>
          <cell r="F179" t="str">
            <v>包括人工饲养或野生的其他珍禽动物。</v>
          </cell>
          <cell r="G179" t="str">
            <v>农、林、牧、渔及水利业</v>
          </cell>
        </row>
        <row r="180">
          <cell r="E180" t="str">
            <v>海水鱼</v>
          </cell>
          <cell r="F180" t="str">
            <v>包括大黄鱼、小黄鱼、带鱼、鳓鱼、比目鱼、金枪鱼、鳕鱼、沙丁鱼、鲑鱼、大马哈鱼、角鲨、相关鲨鱼、海鳗、鳀鱼、鲳鱼、鲱鱼、石斑鱼、蓝圆鲹、白姑鱼、黄姑鱼、梅童鱼、方头鱼、玉筋鱼、梭鱼、鲻鱼、鲐鱼、鲅鱼、马面鲀、竹荚鱼等。</v>
          </cell>
          <cell r="G180" t="str">
            <v>农、林、牧、渔及水利业</v>
          </cell>
        </row>
        <row r="181">
          <cell r="E181" t="str">
            <v>海水虾</v>
          </cell>
          <cell r="F181" t="str">
            <v>包括龙虾、斑节对虾、中国对虾、日本对虾、毛虾、虾蛄、鹰爪虾等。</v>
          </cell>
          <cell r="G181" t="str">
            <v>农、林、牧、渔及水利业</v>
          </cell>
        </row>
        <row r="182">
          <cell r="E182" t="str">
            <v>海水蟹</v>
          </cell>
          <cell r="F182" t="str">
            <v>包括梭子蟹、青蟹等。</v>
          </cell>
          <cell r="G182" t="str">
            <v>农、林、牧、渔及水利业</v>
          </cell>
        </row>
        <row r="183">
          <cell r="E183" t="str">
            <v>海水贝类</v>
          </cell>
          <cell r="F183" t="str">
            <v>包括牡蛎、扇贝、贻贝、江珧、鲍、螺、蚶、蛤、蛏等。</v>
          </cell>
          <cell r="G183" t="str">
            <v>农、林、牧、渔及水利业</v>
          </cell>
        </row>
        <row r="184">
          <cell r="E184" t="str">
            <v>海水藻类</v>
          </cell>
          <cell r="F184" t="str">
            <v>包括裙带菜、江蓠、麒麟菜、石花菜、羊栖菜、苔菜、其他藻类，不包括海带和紫菜（详见101011211）。</v>
          </cell>
          <cell r="G184" t="str">
            <v>农、林、牧、渔及水利业</v>
          </cell>
        </row>
        <row r="185">
          <cell r="E185" t="str">
            <v>海水软体水生动物</v>
          </cell>
          <cell r="F185" t="str">
            <v>包括墨鱼、鱿鱼、沙蚕等。</v>
          </cell>
          <cell r="G185" t="str">
            <v>农、林、牧、渔及水利业</v>
          </cell>
        </row>
        <row r="186">
          <cell r="E186" t="str">
            <v>海水产品种苗</v>
          </cell>
          <cell r="F186" t="str">
            <v>包括鱼苗、虾种苗、蟹苗、贝类种苗、藻类育苗等。</v>
          </cell>
          <cell r="G186" t="str">
            <v>农、林、牧、渔及水利业</v>
          </cell>
        </row>
        <row r="187">
          <cell r="E187" t="str">
            <v>其他海水产品</v>
          </cell>
          <cell r="F187" t="str">
            <v>包括海参、海胆、珍珠、海蜇等。</v>
          </cell>
          <cell r="G187" t="str">
            <v>农、林、牧、渔及水利业</v>
          </cell>
        </row>
        <row r="188">
          <cell r="E188" t="str">
            <v>淡水鱼</v>
          </cell>
          <cell r="F188" t="str">
            <v>包括淡水观赏鱼、淡水鳟鱼、淡水鳗鲡、淡水鲤鱼、淡水草鱼、淡水鳙鱼、淡水鲟鱼、淡水罗非鱼、淡水河鲀、淡水青鱼、淡水鲢鱼、淡水鲫鱼、淡水鳊鲂、淡水鲶鱼、淡水鮰鱼、淡水黄颡鱼、淡水鲑鱼、淡水池沼公鱼、淡水银鱼、淡水短盖巨脂鲤、淡水长吻鮠、淡水黄鳝、淡水鳜鱼、淡水鲈鱼、淡水乌鳢、淡水泥鳅等。</v>
          </cell>
          <cell r="G188" t="str">
            <v>农、林、牧、渔及水利业</v>
          </cell>
        </row>
        <row r="189">
          <cell r="E189" t="str">
            <v>淡水虾</v>
          </cell>
          <cell r="F189" t="str">
            <v>包括淡水罗氏沼虾、淡水青虾、淡水克氏原鳌虾、淡水南美白对虾等。</v>
          </cell>
          <cell r="G189" t="str">
            <v>农、林、牧、渔及水利业</v>
          </cell>
        </row>
        <row r="190">
          <cell r="E190" t="str">
            <v>淡水蟹</v>
          </cell>
          <cell r="F190" t="str">
            <v>包括淡水蟹、华绒毛蟹等。</v>
          </cell>
          <cell r="G190" t="str">
            <v>农、林、牧、渔及水利业</v>
          </cell>
        </row>
        <row r="191">
          <cell r="E191" t="str">
            <v>淡水贝类</v>
          </cell>
          <cell r="F191" t="str">
            <v>包括淡水蚌、淡水螺、淡水蚬等。</v>
          </cell>
          <cell r="G191" t="str">
            <v>农、林、牧、渔及水利业</v>
          </cell>
        </row>
        <row r="192">
          <cell r="E192" t="str">
            <v>淡水藻类</v>
          </cell>
          <cell r="F192" t="str">
            <v>无说明</v>
          </cell>
          <cell r="G192" t="str">
            <v>农、林、牧、渔及水利业</v>
          </cell>
        </row>
        <row r="193">
          <cell r="E193" t="str">
            <v>淡水鲜软体动物</v>
          </cell>
          <cell r="F193" t="str">
            <v>包括水生无脊椎动物、蜗牛、螺、河蚌、蚬、其他淡水鲜软体动物、包括活、鲜、冷、冻、干、盐腌或盐渍蜗牛。</v>
          </cell>
          <cell r="G193" t="str">
            <v>农、林、牧、渔及水利业</v>
          </cell>
        </row>
        <row r="194">
          <cell r="E194" t="str">
            <v>淡水产品种苗</v>
          </cell>
          <cell r="F194" t="str">
            <v>包括淡水鱼苗、淡水虾苗、淡水蟹种苗、淡水贝壳种苗、淡水藻类种苗、其他淡水产品种苗。</v>
          </cell>
          <cell r="G194" t="str">
            <v>农、林、牧、渔及水利业</v>
          </cell>
        </row>
        <row r="195">
          <cell r="E195" t="str">
            <v>其他淡水产品</v>
          </cell>
          <cell r="F195" t="str">
            <v>包括淡水龟、淡水鳖、淡水蛙、淡水珍珠、丰年虫、其他未列明淡水产品。</v>
          </cell>
          <cell r="G195" t="str">
            <v>农、林、牧、渔及水利业</v>
          </cell>
        </row>
        <row r="196">
          <cell r="E196" t="str">
            <v>原煤</v>
          </cell>
          <cell r="F196" t="str">
            <v>从地上或地下采掘出的毛煤经筛选加工去掉矸石、黄铁矿等后的煤。包括：无烟煤、烟煤、褐烟等。</v>
          </cell>
          <cell r="G196" t="str">
            <v>煤炭开采和洗选业</v>
          </cell>
        </row>
        <row r="197">
          <cell r="E197" t="str">
            <v>洗煤</v>
          </cell>
          <cell r="F197" t="str">
            <v>洗煤是将原煤中的杂质剔除、或将优质煤和劣质煤炭进行分门别类的一种工业工艺。洗煤过程后所产生的产品包括：洗精煤、洗块煤、洗粒级煤、洗混末煤、洗中煤、筛选块煤等。</v>
          </cell>
          <cell r="G197" t="str">
            <v>煤炭开采和洗选业</v>
          </cell>
        </row>
        <row r="198">
          <cell r="E198" t="str">
            <v>石煤</v>
          </cell>
          <cell r="F198" t="str">
            <v>仅包括油气田企业在生产石油、天然气过程中，通过加热、增压、冷却、制冷等方法回收、以戊烷和以上重烃组分组成的稳定轻烃。</v>
          </cell>
          <cell r="G198" t="str">
            <v>煤炭开采和洗选业</v>
          </cell>
        </row>
        <row r="199">
          <cell r="E199" t="str">
            <v>其他煤炭采选产品（低热值燃料）</v>
          </cell>
          <cell r="F199" t="str">
            <v>包括泥炭（泥煤）、石煤、风化煤、煤矸石、洗矸、其他煤矸石、煤炭低热值燃料（指不属于原煤、灰分一般在40%以上的低热值燃料）、其他未列明煤炭采选产品。</v>
          </cell>
          <cell r="G199" t="str">
            <v>煤炭开采和洗选业</v>
          </cell>
        </row>
        <row r="200">
          <cell r="E200" t="str">
            <v>天然原油</v>
          </cell>
          <cell r="F200" t="str">
            <v>指各种碳氢化合物的复杂混合物、通常是暗褐色或者是黑色的液体、也有少数原油呈黄色、淡红色或淡褐色。</v>
          </cell>
          <cell r="G200" t="str">
            <v>石油和天然气开采业</v>
          </cell>
        </row>
        <row r="201">
          <cell r="E201" t="str">
            <v>沥青矿原油</v>
          </cell>
          <cell r="F201" t="str">
            <v>指从沥青矿中提取的原油</v>
          </cell>
          <cell r="G201" t="str">
            <v>石油和天然气开采业</v>
          </cell>
        </row>
        <row r="202">
          <cell r="E202" t="str">
            <v>稳定轻烃</v>
          </cell>
          <cell r="F202" t="str">
            <v>无说明</v>
          </cell>
          <cell r="G202" t="str">
            <v>其他矿采选业</v>
          </cell>
        </row>
        <row r="203">
          <cell r="E203" t="str">
            <v>天然气</v>
          </cell>
          <cell r="F203" t="str">
            <v>指以气态碳氢化合物为主的各种气体组成的混合物。由有机物质经生物化学作用分解而成、或与石油共存于岩石的裂缝和空洞中、或以溶解状态存在于地下水中，主要成分是甲烷、乙烷、丙烷和丁烷。</v>
          </cell>
          <cell r="G203" t="str">
            <v>石油和天然气开采业</v>
          </cell>
        </row>
        <row r="204">
          <cell r="E204" t="str">
            <v>液化天然气</v>
          </cell>
          <cell r="F204" t="str">
            <v>主要以二次加工的气体为原料、经分离、脱硫精制而成。</v>
          </cell>
          <cell r="G204" t="str">
            <v>石油和天然气开采业</v>
          </cell>
        </row>
        <row r="205">
          <cell r="E205" t="str">
            <v>煤层气</v>
          </cell>
          <cell r="F205" t="str">
            <v>主要存在于煤矿的伴生气体、是热值高、无污染的新能源、可以用来发电、用作工业燃料、化工原料和居民生活燃料。</v>
          </cell>
          <cell r="G205" t="str">
            <v>煤炭开采和洗选业</v>
          </cell>
        </row>
        <row r="206">
          <cell r="E206" t="str">
            <v>天然气水合物</v>
          </cell>
          <cell r="F206" t="str">
            <v>指水和天然气在高压和低温条件下混合时产生的一种固态物质，外貌极像冰雪或固体酒精，点火即可燃烧，有“可燃水”、“气冰”、“固体瓦斯”之称。天然气水合物是一种新型高效能源，其成分与人们平时所使用的天然气成分相近，但更为纯净，开采时只需将固体的“天然气水合物”升温减压即可释放出大量的甲烷气体。</v>
          </cell>
          <cell r="G206" t="str">
            <v>石油和天然气开采业</v>
          </cell>
        </row>
        <row r="207">
          <cell r="E207" t="str">
            <v>沥青页岩</v>
          </cell>
          <cell r="F207" t="str">
            <v>天然沥青储藏在地下，有的形成矿层或在地壳表面堆积。</v>
          </cell>
          <cell r="G207" t="str">
            <v>其他矿采选业</v>
          </cell>
        </row>
        <row r="208">
          <cell r="E208" t="str">
            <v>油母页岩</v>
          </cell>
          <cell r="F208" t="str">
            <v>无说明</v>
          </cell>
          <cell r="G208" t="str">
            <v>其他矿采选业</v>
          </cell>
        </row>
        <row r="209">
          <cell r="E209" t="str">
            <v>焦（重）油砂</v>
          </cell>
          <cell r="F209" t="str">
            <v>一种黏土、水、石油和沥青的混合物，胶状黑色物质，可以用来产生液体燃料。</v>
          </cell>
          <cell r="G209" t="str">
            <v>其他矿采选业</v>
          </cell>
        </row>
        <row r="210">
          <cell r="E210" t="str">
            <v>页岩气</v>
          </cell>
          <cell r="F210" t="str">
            <v>页岩气是指赋存于富有机质泥页岩及其夹层中，以吸附或游离状态为主要存在方式的非常规天然气。</v>
          </cell>
          <cell r="G210" t="str">
            <v>其他矿采选业</v>
          </cell>
        </row>
        <row r="211">
          <cell r="E211" t="str">
            <v>天然沥青</v>
          </cell>
          <cell r="F211" t="str">
            <v>天然沥青储藏在地下，有的形成矿层或在地壳表面堆积。</v>
          </cell>
          <cell r="G211" t="str">
            <v>其他矿采选业</v>
          </cell>
        </row>
        <row r="212">
          <cell r="E212" t="str">
            <v>其他油页岩</v>
          </cell>
          <cell r="F212" t="str">
            <v>无说明</v>
          </cell>
          <cell r="G212" t="str">
            <v>其他矿采选业</v>
          </cell>
        </row>
        <row r="213">
          <cell r="E213" t="str">
            <v>铬原矿</v>
          </cell>
          <cell r="F213" t="str">
            <v>铬矿石原矿石。</v>
          </cell>
          <cell r="G213" t="str">
            <v>其他矿采选业</v>
          </cell>
        </row>
        <row r="214">
          <cell r="E214" t="str">
            <v>铬选矿</v>
          </cell>
          <cell r="F214" t="str">
            <v>富铬块矿石、铬精矿。</v>
          </cell>
          <cell r="G214" t="str">
            <v>其他矿采选业</v>
          </cell>
        </row>
        <row r="215">
          <cell r="E215" t="str">
            <v>人造富铬矿</v>
          </cell>
          <cell r="F215" t="str">
            <v>烧结球团铬矿石、预还原球团铬矿石、其他人造富铬矿等。</v>
          </cell>
          <cell r="G215" t="str">
            <v>其他矿采选业</v>
          </cell>
        </row>
        <row r="216">
          <cell r="E216" t="str">
            <v>铁原矿</v>
          </cell>
          <cell r="F216" t="str">
            <v>包括磁铁矿石、赤铁矿石、褐铁矿石、菱铁矿石、多金属矿石铁。</v>
          </cell>
          <cell r="G216" t="str">
            <v>黑色金属矿采选业</v>
          </cell>
        </row>
        <row r="217">
          <cell r="E217" t="str">
            <v>铁选矿</v>
          </cell>
          <cell r="F217" t="str">
            <v>包括铁精矿、炼钢块矿石、炼铁块矿石、铁富粉矿石，其中铁精矿包括磁铁矿精矿、赤铁矿精矿、褐铁矿精矿、菱铁矿精矿、多金属铁精矿。</v>
          </cell>
          <cell r="G217" t="str">
            <v>黑色金属矿采选业</v>
          </cell>
        </row>
        <row r="218">
          <cell r="E218" t="str">
            <v>人造富铁矿</v>
          </cell>
          <cell r="F218" t="str">
            <v>包括烧结铁矿石、球团铁矿石、其他人造富铁矿等。</v>
          </cell>
          <cell r="G218" t="str">
            <v>黑色金属矿采选业</v>
          </cell>
        </row>
        <row r="219">
          <cell r="E219" t="str">
            <v>锰原矿</v>
          </cell>
          <cell r="F219" t="str">
            <v>包括碳酸锰矿石、氧化锰矿石、其他锰矿石。</v>
          </cell>
          <cell r="G219" t="str">
            <v>其他矿采选业</v>
          </cell>
        </row>
        <row r="220">
          <cell r="E220" t="str">
            <v>锰选矿</v>
          </cell>
          <cell r="F220" t="str">
            <v>包括碳酸锰精矿、氧化锰精矿、其它锰精矿、炼铁锰块矿、炼钢锰块矿、锰粉矿。</v>
          </cell>
          <cell r="G220" t="str">
            <v>其他矿采选业</v>
          </cell>
        </row>
        <row r="221">
          <cell r="E221" t="str">
            <v>人造富锰矿</v>
          </cell>
          <cell r="F221" t="str">
            <v>包括富锰渣、烧结锰矿、球团锰矿、焙烧锰矿。</v>
          </cell>
          <cell r="G221" t="str">
            <v>其他矿采选业</v>
          </cell>
        </row>
        <row r="222">
          <cell r="E222" t="str">
            <v>铋原矿</v>
          </cell>
          <cell r="F222" t="str">
            <v>无说明</v>
          </cell>
          <cell r="G222" t="str">
            <v>其他矿采选业</v>
          </cell>
        </row>
        <row r="223">
          <cell r="E223" t="str">
            <v>铋精矿</v>
          </cell>
          <cell r="F223" t="str">
            <v>无说明</v>
          </cell>
          <cell r="G223" t="str">
            <v>其他矿采选业</v>
          </cell>
        </row>
        <row r="224">
          <cell r="E224" t="str">
            <v>铜原矿</v>
          </cell>
          <cell r="F224" t="str">
            <v>无说明</v>
          </cell>
          <cell r="G224" t="str">
            <v>有色金属矿采选业</v>
          </cell>
        </row>
        <row r="225">
          <cell r="E225" t="str">
            <v>铜精矿</v>
          </cell>
          <cell r="F225" t="str">
            <v>无说明</v>
          </cell>
          <cell r="G225" t="str">
            <v>有色金属矿采选业</v>
          </cell>
        </row>
        <row r="226">
          <cell r="E226" t="str">
            <v>其他常用有色金属矿石</v>
          </cell>
          <cell r="F226" t="str">
            <v>无说明</v>
          </cell>
          <cell r="G226" t="str">
            <v>其他矿采选业</v>
          </cell>
        </row>
        <row r="227">
          <cell r="E227" t="str">
            <v>钴原矿</v>
          </cell>
          <cell r="F227" t="str">
            <v>无说明</v>
          </cell>
          <cell r="G227" t="str">
            <v>其他矿采选业</v>
          </cell>
        </row>
        <row r="228">
          <cell r="E228" t="str">
            <v>钴精矿</v>
          </cell>
          <cell r="F228" t="str">
            <v>无说明</v>
          </cell>
          <cell r="G228" t="str">
            <v>其他矿采选业</v>
          </cell>
        </row>
        <row r="229">
          <cell r="E229" t="str">
            <v>钠矿石</v>
          </cell>
          <cell r="F229" t="str">
            <v>无说明</v>
          </cell>
          <cell r="G229" t="str">
            <v>其他矿采选业</v>
          </cell>
        </row>
        <row r="230">
          <cell r="E230" t="str">
            <v>锑精矿</v>
          </cell>
          <cell r="F230" t="str">
            <v>无说明</v>
          </cell>
          <cell r="G230" t="str">
            <v>其他矿采选业</v>
          </cell>
        </row>
        <row r="231">
          <cell r="E231" t="str">
            <v>锑原矿</v>
          </cell>
          <cell r="F231" t="str">
            <v>无说明</v>
          </cell>
          <cell r="G231" t="str">
            <v>其他矿采选业</v>
          </cell>
        </row>
        <row r="232">
          <cell r="E232" t="str">
            <v>镁精矿</v>
          </cell>
          <cell r="F232" t="str">
            <v>无说明</v>
          </cell>
          <cell r="G232" t="str">
            <v>其他矿采选业</v>
          </cell>
        </row>
        <row r="233">
          <cell r="E233" t="str">
            <v>镁原矿</v>
          </cell>
          <cell r="F233" t="str">
            <v>无说明</v>
          </cell>
          <cell r="G233" t="str">
            <v>其他矿采选业</v>
          </cell>
        </row>
        <row r="234">
          <cell r="E234" t="str">
            <v>铝土矿</v>
          </cell>
          <cell r="F234" t="str">
            <v>无说明</v>
          </cell>
          <cell r="G234" t="str">
            <v>有色金属矿采选业</v>
          </cell>
        </row>
        <row r="235">
          <cell r="E235" t="str">
            <v>汞矿石</v>
          </cell>
          <cell r="F235" t="str">
            <v>无说明</v>
          </cell>
          <cell r="G235" t="str">
            <v>其他矿采选业</v>
          </cell>
        </row>
        <row r="236">
          <cell r="E236" t="str">
            <v>锡原矿</v>
          </cell>
          <cell r="F236" t="str">
            <v>无说明</v>
          </cell>
          <cell r="G236" t="str">
            <v>有色金属矿采选业</v>
          </cell>
        </row>
        <row r="237">
          <cell r="E237" t="str">
            <v>锡精矿</v>
          </cell>
          <cell r="F237" t="str">
            <v>无说明</v>
          </cell>
          <cell r="G237" t="str">
            <v>有色金属矿采选业</v>
          </cell>
        </row>
        <row r="238">
          <cell r="E238" t="str">
            <v>镍精矿</v>
          </cell>
          <cell r="F238" t="str">
            <v>无说明</v>
          </cell>
          <cell r="G238" t="str">
            <v>有色金属矿采选业</v>
          </cell>
        </row>
        <row r="239">
          <cell r="E239" t="str">
            <v>镍原矿</v>
          </cell>
          <cell r="F239" t="str">
            <v>无说明</v>
          </cell>
          <cell r="G239" t="str">
            <v>有色金属矿采选业</v>
          </cell>
        </row>
        <row r="240">
          <cell r="E240" t="str">
            <v>钛精矿</v>
          </cell>
          <cell r="F240" t="str">
            <v>无说明</v>
          </cell>
          <cell r="G240" t="str">
            <v>其他矿采选业</v>
          </cell>
        </row>
        <row r="241">
          <cell r="E241" t="str">
            <v>钛原矿</v>
          </cell>
          <cell r="F241" t="str">
            <v>无说明</v>
          </cell>
          <cell r="G241" t="str">
            <v>其他矿采选业</v>
          </cell>
        </row>
        <row r="242">
          <cell r="E242" t="str">
            <v>铅锌精矿</v>
          </cell>
          <cell r="F242" t="str">
            <v>无说明</v>
          </cell>
          <cell r="G242" t="str">
            <v>有色金属矿采选业</v>
          </cell>
        </row>
        <row r="243">
          <cell r="E243" t="str">
            <v>铅精矿</v>
          </cell>
          <cell r="F243" t="str">
            <v>无说明</v>
          </cell>
          <cell r="G243" t="str">
            <v>有色金属矿采选业</v>
          </cell>
        </row>
        <row r="244">
          <cell r="E244" t="str">
            <v>锌精矿</v>
          </cell>
          <cell r="F244" t="str">
            <v>无说明</v>
          </cell>
          <cell r="G244" t="str">
            <v>有色金属矿采选业</v>
          </cell>
        </row>
        <row r="245">
          <cell r="E245" t="str">
            <v>铅锌原矿</v>
          </cell>
          <cell r="F245" t="str">
            <v>无说明</v>
          </cell>
          <cell r="G245" t="str">
            <v>有色金属矿采选业</v>
          </cell>
        </row>
        <row r="246">
          <cell r="E246" t="str">
            <v>铀矿石</v>
          </cell>
          <cell r="F246" t="str">
            <v>无说明</v>
          </cell>
          <cell r="G246" t="str">
            <v>其他矿采选业</v>
          </cell>
        </row>
        <row r="247">
          <cell r="E247" t="str">
            <v>钍矿石</v>
          </cell>
          <cell r="F247" t="str">
            <v>无说明</v>
          </cell>
          <cell r="G247" t="str">
            <v>其他矿采选业</v>
          </cell>
        </row>
        <row r="248">
          <cell r="E248" t="str">
            <v>磷钇矿石</v>
          </cell>
          <cell r="F248" t="str">
            <v>无说明</v>
          </cell>
          <cell r="G248" t="str">
            <v>其他矿采选业</v>
          </cell>
        </row>
        <row r="249">
          <cell r="E249" t="str">
            <v>稀土矿产品</v>
          </cell>
          <cell r="F249" t="str">
            <v>无说明</v>
          </cell>
          <cell r="G249" t="str">
            <v>其他矿采选业</v>
          </cell>
        </row>
        <row r="250">
          <cell r="E250" t="str">
            <v>钼精矿</v>
          </cell>
          <cell r="F250" t="str">
            <v>无说明</v>
          </cell>
          <cell r="G250" t="str">
            <v>其他矿采选业</v>
          </cell>
        </row>
        <row r="251">
          <cell r="E251" t="str">
            <v>钼原矿</v>
          </cell>
          <cell r="F251" t="str">
            <v>无说明</v>
          </cell>
          <cell r="G251" t="str">
            <v>其他矿采选业</v>
          </cell>
        </row>
        <row r="252">
          <cell r="E252" t="str">
            <v>钨精矿</v>
          </cell>
          <cell r="F252" t="str">
            <v>无说明</v>
          </cell>
          <cell r="G252" t="str">
            <v>其他矿采选业</v>
          </cell>
        </row>
        <row r="253">
          <cell r="E253" t="str">
            <v>钨原矿</v>
          </cell>
          <cell r="F253" t="str">
            <v>无说明</v>
          </cell>
          <cell r="G253" t="str">
            <v>其他矿采选业</v>
          </cell>
        </row>
        <row r="254">
          <cell r="E254" t="str">
            <v>金精矿</v>
          </cell>
          <cell r="F254" t="str">
            <v>无说明</v>
          </cell>
          <cell r="G254" t="str">
            <v>其他矿采选业</v>
          </cell>
        </row>
        <row r="255">
          <cell r="E255" t="str">
            <v>金原矿</v>
          </cell>
          <cell r="F255" t="str">
            <v>无说明</v>
          </cell>
          <cell r="G255" t="str">
            <v>其他矿采选业</v>
          </cell>
        </row>
        <row r="256">
          <cell r="E256" t="str">
            <v>银原矿</v>
          </cell>
          <cell r="F256" t="str">
            <v>无说明</v>
          </cell>
          <cell r="G256" t="str">
            <v>其他矿采选业</v>
          </cell>
        </row>
        <row r="257">
          <cell r="E257" t="str">
            <v>银精矿</v>
          </cell>
          <cell r="F257" t="str">
            <v>无说明</v>
          </cell>
          <cell r="G257" t="str">
            <v>其他矿采选业</v>
          </cell>
        </row>
        <row r="258">
          <cell r="E258" t="str">
            <v>钌矿</v>
          </cell>
          <cell r="F258" t="str">
            <v>无说明</v>
          </cell>
          <cell r="G258" t="str">
            <v>其他矿采选业</v>
          </cell>
        </row>
        <row r="259">
          <cell r="E259" t="str">
            <v>锇矿</v>
          </cell>
          <cell r="F259" t="str">
            <v>无说明</v>
          </cell>
          <cell r="G259" t="str">
            <v>其他矿采选业</v>
          </cell>
        </row>
        <row r="260">
          <cell r="E260" t="str">
            <v>铱矿</v>
          </cell>
          <cell r="F260" t="str">
            <v>无说明</v>
          </cell>
          <cell r="G260" t="str">
            <v>其他矿采选业</v>
          </cell>
        </row>
        <row r="261">
          <cell r="E261" t="str">
            <v>铑矿</v>
          </cell>
          <cell r="F261" t="str">
            <v>无说明</v>
          </cell>
          <cell r="G261" t="str">
            <v>其他矿采选业</v>
          </cell>
        </row>
        <row r="262">
          <cell r="E262" t="str">
            <v>钯矿</v>
          </cell>
          <cell r="F262" t="str">
            <v>无说明</v>
          </cell>
          <cell r="G262" t="str">
            <v>其他矿采选业</v>
          </cell>
        </row>
        <row r="263">
          <cell r="E263" t="str">
            <v>铂矿</v>
          </cell>
          <cell r="F263" t="str">
            <v>无说明</v>
          </cell>
          <cell r="G263" t="str">
            <v>其他矿采选业</v>
          </cell>
        </row>
        <row r="264">
          <cell r="E264" t="str">
            <v>铟矿</v>
          </cell>
          <cell r="F264" t="str">
            <v>无说明</v>
          </cell>
          <cell r="G264" t="str">
            <v>其他矿采选业</v>
          </cell>
        </row>
        <row r="265">
          <cell r="E265" t="str">
            <v>铯矿</v>
          </cell>
          <cell r="F265" t="str">
            <v>无说明</v>
          </cell>
          <cell r="G265" t="str">
            <v>其他矿采选业</v>
          </cell>
        </row>
        <row r="266">
          <cell r="E266" t="str">
            <v>铍矿</v>
          </cell>
          <cell r="F266" t="str">
            <v>无说明</v>
          </cell>
          <cell r="G266" t="str">
            <v>其他矿采选业</v>
          </cell>
        </row>
        <row r="267">
          <cell r="E267" t="str">
            <v>镓矿</v>
          </cell>
          <cell r="F267" t="str">
            <v>无说明</v>
          </cell>
          <cell r="G267" t="str">
            <v>其他矿采选业</v>
          </cell>
        </row>
        <row r="268">
          <cell r="E268" t="str">
            <v>锗矿</v>
          </cell>
          <cell r="F268" t="str">
            <v>无说明</v>
          </cell>
          <cell r="G268" t="str">
            <v>其他矿采选业</v>
          </cell>
        </row>
        <row r="269">
          <cell r="E269" t="str">
            <v>锂原矿</v>
          </cell>
          <cell r="F269" t="str">
            <v>无说明</v>
          </cell>
          <cell r="G269" t="str">
            <v>其他矿采选业</v>
          </cell>
        </row>
        <row r="270">
          <cell r="E270" t="str">
            <v>锂精矿</v>
          </cell>
          <cell r="F270" t="str">
            <v>无说明</v>
          </cell>
          <cell r="G270" t="str">
            <v>其他矿采选业</v>
          </cell>
        </row>
        <row r="271">
          <cell r="E271" t="str">
            <v>铪矿</v>
          </cell>
          <cell r="F271" t="str">
            <v>无说明</v>
          </cell>
          <cell r="G271" t="str">
            <v>其他矿采选业</v>
          </cell>
        </row>
        <row r="272">
          <cell r="E272" t="str">
            <v>其他未列明有色金属矿石</v>
          </cell>
          <cell r="F272" t="str">
            <v>无说明</v>
          </cell>
          <cell r="G272" t="str">
            <v>其他矿采选业</v>
          </cell>
        </row>
        <row r="273">
          <cell r="E273" t="str">
            <v>铼矿</v>
          </cell>
          <cell r="F273" t="str">
            <v>无说明</v>
          </cell>
          <cell r="G273" t="str">
            <v>其他矿采选业</v>
          </cell>
        </row>
        <row r="274">
          <cell r="E274" t="str">
            <v>钽铌矿</v>
          </cell>
          <cell r="F274" t="str">
            <v>无说明</v>
          </cell>
          <cell r="G274" t="str">
            <v>其他矿采选业</v>
          </cell>
        </row>
        <row r="275">
          <cell r="E275" t="str">
            <v>钒精矿</v>
          </cell>
          <cell r="F275" t="str">
            <v>无说明</v>
          </cell>
          <cell r="G275" t="str">
            <v>其他矿采选业</v>
          </cell>
        </row>
        <row r="276">
          <cell r="E276" t="str">
            <v>钒原矿</v>
          </cell>
          <cell r="F276" t="str">
            <v>无说明</v>
          </cell>
          <cell r="G276" t="str">
            <v>其他矿采选业</v>
          </cell>
        </row>
        <row r="277">
          <cell r="E277" t="str">
            <v>铷矿</v>
          </cell>
          <cell r="F277" t="str">
            <v>无说明</v>
          </cell>
          <cell r="G277" t="str">
            <v>其他矿采选业</v>
          </cell>
        </row>
        <row r="278">
          <cell r="E278" t="str">
            <v>碲矿</v>
          </cell>
          <cell r="F278" t="str">
            <v>无说明</v>
          </cell>
          <cell r="G278" t="str">
            <v>其他矿采选业</v>
          </cell>
        </row>
        <row r="279">
          <cell r="E279" t="str">
            <v>镉矿</v>
          </cell>
          <cell r="F279" t="str">
            <v>无说明</v>
          </cell>
          <cell r="G279" t="str">
            <v>其他矿采选业</v>
          </cell>
        </row>
        <row r="280">
          <cell r="E280" t="str">
            <v>铌矿</v>
          </cell>
          <cell r="F280" t="str">
            <v>无说明</v>
          </cell>
          <cell r="G280" t="str">
            <v>其他矿采选业</v>
          </cell>
        </row>
        <row r="281">
          <cell r="E281" t="str">
            <v>锆矿</v>
          </cell>
          <cell r="F281" t="str">
            <v>无说明</v>
          </cell>
          <cell r="G281" t="str">
            <v>其他矿采选业</v>
          </cell>
        </row>
        <row r="282">
          <cell r="E282" t="str">
            <v>硒矿</v>
          </cell>
          <cell r="F282" t="str">
            <v>无说明</v>
          </cell>
          <cell r="G282" t="str">
            <v>其他矿采选业</v>
          </cell>
        </row>
        <row r="283">
          <cell r="E283" t="str">
            <v>钽矿</v>
          </cell>
          <cell r="F283" t="str">
            <v>无说明</v>
          </cell>
          <cell r="G283" t="str">
            <v>其他矿采选业</v>
          </cell>
        </row>
        <row r="284">
          <cell r="E284" t="str">
            <v>铊矿</v>
          </cell>
          <cell r="F284" t="str">
            <v>无说明</v>
          </cell>
          <cell r="G284" t="str">
            <v>其他矿采选业</v>
          </cell>
        </row>
        <row r="285">
          <cell r="E285" t="str">
            <v>滑石</v>
          </cell>
          <cell r="F285" t="str">
            <v>无说明</v>
          </cell>
          <cell r="G285" t="str">
            <v>其他矿采选业</v>
          </cell>
        </row>
        <row r="286">
          <cell r="E286" t="str">
            <v>石棉</v>
          </cell>
          <cell r="F286" t="str">
            <v>无说明</v>
          </cell>
          <cell r="G286" t="str">
            <v>其他矿采选业</v>
          </cell>
        </row>
        <row r="287">
          <cell r="E287" t="str">
            <v>耐火粘土</v>
          </cell>
          <cell r="F287" t="str">
            <v>无说明</v>
          </cell>
          <cell r="G287" t="str">
            <v>非金属矿采选业</v>
          </cell>
        </row>
        <row r="288">
          <cell r="E288" t="str">
            <v>其他耐火土石类</v>
          </cell>
          <cell r="F288" t="str">
            <v>无说明</v>
          </cell>
          <cell r="G288" t="str">
            <v>其他矿采选业</v>
          </cell>
        </row>
        <row r="289">
          <cell r="E289" t="str">
            <v>铁矾土</v>
          </cell>
          <cell r="F289" t="str">
            <v>无说明</v>
          </cell>
          <cell r="G289" t="str">
            <v>其他矿采选业</v>
          </cell>
        </row>
        <row r="290">
          <cell r="E290" t="str">
            <v>耐火粘土熟料</v>
          </cell>
          <cell r="F290" t="str">
            <v>无说明</v>
          </cell>
          <cell r="G290" t="str">
            <v>非金属矿采选业</v>
          </cell>
        </row>
        <row r="291">
          <cell r="E291" t="str">
            <v>夕线石</v>
          </cell>
          <cell r="F291" t="str">
            <v>无说明</v>
          </cell>
          <cell r="G291" t="str">
            <v>其他矿采选业</v>
          </cell>
        </row>
        <row r="292">
          <cell r="E292" t="str">
            <v>蓝晶石</v>
          </cell>
          <cell r="F292" t="str">
            <v>无说明</v>
          </cell>
          <cell r="G292" t="str">
            <v>其他矿采选业</v>
          </cell>
        </row>
        <row r="293">
          <cell r="E293" t="str">
            <v>红柱石</v>
          </cell>
          <cell r="F293" t="str">
            <v>无说明</v>
          </cell>
          <cell r="G293" t="str">
            <v>其他矿采选业</v>
          </cell>
        </row>
        <row r="294">
          <cell r="E294" t="str">
            <v>白云岩</v>
          </cell>
          <cell r="F294" t="str">
            <v>无说明</v>
          </cell>
          <cell r="G294" t="str">
            <v>其他矿采选业</v>
          </cell>
        </row>
        <row r="295">
          <cell r="E295" t="str">
            <v>煅烧白云石</v>
          </cell>
          <cell r="F295" t="str">
            <v>无说明</v>
          </cell>
          <cell r="G295" t="str">
            <v>其他矿采选业</v>
          </cell>
        </row>
        <row r="296">
          <cell r="E296" t="str">
            <v>建设用卵石、碎石</v>
          </cell>
          <cell r="F296" t="str">
            <v>卵石是指在自然条件作用下岩石产生破碎、风化、分选、运移、堆（沉）积，而形成的粒径大于4.75mm的岩石颗粒。碎石是指由天然岩石、卵石或矿山废石经破碎、筛分等机械加工而成的，粒径大于4.75mm的岩石颗粒。</v>
          </cell>
          <cell r="G296" t="str">
            <v>其他矿采选业</v>
          </cell>
        </row>
        <row r="297">
          <cell r="E297" t="str">
            <v>机制砂</v>
          </cell>
          <cell r="F297" t="str">
            <v>机制砂石是指由原生岩石矿山资源经机械破碎、筛分、整形等工艺加工制成的直径不超过5毫米的砂石颗粒。不含1020504040400000000石粉。</v>
          </cell>
          <cell r="G297" t="str">
            <v>其他矿采选业</v>
          </cell>
        </row>
        <row r="298">
          <cell r="E298" t="str">
            <v>天然砂</v>
          </cell>
          <cell r="F298" t="str">
            <v>包括河砂（沙）、湖砂（沙）、海砂（沙）</v>
          </cell>
          <cell r="G298" t="str">
            <v>其他矿采选业</v>
          </cell>
        </row>
        <row r="299">
          <cell r="E299" t="str">
            <v>石粉</v>
          </cell>
          <cell r="F299" t="str">
            <v>机制砂中粒径小于75μm的颗粒</v>
          </cell>
          <cell r="G299" t="str">
            <v>其他矿采选业</v>
          </cell>
        </row>
        <row r="300">
          <cell r="E300" t="str">
            <v>建筑用土</v>
          </cell>
          <cell r="F300" t="str">
            <v>无说明</v>
          </cell>
          <cell r="G300" t="str">
            <v>其他矿采选业</v>
          </cell>
        </row>
        <row r="301">
          <cell r="E301" t="str">
            <v>伊利石粘土</v>
          </cell>
          <cell r="F301" t="str">
            <v>无说明</v>
          </cell>
          <cell r="G301" t="str">
            <v>非金属矿采选业</v>
          </cell>
        </row>
        <row r="302">
          <cell r="E302" t="str">
            <v>海泡石粘土</v>
          </cell>
          <cell r="F302" t="str">
            <v>无说明</v>
          </cell>
          <cell r="G302" t="str">
            <v>非金属矿采选业</v>
          </cell>
        </row>
        <row r="303">
          <cell r="E303" t="str">
            <v>累托石粘土</v>
          </cell>
          <cell r="F303" t="str">
            <v>无说明</v>
          </cell>
          <cell r="G303" t="str">
            <v>非金属矿采选业</v>
          </cell>
        </row>
        <row r="304">
          <cell r="E304" t="str">
            <v>高岭土选矿</v>
          </cell>
          <cell r="F304" t="str">
            <v>造纸用高岭土、搪瓷用高岭土、橡塑用高岭土、陶瓷用高岭土、涂料工业用高岭土</v>
          </cell>
          <cell r="G304" t="str">
            <v>其他矿采选业</v>
          </cell>
        </row>
        <row r="305">
          <cell r="E305" t="str">
            <v>高岭土原矿</v>
          </cell>
          <cell r="F305" t="str">
            <v>以高岭石族矿物为主组成的粘土或岩石的总称</v>
          </cell>
          <cell r="G305" t="str">
            <v>其他矿采选业</v>
          </cell>
        </row>
        <row r="306">
          <cell r="E306" t="str">
            <v>其他高岭土产品</v>
          </cell>
          <cell r="F306" t="str">
            <v>无说明</v>
          </cell>
          <cell r="G306" t="str">
            <v>其他矿采选业</v>
          </cell>
        </row>
        <row r="307">
          <cell r="E307" t="str">
            <v>其他粘土</v>
          </cell>
          <cell r="F307" t="str">
            <v>包括铸型用粘土、砖瓦用粘土、陶粒用粘土、水泥配料用粘土、水泥配料用红土、水泥配料用黄土、水泥配料用泥岩、保温材料用粘土。</v>
          </cell>
          <cell r="G307" t="str">
            <v>非金属矿采选业</v>
          </cell>
        </row>
        <row r="308">
          <cell r="E308" t="str">
            <v>凹凸棒石粘土</v>
          </cell>
          <cell r="F308" t="str">
            <v>无说明</v>
          </cell>
          <cell r="G308" t="str">
            <v>非金属矿采选业</v>
          </cell>
        </row>
        <row r="309">
          <cell r="E309" t="str">
            <v>膨润土原矿</v>
          </cell>
          <cell r="F309" t="str">
            <v>主要由蒙脱石组成的粘土岩。</v>
          </cell>
          <cell r="G309" t="str">
            <v>其他矿采选业</v>
          </cell>
        </row>
        <row r="310">
          <cell r="E310" t="str">
            <v>其他膨润土产品</v>
          </cell>
          <cell r="F310" t="str">
            <v>主要指复合钠基膨润土、钻井泥浆土等。</v>
          </cell>
          <cell r="G310" t="str">
            <v>其他矿采选业</v>
          </cell>
        </row>
        <row r="311">
          <cell r="E311" t="str">
            <v>膨润土选矿</v>
          </cell>
          <cell r="F311" t="str">
            <v>有机膨润土粉、活性膨润土粉，脱色土、漂白土等。</v>
          </cell>
          <cell r="G311" t="str">
            <v>其他矿采选业</v>
          </cell>
        </row>
        <row r="312">
          <cell r="E312" t="str">
            <v>其他砂石骨料</v>
          </cell>
          <cell r="F312" t="str">
            <v>无说明</v>
          </cell>
          <cell r="G312" t="str">
            <v>非金属矿采选业</v>
          </cell>
        </row>
        <row r="313">
          <cell r="E313" t="str">
            <v>硅藻土</v>
          </cell>
          <cell r="F313" t="str">
            <v>无说明</v>
          </cell>
          <cell r="G313" t="str">
            <v>其他矿采选业</v>
          </cell>
        </row>
        <row r="314">
          <cell r="E314" t="str">
            <v>以自己采掘的砂、土、石料或其他矿物连续生产的砖、瓦、石灰（不含粘土实心砖、瓦）</v>
          </cell>
          <cell r="F314" t="str">
            <v>无说明</v>
          </cell>
          <cell r="G314" t="str">
            <v>非金属矿采选业</v>
          </cell>
        </row>
        <row r="315">
          <cell r="E315" t="str">
            <v>煅烧高岭土</v>
          </cell>
          <cell r="F315" t="str">
            <v>无说明</v>
          </cell>
          <cell r="G315" t="str">
            <v>其他矿采选业</v>
          </cell>
        </row>
        <row r="316">
          <cell r="E316" t="str">
            <v>干化污泥</v>
          </cell>
          <cell r="F316" t="str">
            <v>无说明</v>
          </cell>
          <cell r="G316" t="str">
            <v>其他矿采选业</v>
          </cell>
        </row>
        <row r="317">
          <cell r="E317" t="str">
            <v>石墨</v>
          </cell>
          <cell r="F317" t="str">
            <v>无说明</v>
          </cell>
          <cell r="G317" t="str">
            <v>其他矿采选业</v>
          </cell>
        </row>
        <row r="318">
          <cell r="E318" t="str">
            <v>明矾石</v>
          </cell>
          <cell r="F318" t="str">
            <v>无说明</v>
          </cell>
          <cell r="G318" t="str">
            <v>其他矿采选业</v>
          </cell>
        </row>
        <row r="319">
          <cell r="E319" t="str">
            <v>钠硝石</v>
          </cell>
          <cell r="F319" t="str">
            <v>无说明</v>
          </cell>
          <cell r="G319" t="str">
            <v>其他矿采选业</v>
          </cell>
        </row>
        <row r="320">
          <cell r="E320" t="str">
            <v>重晶石精矿</v>
          </cell>
          <cell r="F320" t="str">
            <v>无说明</v>
          </cell>
          <cell r="G320" t="str">
            <v>其他矿采选业</v>
          </cell>
        </row>
        <row r="321">
          <cell r="E321" t="str">
            <v>重晶石原矿</v>
          </cell>
          <cell r="F321" t="str">
            <v>无说明</v>
          </cell>
          <cell r="G321" t="str">
            <v>其他矿采选业</v>
          </cell>
        </row>
        <row r="322">
          <cell r="E322" t="str">
            <v>毒重石原矿</v>
          </cell>
          <cell r="F322" t="str">
            <v>无说明</v>
          </cell>
          <cell r="G322" t="str">
            <v>其他矿采选业</v>
          </cell>
        </row>
        <row r="323">
          <cell r="E323" t="str">
            <v>毒重石精矿</v>
          </cell>
          <cell r="F323" t="str">
            <v>无说明</v>
          </cell>
          <cell r="G323" t="str">
            <v>其他矿采选业</v>
          </cell>
        </row>
        <row r="324">
          <cell r="E324" t="str">
            <v>冰晶石</v>
          </cell>
          <cell r="F324" t="str">
            <v>无说明</v>
          </cell>
          <cell r="G324" t="str">
            <v>其他矿采选业</v>
          </cell>
        </row>
        <row r="325">
          <cell r="E325" t="str">
            <v>萤石原矿</v>
          </cell>
          <cell r="F325" t="str">
            <v>无说明</v>
          </cell>
          <cell r="G325" t="str">
            <v>其他矿采选业</v>
          </cell>
        </row>
        <row r="326">
          <cell r="E326" t="str">
            <v>萤石精矿</v>
          </cell>
          <cell r="F326" t="str">
            <v>无说明</v>
          </cell>
          <cell r="G326" t="str">
            <v>其他矿采选业</v>
          </cell>
        </row>
        <row r="327">
          <cell r="E327" t="str">
            <v>芒硝</v>
          </cell>
          <cell r="F327" t="str">
            <v>无说明</v>
          </cell>
          <cell r="G327" t="str">
            <v>其他矿采选业</v>
          </cell>
        </row>
        <row r="328">
          <cell r="E328" t="str">
            <v>锶精矿</v>
          </cell>
          <cell r="F328" t="str">
            <v>无说明</v>
          </cell>
          <cell r="G328" t="str">
            <v>其他矿采选业</v>
          </cell>
        </row>
        <row r="329">
          <cell r="E329" t="str">
            <v>锶原矿</v>
          </cell>
          <cell r="F329" t="str">
            <v>无说明</v>
          </cell>
          <cell r="G329" t="str">
            <v>其他矿采选业</v>
          </cell>
        </row>
        <row r="330">
          <cell r="E330" t="str">
            <v>自然硫</v>
          </cell>
          <cell r="F330" t="str">
            <v>无说明</v>
          </cell>
          <cell r="G330" t="str">
            <v>其他矿采选业</v>
          </cell>
        </row>
        <row r="331">
          <cell r="E331" t="str">
            <v>天然碱</v>
          </cell>
          <cell r="F331" t="str">
            <v>无说明</v>
          </cell>
          <cell r="G331" t="str">
            <v>其他矿采选业</v>
          </cell>
        </row>
        <row r="332">
          <cell r="E332" t="str">
            <v>砷矿石</v>
          </cell>
          <cell r="F332" t="str">
            <v>无说明</v>
          </cell>
          <cell r="G332" t="str">
            <v>其他矿采选业</v>
          </cell>
        </row>
        <row r="333">
          <cell r="E333" t="str">
            <v>硫铁矿精矿</v>
          </cell>
          <cell r="F333" t="str">
            <v>无说明</v>
          </cell>
          <cell r="G333" t="str">
            <v>黑色金属矿采选业</v>
          </cell>
        </row>
        <row r="334">
          <cell r="E334" t="str">
            <v>硫铁矿原矿</v>
          </cell>
          <cell r="F334" t="str">
            <v>无说明</v>
          </cell>
          <cell r="G334" t="str">
            <v>黑色金属矿采选业</v>
          </cell>
        </row>
        <row r="335">
          <cell r="E335" t="str">
            <v>冰洲石</v>
          </cell>
          <cell r="F335" t="str">
            <v>无说明</v>
          </cell>
          <cell r="G335" t="str">
            <v>其他矿采选业</v>
          </cell>
        </row>
        <row r="336">
          <cell r="E336" t="str">
            <v>磷精矿</v>
          </cell>
          <cell r="F336" t="str">
            <v>无说明</v>
          </cell>
          <cell r="G336" t="str">
            <v>其他矿采选业</v>
          </cell>
        </row>
        <row r="337">
          <cell r="E337" t="str">
            <v>磷原矿</v>
          </cell>
          <cell r="F337" t="str">
            <v>无说明</v>
          </cell>
          <cell r="G337" t="str">
            <v>其他矿采选业</v>
          </cell>
        </row>
        <row r="338">
          <cell r="E338" t="str">
            <v>其他化学矿石</v>
          </cell>
          <cell r="F338" t="str">
            <v>无说明</v>
          </cell>
          <cell r="G338" t="str">
            <v>其他矿采选业</v>
          </cell>
        </row>
        <row r="339">
          <cell r="E339" t="str">
            <v>硼矿石</v>
          </cell>
          <cell r="F339" t="str">
            <v>无说明</v>
          </cell>
          <cell r="G339" t="str">
            <v>其他矿采选业</v>
          </cell>
        </row>
        <row r="340">
          <cell r="E340" t="str">
            <v>蛇纹岩</v>
          </cell>
          <cell r="F340" t="str">
            <v>无说明</v>
          </cell>
          <cell r="G340" t="str">
            <v>其他矿采选业</v>
          </cell>
        </row>
        <row r="341">
          <cell r="E341" t="str">
            <v>硫镁矾矿石</v>
          </cell>
          <cell r="F341" t="str">
            <v>无说明</v>
          </cell>
          <cell r="G341" t="str">
            <v>其他矿采选业</v>
          </cell>
        </row>
        <row r="342">
          <cell r="E342" t="str">
            <v>含钾砂页岩</v>
          </cell>
          <cell r="F342" t="str">
            <v>无说明</v>
          </cell>
          <cell r="G342" t="str">
            <v>其他矿采选业</v>
          </cell>
        </row>
        <row r="343">
          <cell r="E343" t="str">
            <v>含钾岩石</v>
          </cell>
          <cell r="F343" t="str">
            <v>无说明</v>
          </cell>
          <cell r="G343" t="str">
            <v>其他矿采选业</v>
          </cell>
        </row>
        <row r="344">
          <cell r="E344" t="str">
            <v>石灰岩原矿</v>
          </cell>
          <cell r="F344" t="str">
            <v>无说明</v>
          </cell>
          <cell r="G344" t="str">
            <v>其他矿采选业</v>
          </cell>
        </row>
        <row r="345">
          <cell r="E345" t="str">
            <v>石灰岩选矿</v>
          </cell>
          <cell r="F345" t="str">
            <v>无说明</v>
          </cell>
          <cell r="G345" t="str">
            <v>其他矿采选业</v>
          </cell>
        </row>
        <row r="346">
          <cell r="E346" t="str">
            <v>石膏</v>
          </cell>
          <cell r="F346" t="str">
            <v>无说明</v>
          </cell>
          <cell r="G346" t="str">
            <v>非金属矿采选业</v>
          </cell>
        </row>
        <row r="347">
          <cell r="E347" t="str">
            <v>砂岩</v>
          </cell>
          <cell r="F347" t="str">
            <v>无说明</v>
          </cell>
          <cell r="G347" t="str">
            <v>其他矿采选业</v>
          </cell>
        </row>
        <row r="348">
          <cell r="E348" t="str">
            <v>其他建筑用天然石料</v>
          </cell>
          <cell r="F348" t="str">
            <v>无说明</v>
          </cell>
          <cell r="G348" t="str">
            <v>其他矿采选业</v>
          </cell>
        </row>
        <row r="349">
          <cell r="E349" t="str">
            <v>粗面岩</v>
          </cell>
          <cell r="F349" t="str">
            <v>无说明</v>
          </cell>
          <cell r="G349" t="str">
            <v>其他矿采选业</v>
          </cell>
        </row>
        <row r="350">
          <cell r="E350" t="str">
            <v>松脂岩</v>
          </cell>
          <cell r="F350" t="str">
            <v>无说明</v>
          </cell>
          <cell r="G350" t="str">
            <v>其他矿采选业</v>
          </cell>
        </row>
        <row r="351">
          <cell r="E351" t="str">
            <v>角闪岩</v>
          </cell>
          <cell r="F351" t="str">
            <v>无说明</v>
          </cell>
          <cell r="G351" t="str">
            <v>其他矿采选业</v>
          </cell>
        </row>
        <row r="352">
          <cell r="E352" t="str">
            <v>浮石</v>
          </cell>
          <cell r="F352" t="str">
            <v>无说明</v>
          </cell>
          <cell r="G352" t="str">
            <v>其他矿采选业</v>
          </cell>
        </row>
        <row r="353">
          <cell r="E353" t="str">
            <v>凝灰岩</v>
          </cell>
          <cell r="F353" t="str">
            <v>无说明</v>
          </cell>
          <cell r="G353" t="str">
            <v>其他矿采选业</v>
          </cell>
        </row>
        <row r="354">
          <cell r="E354" t="str">
            <v>天然花岗石荒料</v>
          </cell>
          <cell r="F354" t="str">
            <v>无说明</v>
          </cell>
          <cell r="G354" t="str">
            <v>其他矿采选业</v>
          </cell>
        </row>
        <row r="355">
          <cell r="E355" t="str">
            <v>花岗岩选矿</v>
          </cell>
          <cell r="F355" t="str">
            <v>无说明</v>
          </cell>
          <cell r="G355" t="str">
            <v>其他矿采选业</v>
          </cell>
        </row>
        <row r="356">
          <cell r="E356" t="str">
            <v>蜡石</v>
          </cell>
          <cell r="F356" t="str">
            <v>无说明</v>
          </cell>
          <cell r="G356" t="str">
            <v>其他矿采选业</v>
          </cell>
        </row>
        <row r="357">
          <cell r="E357" t="str">
            <v>辉长岩</v>
          </cell>
          <cell r="F357" t="str">
            <v>无说明</v>
          </cell>
          <cell r="G357" t="str">
            <v>其他矿采选业</v>
          </cell>
        </row>
        <row r="358">
          <cell r="E358" t="str">
            <v>正长岩</v>
          </cell>
          <cell r="F358" t="str">
            <v>无说明</v>
          </cell>
          <cell r="G358" t="str">
            <v>其他矿采选业</v>
          </cell>
        </row>
        <row r="359">
          <cell r="E359" t="str">
            <v>麦饭石</v>
          </cell>
          <cell r="F359" t="str">
            <v>无说明</v>
          </cell>
          <cell r="G359" t="str">
            <v>其他矿采选业</v>
          </cell>
        </row>
        <row r="360">
          <cell r="E360" t="str">
            <v>玄武岩</v>
          </cell>
          <cell r="F360" t="str">
            <v>无说明</v>
          </cell>
          <cell r="G360" t="str">
            <v>其他矿采选业</v>
          </cell>
        </row>
        <row r="361">
          <cell r="E361" t="str">
            <v>闪长岩</v>
          </cell>
          <cell r="F361" t="str">
            <v>无说明</v>
          </cell>
          <cell r="G361" t="str">
            <v>其他矿采选业</v>
          </cell>
        </row>
        <row r="362">
          <cell r="E362" t="str">
            <v>泥灰岩</v>
          </cell>
          <cell r="F362" t="str">
            <v>无说明</v>
          </cell>
          <cell r="G362" t="str">
            <v>其他矿采选业</v>
          </cell>
        </row>
        <row r="363">
          <cell r="E363" t="str">
            <v>板岩</v>
          </cell>
          <cell r="F363" t="str">
            <v>无说明</v>
          </cell>
          <cell r="G363" t="str">
            <v>其他矿采选业</v>
          </cell>
        </row>
        <row r="364">
          <cell r="E364" t="str">
            <v>天然大理石荒料</v>
          </cell>
          <cell r="F364" t="str">
            <v>无说明</v>
          </cell>
          <cell r="G364" t="str">
            <v>其他矿采选业</v>
          </cell>
        </row>
        <row r="365">
          <cell r="E365" t="str">
            <v>大理岩选矿</v>
          </cell>
          <cell r="F365" t="str">
            <v>无说明</v>
          </cell>
          <cell r="G365" t="str">
            <v>其他矿采选业</v>
          </cell>
        </row>
        <row r="366">
          <cell r="E366" t="str">
            <v>火山灰</v>
          </cell>
          <cell r="F366" t="str">
            <v>无说明</v>
          </cell>
          <cell r="G366" t="str">
            <v>其他矿采选业</v>
          </cell>
        </row>
        <row r="367">
          <cell r="E367" t="str">
            <v>页岩</v>
          </cell>
          <cell r="F367" t="str">
            <v>无说明</v>
          </cell>
          <cell r="G367" t="str">
            <v>其他矿采选业</v>
          </cell>
        </row>
        <row r="368">
          <cell r="E368" t="str">
            <v>天然油石</v>
          </cell>
          <cell r="F368" t="str">
            <v>无说明</v>
          </cell>
          <cell r="G368" t="str">
            <v>其他矿采选业</v>
          </cell>
        </row>
        <row r="369">
          <cell r="E369" t="str">
            <v>火山渣</v>
          </cell>
          <cell r="F369" t="str">
            <v>无说明</v>
          </cell>
          <cell r="G369" t="str">
            <v>其他矿采选业</v>
          </cell>
        </row>
        <row r="370">
          <cell r="E370" t="str">
            <v>安山岩</v>
          </cell>
          <cell r="F370" t="str">
            <v>无说明</v>
          </cell>
          <cell r="G370" t="str">
            <v>其他矿采选业</v>
          </cell>
        </row>
        <row r="371">
          <cell r="E371" t="str">
            <v>辉绿岩</v>
          </cell>
          <cell r="F371" t="str">
            <v>无说明</v>
          </cell>
          <cell r="G371" t="str">
            <v>其他矿采选业</v>
          </cell>
        </row>
        <row r="372">
          <cell r="E372" t="str">
            <v>霞石正长岩</v>
          </cell>
          <cell r="F372" t="str">
            <v>无说明</v>
          </cell>
          <cell r="G372" t="str">
            <v>其他矿采选业</v>
          </cell>
        </row>
        <row r="373">
          <cell r="E373" t="str">
            <v>黑曜岩</v>
          </cell>
          <cell r="F373" t="str">
            <v>无说明</v>
          </cell>
          <cell r="G373" t="str">
            <v>其他矿采选业</v>
          </cell>
        </row>
        <row r="374">
          <cell r="E374" t="str">
            <v>片麻岩</v>
          </cell>
          <cell r="F374" t="str">
            <v>无说明</v>
          </cell>
          <cell r="G374" t="str">
            <v>其他矿采选业</v>
          </cell>
        </row>
        <row r="375">
          <cell r="E375" t="str">
            <v>橄榄岩</v>
          </cell>
          <cell r="F375" t="str">
            <v>无说明</v>
          </cell>
          <cell r="G375" t="str">
            <v>其他矿采选业</v>
          </cell>
        </row>
        <row r="376">
          <cell r="E376" t="str">
            <v>石英岩</v>
          </cell>
          <cell r="F376" t="str">
            <v>无说明</v>
          </cell>
          <cell r="G376" t="str">
            <v>其他矿采选业</v>
          </cell>
        </row>
        <row r="377">
          <cell r="E377" t="str">
            <v>辉石岩</v>
          </cell>
          <cell r="F377" t="str">
            <v>无说明</v>
          </cell>
          <cell r="G377" t="str">
            <v>其他矿采选业</v>
          </cell>
        </row>
        <row r="378">
          <cell r="E378" t="str">
            <v>泥炭</v>
          </cell>
          <cell r="F378" t="str">
            <v>无说明</v>
          </cell>
          <cell r="G378" t="str">
            <v>其他矿采选业</v>
          </cell>
        </row>
        <row r="379">
          <cell r="E379" t="str">
            <v>彩石类矿石</v>
          </cell>
          <cell r="F379" t="str">
            <v>无说明</v>
          </cell>
          <cell r="G379" t="str">
            <v>其他矿采选业</v>
          </cell>
        </row>
        <row r="380">
          <cell r="E380" t="str">
            <v>玛瑙</v>
          </cell>
          <cell r="F380" t="str">
            <v>无说明</v>
          </cell>
          <cell r="G380" t="str">
            <v>其他矿采选业</v>
          </cell>
        </row>
        <row r="381">
          <cell r="E381" t="str">
            <v>其他玉石</v>
          </cell>
          <cell r="F381" t="str">
            <v>无说明</v>
          </cell>
          <cell r="G381" t="str">
            <v>其他矿采选业</v>
          </cell>
        </row>
        <row r="382">
          <cell r="E382" t="str">
            <v>有机宝石</v>
          </cell>
          <cell r="F382" t="str">
            <v>无说明</v>
          </cell>
          <cell r="G382" t="str">
            <v>其他矿采选业</v>
          </cell>
        </row>
        <row r="383">
          <cell r="E383" t="str">
            <v>黄玉</v>
          </cell>
          <cell r="F383" t="str">
            <v>无说明</v>
          </cell>
          <cell r="G383" t="str">
            <v>其他矿采选业</v>
          </cell>
        </row>
        <row r="384">
          <cell r="E384" t="str">
            <v>碧玺</v>
          </cell>
          <cell r="F384" t="str">
            <v>无说明</v>
          </cell>
          <cell r="G384" t="str">
            <v>其他矿采选业</v>
          </cell>
        </row>
        <row r="385">
          <cell r="E385" t="str">
            <v>其他天然宝石矿石</v>
          </cell>
          <cell r="F385" t="str">
            <v>无说明</v>
          </cell>
          <cell r="G385" t="str">
            <v>其他矿采选业</v>
          </cell>
        </row>
        <row r="386">
          <cell r="E386" t="str">
            <v>宝石级金刚石</v>
          </cell>
          <cell r="F386" t="str">
            <v>无说明</v>
          </cell>
          <cell r="G386" t="str">
            <v>其他矿采选业</v>
          </cell>
        </row>
        <row r="387">
          <cell r="E387" t="str">
            <v>云母</v>
          </cell>
          <cell r="F387" t="str">
            <v>无说明</v>
          </cell>
          <cell r="G387" t="str">
            <v>其他矿采选业</v>
          </cell>
        </row>
        <row r="388">
          <cell r="E388" t="str">
            <v>工业用电气石</v>
          </cell>
          <cell r="F388" t="str">
            <v>无说明</v>
          </cell>
          <cell r="G388" t="str">
            <v>其他矿采选业</v>
          </cell>
        </row>
        <row r="389">
          <cell r="E389" t="str">
            <v>透闪石</v>
          </cell>
          <cell r="F389" t="str">
            <v>无说明</v>
          </cell>
          <cell r="G389" t="str">
            <v>其他矿采选业</v>
          </cell>
        </row>
        <row r="390">
          <cell r="E390" t="str">
            <v>蛭石</v>
          </cell>
          <cell r="F390" t="str">
            <v>无说明</v>
          </cell>
          <cell r="G390" t="str">
            <v>其他矿采选业</v>
          </cell>
        </row>
        <row r="391">
          <cell r="E391" t="str">
            <v>刚玉</v>
          </cell>
          <cell r="F391" t="str">
            <v>无说明</v>
          </cell>
          <cell r="G391" t="str">
            <v>其他矿采选业</v>
          </cell>
        </row>
        <row r="392">
          <cell r="E392" t="str">
            <v>颜料矿物</v>
          </cell>
          <cell r="F392" t="str">
            <v>无说明</v>
          </cell>
          <cell r="G392" t="str">
            <v>其他矿采选业</v>
          </cell>
        </row>
        <row r="393">
          <cell r="E393" t="str">
            <v>沸石</v>
          </cell>
          <cell r="F393" t="str">
            <v>无说明</v>
          </cell>
          <cell r="G393" t="str">
            <v>其他矿采选业</v>
          </cell>
        </row>
        <row r="394">
          <cell r="E394" t="str">
            <v>陶瓷土</v>
          </cell>
          <cell r="F394" t="str">
            <v>无说明</v>
          </cell>
          <cell r="G394" t="str">
            <v>其他矿采选业</v>
          </cell>
        </row>
        <row r="395">
          <cell r="E395" t="str">
            <v>珍珠岩</v>
          </cell>
          <cell r="F395" t="str">
            <v>无说明</v>
          </cell>
          <cell r="G395" t="str">
            <v>其他矿采选业</v>
          </cell>
        </row>
        <row r="396">
          <cell r="E396" t="str">
            <v>长石</v>
          </cell>
          <cell r="F396" t="str">
            <v>无说明</v>
          </cell>
          <cell r="G396" t="str">
            <v>其他矿采选业</v>
          </cell>
        </row>
        <row r="397">
          <cell r="E397" t="str">
            <v>粉石英</v>
          </cell>
          <cell r="F397" t="str">
            <v>无说明</v>
          </cell>
          <cell r="G397" t="str">
            <v>其他矿采选业</v>
          </cell>
        </row>
        <row r="398">
          <cell r="E398" t="str">
            <v>硅灰石</v>
          </cell>
          <cell r="F398" t="str">
            <v>无说明</v>
          </cell>
          <cell r="G398" t="str">
            <v>其他矿采选业</v>
          </cell>
        </row>
        <row r="399">
          <cell r="E399" t="str">
            <v>脉石英</v>
          </cell>
          <cell r="F399" t="str">
            <v>无说明</v>
          </cell>
          <cell r="G399" t="str">
            <v>其他矿采选业</v>
          </cell>
        </row>
        <row r="400">
          <cell r="E400" t="str">
            <v>白垩</v>
          </cell>
          <cell r="F400" t="str">
            <v>无说明</v>
          </cell>
          <cell r="G400" t="str">
            <v>其他矿采选业</v>
          </cell>
        </row>
        <row r="401">
          <cell r="E401" t="str">
            <v>石榴子石</v>
          </cell>
          <cell r="F401" t="str">
            <v>无说明</v>
          </cell>
          <cell r="G401" t="str">
            <v>其他矿采选业</v>
          </cell>
        </row>
        <row r="402">
          <cell r="E402" t="str">
            <v>蓝石棉</v>
          </cell>
          <cell r="F402" t="str">
            <v>无说明</v>
          </cell>
          <cell r="G402" t="str">
            <v>其他矿采选业</v>
          </cell>
        </row>
        <row r="403">
          <cell r="E403" t="str">
            <v>天然石英砂</v>
          </cell>
          <cell r="F403" t="str">
            <v>无说明</v>
          </cell>
          <cell r="G403" t="str">
            <v>其他矿采选业</v>
          </cell>
        </row>
        <row r="404">
          <cell r="E404" t="str">
            <v>工业用金刚石</v>
          </cell>
          <cell r="F404" t="str">
            <v>无说明</v>
          </cell>
          <cell r="G404" t="str">
            <v>其他矿采选业</v>
          </cell>
        </row>
        <row r="405">
          <cell r="E405" t="str">
            <v>透辉石</v>
          </cell>
          <cell r="F405" t="str">
            <v>无说明</v>
          </cell>
          <cell r="G405" t="str">
            <v>其他矿采选业</v>
          </cell>
        </row>
        <row r="406">
          <cell r="E406" t="str">
            <v>叶腊石</v>
          </cell>
          <cell r="F406" t="str">
            <v>无说明</v>
          </cell>
          <cell r="G406" t="str">
            <v>其他矿采选业</v>
          </cell>
        </row>
        <row r="407">
          <cell r="E407" t="str">
            <v>方解石</v>
          </cell>
          <cell r="F407" t="str">
            <v>无说明</v>
          </cell>
          <cell r="G407" t="str">
            <v>其他矿采选业</v>
          </cell>
        </row>
        <row r="408">
          <cell r="E408" t="str">
            <v>水晶</v>
          </cell>
          <cell r="F408" t="str">
            <v>无说明</v>
          </cell>
          <cell r="G408" t="str">
            <v>其他矿采选业</v>
          </cell>
        </row>
        <row r="409">
          <cell r="E409" t="str">
            <v>菱镁矿</v>
          </cell>
          <cell r="F409" t="str">
            <v>无说明</v>
          </cell>
          <cell r="G409" t="str">
            <v>其他矿采选业</v>
          </cell>
        </row>
        <row r="410">
          <cell r="E410" t="str">
            <v>其他原盐</v>
          </cell>
          <cell r="F410" t="str">
            <v>无说明</v>
          </cell>
          <cell r="G410" t="str">
            <v>其他矿采选业</v>
          </cell>
        </row>
        <row r="411">
          <cell r="E411" t="str">
            <v>钾盐</v>
          </cell>
          <cell r="F411" t="str">
            <v>无说明</v>
          </cell>
          <cell r="G411" t="str">
            <v>其他矿采选业</v>
          </cell>
        </row>
        <row r="412">
          <cell r="E412" t="str">
            <v>井矿盐</v>
          </cell>
          <cell r="F412" t="str">
            <v>无说明</v>
          </cell>
          <cell r="G412" t="str">
            <v>其他矿采选业</v>
          </cell>
        </row>
        <row r="413">
          <cell r="E413" t="str">
            <v>镁盐</v>
          </cell>
          <cell r="F413" t="str">
            <v>无说明</v>
          </cell>
          <cell r="G413" t="str">
            <v>其他矿采选业</v>
          </cell>
        </row>
        <row r="414">
          <cell r="E414" t="str">
            <v>湖盐</v>
          </cell>
          <cell r="F414" t="str">
            <v>无说明</v>
          </cell>
          <cell r="G414" t="str">
            <v>其他矿采选业</v>
          </cell>
        </row>
        <row r="415">
          <cell r="E415" t="str">
            <v>锂盐</v>
          </cell>
          <cell r="F415" t="str">
            <v>无说明</v>
          </cell>
          <cell r="G415" t="str">
            <v>其他矿采选业</v>
          </cell>
        </row>
        <row r="416">
          <cell r="E416" t="str">
            <v>天然卤水</v>
          </cell>
          <cell r="F416" t="str">
            <v>无说明</v>
          </cell>
          <cell r="G416" t="str">
            <v>其他矿采选业</v>
          </cell>
        </row>
        <row r="417">
          <cell r="E417" t="str">
            <v>海盐</v>
          </cell>
          <cell r="F417" t="str">
            <v>无说明</v>
          </cell>
          <cell r="G417" t="str">
            <v>其他矿采选业</v>
          </cell>
        </row>
        <row r="418">
          <cell r="E418" t="str">
            <v>硫化氢气</v>
          </cell>
          <cell r="F418" t="str">
            <v>无说明</v>
          </cell>
          <cell r="G418" t="str">
            <v>其他矿采选业</v>
          </cell>
        </row>
        <row r="419">
          <cell r="E419" t="str">
            <v>氡气</v>
          </cell>
          <cell r="F419" t="str">
            <v>无说明</v>
          </cell>
          <cell r="G419" t="str">
            <v>其他矿采选业</v>
          </cell>
        </row>
        <row r="420">
          <cell r="E420" t="str">
            <v>氦气</v>
          </cell>
          <cell r="F420" t="str">
            <v>无说明</v>
          </cell>
          <cell r="G420" t="str">
            <v>其他矿采选业</v>
          </cell>
        </row>
        <row r="421">
          <cell r="E421" t="str">
            <v>矿泉水（矿类）</v>
          </cell>
          <cell r="F421" t="str">
            <v>在特定地质环境条件下自然形成的一种液态矿产资源，是从地下深处自然涌出或经人工揭露的未受污染的地下矿水。</v>
          </cell>
          <cell r="G421" t="str">
            <v>其他矿采选业</v>
          </cell>
        </row>
        <row r="422">
          <cell r="E422" t="str">
            <v>二氧化碳气</v>
          </cell>
          <cell r="F422" t="str">
            <v>无说明</v>
          </cell>
          <cell r="G422" t="str">
            <v>其他矿采选业</v>
          </cell>
        </row>
        <row r="423">
          <cell r="E423" t="str">
            <v>地热</v>
          </cell>
          <cell r="F423" t="str">
            <v>无说明</v>
          </cell>
          <cell r="G423" t="str">
            <v>其他矿采选业</v>
          </cell>
        </row>
        <row r="424">
          <cell r="E424" t="str">
            <v>小麦粉</v>
          </cell>
          <cell r="F424" t="str">
            <v>无说明</v>
          </cell>
          <cell r="G424" t="str">
            <v>食品加工业</v>
          </cell>
        </row>
        <row r="425">
          <cell r="E425" t="str">
            <v>大米粉</v>
          </cell>
          <cell r="F425" t="str">
            <v>无说明</v>
          </cell>
          <cell r="G425" t="str">
            <v>食品加工业</v>
          </cell>
        </row>
        <row r="426">
          <cell r="E426" t="str">
            <v>其他谷物细粉</v>
          </cell>
          <cell r="F426" t="str">
            <v>无说明</v>
          </cell>
          <cell r="G426" t="str">
            <v>食品加工业</v>
          </cell>
        </row>
        <row r="427">
          <cell r="E427" t="str">
            <v>大米</v>
          </cell>
          <cell r="F427" t="str">
            <v>无说明</v>
          </cell>
          <cell r="G427" t="str">
            <v>食品加工业</v>
          </cell>
        </row>
        <row r="428">
          <cell r="E428" t="str">
            <v>小米</v>
          </cell>
          <cell r="F428" t="str">
            <v>无说明</v>
          </cell>
          <cell r="G428" t="str">
            <v>食品加工业</v>
          </cell>
        </row>
        <row r="429">
          <cell r="E429" t="str">
            <v>糯米</v>
          </cell>
          <cell r="F429" t="str">
            <v>无说明</v>
          </cell>
          <cell r="G429" t="str">
            <v>食品加工业</v>
          </cell>
        </row>
        <row r="430">
          <cell r="E430" t="str">
            <v>高粱米</v>
          </cell>
          <cell r="F430" t="str">
            <v>无说明</v>
          </cell>
          <cell r="G430" t="str">
            <v>食品加工业</v>
          </cell>
        </row>
        <row r="431">
          <cell r="E431" t="str">
            <v>脱壳燕麦</v>
          </cell>
          <cell r="F431" t="str">
            <v>指已脱壳但未去皮的燕麦。</v>
          </cell>
          <cell r="G431" t="str">
            <v>食品加工业</v>
          </cell>
        </row>
        <row r="432">
          <cell r="E432" t="str">
            <v>脱壳青稞</v>
          </cell>
          <cell r="F432" t="str">
            <v>无说明</v>
          </cell>
          <cell r="G432" t="str">
            <v>食品加工业</v>
          </cell>
        </row>
        <row r="433">
          <cell r="E433" t="str">
            <v>珠粒大麦</v>
          </cell>
          <cell r="F433" t="str">
            <v>无说明</v>
          </cell>
          <cell r="G433" t="str">
            <v>食品加工业</v>
          </cell>
        </row>
        <row r="434">
          <cell r="E434" t="str">
            <v>其他碾磨、脱壳谷物</v>
          </cell>
          <cell r="F434" t="str">
            <v>无说明</v>
          </cell>
          <cell r="G434" t="str">
            <v>食品加工业</v>
          </cell>
        </row>
        <row r="435">
          <cell r="E435" t="str">
            <v>粗磨谷物</v>
          </cell>
          <cell r="F435" t="str">
            <v>包括谷物去壳谷粉、粗粉及团粒。</v>
          </cell>
          <cell r="G435" t="str">
            <v>食品加工业</v>
          </cell>
        </row>
        <row r="436">
          <cell r="E436" t="str">
            <v>谷物加工制品</v>
          </cell>
          <cell r="F436" t="str">
            <v>包括燕麦片、大麦片、玉米片，谷物胚芽等。</v>
          </cell>
          <cell r="G436" t="str">
            <v>食品加工业</v>
          </cell>
        </row>
        <row r="437">
          <cell r="E437" t="str">
            <v>薯类及类似植物加工品</v>
          </cell>
          <cell r="F437" t="str">
            <v>不包括用以上原料制得的淀粉（详见1030112）</v>
          </cell>
          <cell r="G437" t="str">
            <v>食品加工业</v>
          </cell>
        </row>
        <row r="438">
          <cell r="E438" t="str">
            <v>干豆粉</v>
          </cell>
          <cell r="F438" t="str">
            <v>包括菜豆、扁豆、豇豆或兵豆制得的细粉、粗粉及粉末，主要用于做汤或豆泥</v>
          </cell>
          <cell r="G438" t="str">
            <v>食品加工业</v>
          </cell>
        </row>
        <row r="439">
          <cell r="E439" t="str">
            <v>水果、坚果粉</v>
          </cell>
          <cell r="F439" t="str">
            <v>无说明</v>
          </cell>
          <cell r="G439" t="str">
            <v>食品加工业</v>
          </cell>
        </row>
        <row r="440">
          <cell r="E440" t="str">
            <v>其他植物加工品</v>
          </cell>
          <cell r="F440" t="str">
            <v>包括碾碎的干小麦</v>
          </cell>
          <cell r="G440" t="str">
            <v>食品加工业</v>
          </cell>
        </row>
        <row r="441">
          <cell r="E441" t="str">
            <v>饲料</v>
          </cell>
          <cell r="F441" t="str">
            <v>指配制的动物饲料，除豆粕（详见103010407）以外的单一大宗饲料。</v>
          </cell>
          <cell r="G441" t="str">
            <v>食品加工业</v>
          </cell>
        </row>
        <row r="442">
          <cell r="E442" t="str">
            <v>饲料添加剂</v>
          </cell>
          <cell r="F442" t="str">
            <v>指动物饲料专用添加剂，也称“预配料”，一般说来，是由多种物质（有时称为添加剂）混合组成</v>
          </cell>
          <cell r="G442" t="str">
            <v>食品加工业</v>
          </cell>
        </row>
        <row r="443">
          <cell r="E443" t="str">
            <v>动物源性饲料</v>
          </cell>
          <cell r="F443" t="str">
            <v>指不适于供人食用的肉及其他动物的渣粉及团粒细粉、粗粉及团粒，主要用作动物饲料，也有用于其他方面（例如，做肥料）</v>
          </cell>
          <cell r="G443" t="str">
            <v>食品加工业</v>
          </cell>
        </row>
        <row r="444">
          <cell r="E444" t="str">
            <v>饲料用植物根粉</v>
          </cell>
          <cell r="F444" t="str">
            <v>指饲料甜菜、饲料萝卜、饲料胡萝卜（白色或淡黄色）、芜菁甘蓝及其他饲料用根磨制成粉或团粒</v>
          </cell>
          <cell r="G444" t="str">
            <v>食品加工业</v>
          </cell>
        </row>
        <row r="445">
          <cell r="E445" t="str">
            <v>饲料用水产品渣粉</v>
          </cell>
          <cell r="F445" t="str">
            <v>指非食用鱼、甲壳及软体动物等的渣粉及团粒</v>
          </cell>
          <cell r="G445" t="str">
            <v>食品加工业</v>
          </cell>
        </row>
        <row r="446">
          <cell r="E446" t="str">
            <v>豆粕</v>
          </cell>
          <cell r="F446" t="str">
            <v>豆粕是大豆提取豆油后得到的一种副产品，豆粕是制作牲畜与家禽饲料的主要原料</v>
          </cell>
          <cell r="G446" t="str">
            <v>食品加工业</v>
          </cell>
        </row>
        <row r="447">
          <cell r="E447" t="str">
            <v>大豆油</v>
          </cell>
          <cell r="F447" t="str">
            <v>无说明</v>
          </cell>
          <cell r="G447" t="str">
            <v>食品加工业</v>
          </cell>
        </row>
        <row r="448">
          <cell r="E448" t="str">
            <v>棕榈油</v>
          </cell>
          <cell r="F448" t="str">
            <v>无说明</v>
          </cell>
          <cell r="G448" t="str">
            <v>食品加工业</v>
          </cell>
        </row>
        <row r="449">
          <cell r="E449" t="str">
            <v>菜籽油</v>
          </cell>
          <cell r="F449" t="str">
            <v>无说明</v>
          </cell>
          <cell r="G449" t="str">
            <v>食品加工业</v>
          </cell>
        </row>
        <row r="450">
          <cell r="E450" t="str">
            <v>其他食用植物油</v>
          </cell>
          <cell r="F450" t="str">
            <v>包括花生油、牡丹籽油等</v>
          </cell>
          <cell r="G450" t="str">
            <v>食品加工业</v>
          </cell>
        </row>
        <row r="451">
          <cell r="E451" t="str">
            <v>食用植物油脂</v>
          </cell>
          <cell r="F451" t="str">
            <v>无说明</v>
          </cell>
          <cell r="G451" t="str">
            <v>食品加工业</v>
          </cell>
        </row>
        <row r="452">
          <cell r="E452" t="str">
            <v>茴油、毛椰子油</v>
          </cell>
          <cell r="F452" t="str">
            <v>无说明</v>
          </cell>
          <cell r="G452" t="str">
            <v>食品加工业</v>
          </cell>
        </row>
        <row r="453">
          <cell r="E453" t="str">
            <v>其他非食用植物油</v>
          </cell>
          <cell r="F453" t="str">
            <v>无说明</v>
          </cell>
          <cell r="G453" t="str">
            <v>食品加工业</v>
          </cell>
        </row>
        <row r="454">
          <cell r="E454" t="str">
            <v>植物油分离制品</v>
          </cell>
          <cell r="F454" t="str">
            <v>无说明</v>
          </cell>
          <cell r="G454" t="str">
            <v>食品加工业</v>
          </cell>
        </row>
        <row r="455">
          <cell r="E455" t="str">
            <v>植物油脂加工产品</v>
          </cell>
          <cell r="F455" t="str">
            <v>无说明</v>
          </cell>
          <cell r="G455" t="str">
            <v>食品加工业</v>
          </cell>
        </row>
        <row r="456">
          <cell r="E456" t="str">
            <v>原糖</v>
          </cell>
          <cell r="F456" t="str">
            <v>未加香料或着色剂</v>
          </cell>
          <cell r="G456" t="str">
            <v>食品加工业</v>
          </cell>
        </row>
        <row r="457">
          <cell r="E457" t="str">
            <v>成品糖</v>
          </cell>
          <cell r="F457" t="str">
            <v>无说明</v>
          </cell>
          <cell r="G457" t="str">
            <v>食品加工业</v>
          </cell>
        </row>
        <row r="458">
          <cell r="E458" t="str">
            <v>加工糖</v>
          </cell>
          <cell r="F458" t="str">
            <v>无说明</v>
          </cell>
          <cell r="G458" t="str">
            <v>食品加工业</v>
          </cell>
        </row>
        <row r="459">
          <cell r="E459" t="str">
            <v>制糖副产品</v>
          </cell>
          <cell r="F459" t="str">
            <v>无说明</v>
          </cell>
          <cell r="G459" t="str">
            <v>食品加工业</v>
          </cell>
        </row>
        <row r="460">
          <cell r="E460" t="str">
            <v>猪、牛、羊、鸡、鸭、鹅鲜、冷、冻肉</v>
          </cell>
          <cell r="F460" t="str">
            <v>无说明</v>
          </cell>
          <cell r="G460" t="str">
            <v>食品加工业</v>
          </cell>
        </row>
        <row r="461">
          <cell r="E461" t="str">
            <v>其他鲜、冷、冻肉</v>
          </cell>
          <cell r="F461" t="str">
            <v>无说明</v>
          </cell>
          <cell r="G461" t="str">
            <v>食品加工业</v>
          </cell>
        </row>
        <row r="462">
          <cell r="E462" t="str">
            <v>动物肠衣</v>
          </cell>
          <cell r="F462" t="str">
            <v>包括动物的肠、肚、膀胱、皮囊或类似肠衣</v>
          </cell>
          <cell r="G462" t="str">
            <v>食品加工业</v>
          </cell>
        </row>
        <row r="463">
          <cell r="E463" t="str">
            <v>可食用动物杂碎</v>
          </cell>
          <cell r="F463" t="str">
            <v>无说明</v>
          </cell>
          <cell r="G463" t="str">
            <v>食品加工业</v>
          </cell>
        </row>
        <row r="464">
          <cell r="E464" t="str">
            <v>动物油脂及加工制品</v>
          </cell>
          <cell r="F464" t="str">
            <v>无说明</v>
          </cell>
          <cell r="G464" t="str">
            <v>食品加工业</v>
          </cell>
        </row>
        <row r="465">
          <cell r="E465" t="str">
            <v>动物精及汁</v>
          </cell>
          <cell r="F465" t="str">
            <v>肉“精”用于制造某些配制食品，例如，汤料（不论是否浓缩）及调味汁；而“汁”主要作为营养食品</v>
          </cell>
          <cell r="G465" t="str">
            <v>食品加工业</v>
          </cell>
        </row>
        <row r="466">
          <cell r="E466" t="str">
            <v>蒸煮香肠制品</v>
          </cell>
          <cell r="F466" t="str">
            <v>包括各类香肠、发酵香肠、高温蒸煮火腿肠、法兰克福肠、肉粉肠、肉粉肚、软包装肉类罐头等</v>
          </cell>
          <cell r="G466" t="str">
            <v>食品加工业</v>
          </cell>
        </row>
        <row r="467">
          <cell r="E467" t="str">
            <v>熏肉制品</v>
          </cell>
          <cell r="F467" t="str">
            <v>无说明</v>
          </cell>
          <cell r="G467" t="str">
            <v>食品加工业</v>
          </cell>
        </row>
        <row r="468">
          <cell r="E468" t="str">
            <v>酱卤烧烤肉制品</v>
          </cell>
          <cell r="F468" t="str">
            <v>指经煮（不包括烫洗或类似处理）、蒸、烤、炒或其他方法烹饪的肉或食用杂碎；包括各类酱肉、扒鸡、烧鸡、烤鸭、酱肘子、卤肉、卤下货、盐水鸭、叫花鸡、叉烧肉</v>
          </cell>
          <cell r="G468" t="str">
            <v>食品加工业</v>
          </cell>
        </row>
        <row r="469">
          <cell r="E469" t="str">
            <v>腌腊肉制品</v>
          </cell>
          <cell r="F469" t="str">
            <v>指干、盐腌或盐渍的肉及杂碎；包括各类火腿、腊肉、腊肠、板鸭、腊乳猪、咸肉、酱封肉</v>
          </cell>
          <cell r="G469" t="str">
            <v>食品加工业</v>
          </cell>
        </row>
        <row r="470">
          <cell r="E470" t="str">
            <v>干炸肉制品</v>
          </cell>
          <cell r="F470" t="str">
            <v>指经煎、炸、炒或其他方法烹饪的肉或食用杂碎；包括各类风干肉、肉干、肉松、肉脯及各类油炸肉制品</v>
          </cell>
          <cell r="G470" t="str">
            <v>食品加工业</v>
          </cell>
        </row>
        <row r="471">
          <cell r="E471" t="str">
            <v>其他熟肉制品</v>
          </cell>
          <cell r="F471" t="str">
            <v>包括未列明制作的肉、食用杂碎及动物血熟制品</v>
          </cell>
          <cell r="G471" t="str">
            <v>食品加工业</v>
          </cell>
        </row>
        <row r="472">
          <cell r="E472" t="str">
            <v>冷冻水产品</v>
          </cell>
          <cell r="F472" t="str">
            <v>无说明</v>
          </cell>
          <cell r="G472" t="str">
            <v>食品加工业</v>
          </cell>
        </row>
        <row r="473">
          <cell r="E473" t="str">
            <v>干制水产品</v>
          </cell>
          <cell r="F473" t="str">
            <v>无说明</v>
          </cell>
          <cell r="G473" t="str">
            <v>食品加工业</v>
          </cell>
        </row>
        <row r="474">
          <cell r="E474" t="str">
            <v>腌渍水产品</v>
          </cell>
          <cell r="F474" t="str">
            <v>包括盐腌渍的鱼及可食用的鱼粉和粒</v>
          </cell>
          <cell r="G474" t="str">
            <v>食品加工业</v>
          </cell>
        </row>
        <row r="475">
          <cell r="E475" t="str">
            <v>熏制水产品</v>
          </cell>
          <cell r="F475" t="str">
            <v>无说明</v>
          </cell>
          <cell r="G475" t="str">
            <v>食品加工业</v>
          </cell>
        </row>
        <row r="476">
          <cell r="E476" t="str">
            <v>鱼糜（熟肉）制品</v>
          </cell>
          <cell r="F476" t="str">
            <v>经煮、蒸、烤、煎、炸、炒或用醋、油等其他方法制作或保藏的可直接食用，或简单加工即可食用的水生动物制品，不包括罐头制品（详见1030205）</v>
          </cell>
          <cell r="G476" t="str">
            <v>食品加工业</v>
          </cell>
        </row>
        <row r="477">
          <cell r="E477" t="str">
            <v>甲壳水产品加工品</v>
          </cell>
          <cell r="F477" t="str">
            <v>经煮、蒸、烤、煎、炸、炒或用醋、油等其他方法制作或保藏的甲壳水生动物熟制品，可直接食用，或简单加工即可食用的水生动物制品，不包括罐头制品（详见1030205）</v>
          </cell>
          <cell r="G477" t="str">
            <v>食品加工业</v>
          </cell>
        </row>
        <row r="478">
          <cell r="E478" t="str">
            <v>水产品精、汁制品</v>
          </cell>
          <cell r="F478" t="str">
            <v>无说明</v>
          </cell>
          <cell r="G478" t="str">
            <v>食品加工业</v>
          </cell>
        </row>
        <row r="479">
          <cell r="E479" t="str">
            <v>水产品油脂制品</v>
          </cell>
          <cell r="F479" t="str">
            <v>包括鱼或海生哺乳动物的油、脂及其分离品</v>
          </cell>
          <cell r="G479" t="str">
            <v>食品加工业</v>
          </cell>
        </row>
        <row r="480">
          <cell r="E480" t="str">
            <v>其他水产加工品</v>
          </cell>
          <cell r="F480" t="str">
            <v>无说明</v>
          </cell>
          <cell r="G480" t="str">
            <v>食品加工业</v>
          </cell>
        </row>
        <row r="481">
          <cell r="E481" t="str">
            <v>冷冻蔬菜</v>
          </cell>
          <cell r="F481" t="str">
            <v>冷冻蔬菜通常是以工业速冻法制得</v>
          </cell>
          <cell r="G481" t="str">
            <v>食品加工业</v>
          </cell>
        </row>
        <row r="482">
          <cell r="E482" t="str">
            <v>暂时保藏蔬菜（原料）</v>
          </cell>
          <cell r="F482" t="str">
            <v>指适用于在运输或贮存时，仅为暂时保藏而进行处理（例如，存于二氧化硫气体、盐水、亚硫酸水或其他防腐液中），但不适于直接食用的蔬菜，主要用作食品工业的原材料</v>
          </cell>
          <cell r="G482" t="str">
            <v>食品加工业</v>
          </cell>
        </row>
        <row r="483">
          <cell r="E483" t="str">
            <v>干制蔬菜（脱水蔬菜）</v>
          </cell>
          <cell r="F483" t="str">
            <v>指经干制（包括脱水、蒸干或冻干），即用各种方法使其所含天然水分去掉的蔬菜；包括干制蔬菜、干菜碎片或干菜粉</v>
          </cell>
          <cell r="G483" t="str">
            <v>食品加工业</v>
          </cell>
        </row>
        <row r="484">
          <cell r="E484" t="str">
            <v>腌渍菜</v>
          </cell>
          <cell r="F484" t="str">
            <v>包括酱腌渍菜、盐渍菜、清水渍菜及其他腌渍菜</v>
          </cell>
          <cell r="G484" t="str">
            <v>食品加工业</v>
          </cell>
        </row>
        <row r="485">
          <cell r="E485" t="str">
            <v>冷冻水果及坚果</v>
          </cell>
          <cell r="F485" t="str">
            <v>通常是以工业速冻法制得；包括冻前蒸过或用水煮过的水果及坚果</v>
          </cell>
          <cell r="G485" t="str">
            <v>食品加工业</v>
          </cell>
        </row>
        <row r="486">
          <cell r="E486" t="str">
            <v>水果酱</v>
          </cell>
          <cell r="F486" t="str">
            <v>不包括罐头（详见1030205）。</v>
          </cell>
          <cell r="G486" t="str">
            <v>食品加工业</v>
          </cell>
        </row>
        <row r="487">
          <cell r="E487" t="str">
            <v>坚果酱</v>
          </cell>
          <cell r="F487" t="str">
            <v>不包括罐头（详见1030205）。</v>
          </cell>
          <cell r="G487" t="str">
            <v>食品加工业</v>
          </cell>
        </row>
        <row r="488">
          <cell r="E488" t="str">
            <v>果泥</v>
          </cell>
          <cell r="F488" t="str">
            <v>不包括罐头（详见1030205）。</v>
          </cell>
          <cell r="G488" t="str">
            <v>食品加工业</v>
          </cell>
        </row>
        <row r="489">
          <cell r="E489" t="str">
            <v>果膏及类似制品</v>
          </cell>
          <cell r="F489" t="str">
            <v>不包括罐头（详见1030205）。</v>
          </cell>
          <cell r="G489" t="str">
            <v>食品加工业</v>
          </cell>
        </row>
        <row r="490">
          <cell r="E490" t="str">
            <v>果核及核仁</v>
          </cell>
          <cell r="F490" t="str">
            <v>指直接或间接供人食用的果核、果仁及其他植物产品。</v>
          </cell>
          <cell r="G490" t="str">
            <v>食品加工业</v>
          </cell>
        </row>
        <row r="491">
          <cell r="E491" t="str">
            <v>焙、炒加工坚果及果仁</v>
          </cell>
          <cell r="F491" t="str">
            <v>指干炒、用油或脂肪烘炒的杏仁、花生、槟榔子及其他坚果，不论是否含或裹植物油、盐、香料、调味香料及其他添加剂</v>
          </cell>
          <cell r="G491" t="str">
            <v>食品加工业</v>
          </cell>
        </row>
        <row r="492">
          <cell r="E492" t="str">
            <v>蒸煮加工坚果及果仁</v>
          </cell>
          <cell r="F492" t="str">
            <v>无说明</v>
          </cell>
          <cell r="G492" t="str">
            <v>食品加工业</v>
          </cell>
        </row>
        <row r="493">
          <cell r="E493" t="str">
            <v>暂时保藏水果及坚果（原料）</v>
          </cell>
          <cell r="F493" t="str">
            <v>指使用二氧化硫气体、盐水、亚硫酸水或其他防腐液暂时保藏的水果及坚果，不适于直接食用，主要用于食品工业（制果酱、蜜饯水果等）</v>
          </cell>
          <cell r="G493" t="str">
            <v>食品加工业</v>
          </cell>
        </row>
        <row r="494">
          <cell r="E494" t="str">
            <v>其他水果、坚果加工品</v>
          </cell>
          <cell r="F494" t="str">
            <v>指其他方法制作或保藏的水果，包括各种水果干；但不包括水果罐头（详见1030205）。</v>
          </cell>
          <cell r="G494" t="str">
            <v>食品加工业</v>
          </cell>
        </row>
        <row r="495">
          <cell r="E495" t="str">
            <v>小麦淀粉</v>
          </cell>
          <cell r="F495" t="str">
            <v>无说明</v>
          </cell>
          <cell r="G495" t="str">
            <v>食品加工业</v>
          </cell>
        </row>
        <row r="496">
          <cell r="E496" t="str">
            <v>玉米淀粉</v>
          </cell>
          <cell r="F496" t="str">
            <v>无说明</v>
          </cell>
          <cell r="G496" t="str">
            <v>食品加工业</v>
          </cell>
        </row>
        <row r="497">
          <cell r="E497" t="str">
            <v>马铃薯淀粉</v>
          </cell>
          <cell r="F497" t="str">
            <v>无说明</v>
          </cell>
          <cell r="G497" t="str">
            <v>食品加工业</v>
          </cell>
        </row>
        <row r="498">
          <cell r="E498" t="str">
            <v>其他淀粉</v>
          </cell>
          <cell r="F498" t="str">
            <v>无说明</v>
          </cell>
          <cell r="G498" t="str">
            <v>食品加工业</v>
          </cell>
        </row>
        <row r="499">
          <cell r="E499" t="str">
            <v>菊粉</v>
          </cell>
          <cell r="F499" t="str">
            <v>菊粉从菊芋、大丽花根及菊苣根提取而得；经长时间在沸水中煎煮水解后成为果糖（左旋糖）</v>
          </cell>
          <cell r="G499" t="str">
            <v>食品加工业</v>
          </cell>
        </row>
        <row r="500">
          <cell r="E500" t="str">
            <v>淀粉制品</v>
          </cell>
          <cell r="F500" t="str">
            <v>淀粉制品是以淀粉为原料，经过机械的、化学的或生化工艺的加工而制成的产品。</v>
          </cell>
          <cell r="G500" t="str">
            <v>食品加工业</v>
          </cell>
        </row>
        <row r="501">
          <cell r="E501" t="str">
            <v>淀粉糖</v>
          </cell>
          <cell r="F501" t="str">
            <v>利用含淀粉的粮食、薯类等为原料，经过酸法、酸酶法或酶法制取的糖</v>
          </cell>
          <cell r="G501" t="str">
            <v>食品加工业</v>
          </cell>
        </row>
        <row r="502">
          <cell r="E502" t="str">
            <v>面筋</v>
          </cell>
          <cell r="F502" t="str">
            <v>面筋是用面粉通过简单水分法使其与其他成分（淀粉等）分离制得</v>
          </cell>
          <cell r="G502" t="str">
            <v>食品加工业</v>
          </cell>
        </row>
        <row r="503">
          <cell r="E503" t="str">
            <v>糊精及改性淀粉</v>
          </cell>
          <cell r="F503" t="str">
            <v>即淀粉经热、化学品（例如，酸、碱）或淀粉酶的作用而转化的产品，及经氧化、酯化、醚化等处理的改性淀粉</v>
          </cell>
          <cell r="G503" t="str">
            <v>食品加工业</v>
          </cell>
        </row>
        <row r="504">
          <cell r="E504" t="str">
            <v>其他淀粉及淀粉制品</v>
          </cell>
          <cell r="F504" t="str">
            <v>无说明</v>
          </cell>
          <cell r="G504" t="str">
            <v>食品加工业</v>
          </cell>
        </row>
        <row r="505">
          <cell r="E505" t="str">
            <v>水豆腐</v>
          </cell>
          <cell r="F505" t="str">
            <v>无说明</v>
          </cell>
          <cell r="G505" t="str">
            <v>食品加工业</v>
          </cell>
        </row>
        <row r="506">
          <cell r="E506" t="str">
            <v>豆制品</v>
          </cell>
          <cell r="F506" t="str">
            <v>无说明</v>
          </cell>
          <cell r="G506" t="str">
            <v>食品加工业</v>
          </cell>
        </row>
        <row r="507">
          <cell r="E507" t="str">
            <v>豆浆及豆浆粉</v>
          </cell>
          <cell r="F507" t="str">
            <v>无说明</v>
          </cell>
          <cell r="G507" t="str">
            <v>食品加工业</v>
          </cell>
        </row>
        <row r="508">
          <cell r="E508" t="str">
            <v>鸡鸭鹅蛋品</v>
          </cell>
          <cell r="F508" t="str">
            <v>无说明</v>
          </cell>
          <cell r="G508" t="str">
            <v>食品加工业</v>
          </cell>
        </row>
        <row r="509">
          <cell r="E509" t="str">
            <v>其他蛋品</v>
          </cell>
          <cell r="F509" t="str">
            <v>无说明</v>
          </cell>
          <cell r="G509" t="str">
            <v>食品加工业</v>
          </cell>
        </row>
        <row r="510">
          <cell r="E510" t="str">
            <v>再制蛋</v>
          </cell>
          <cell r="F510" t="str">
            <v>包括腌蛋等经加工的蛋</v>
          </cell>
          <cell r="G510" t="str">
            <v>食品加工业</v>
          </cell>
        </row>
        <row r="511">
          <cell r="E511" t="str">
            <v>卵清蛋白</v>
          </cell>
          <cell r="F511" t="str">
            <v>卵清蛋白就是动物卵中的贮藏蛋白，一种糖蛋白，含有微量的磷，系卵清中蛋白质的主要成分</v>
          </cell>
          <cell r="G511" t="str">
            <v>食品加工业</v>
          </cell>
        </row>
        <row r="512">
          <cell r="E512" t="str">
            <v>植物蛋白</v>
          </cell>
          <cell r="F512" t="str">
            <v>无说明</v>
          </cell>
          <cell r="G512" t="str">
            <v>食品加工业</v>
          </cell>
        </row>
        <row r="513">
          <cell r="E513" t="str">
            <v>微生物蛋白</v>
          </cell>
          <cell r="F513" t="str">
            <v>无说明</v>
          </cell>
          <cell r="G513" t="str">
            <v>食品加工业</v>
          </cell>
        </row>
        <row r="514">
          <cell r="E514" t="str">
            <v>其他农副食品</v>
          </cell>
          <cell r="F514" t="str">
            <v>指其他未列明农副产品、加工产品</v>
          </cell>
          <cell r="G514" t="str">
            <v>食品加工业</v>
          </cell>
        </row>
        <row r="515">
          <cell r="E515" t="str">
            <v>糕点</v>
          </cell>
          <cell r="F515" t="str">
            <v>无说明</v>
          </cell>
          <cell r="G515" t="str">
            <v>食品加工业</v>
          </cell>
        </row>
        <row r="516">
          <cell r="E516" t="str">
            <v>面包</v>
          </cell>
          <cell r="F516" t="str">
            <v>无说明</v>
          </cell>
          <cell r="G516" t="str">
            <v>食品加工业</v>
          </cell>
        </row>
        <row r="517">
          <cell r="E517" t="str">
            <v>饼干</v>
          </cell>
          <cell r="F517" t="str">
            <v>无说明</v>
          </cell>
          <cell r="G517" t="str">
            <v>食品加工业</v>
          </cell>
        </row>
        <row r="518">
          <cell r="E518" t="str">
            <v>膨化食品</v>
          </cell>
          <cell r="F518" t="str">
            <v>指以谷物、薯类或豆类等为主要原料，经焙烤、油炸或挤压等方式膨化而制成的，具有一定膨化度的各类酥脆食品</v>
          </cell>
          <cell r="G518" t="str">
            <v>食品加工业</v>
          </cell>
        </row>
        <row r="519">
          <cell r="E519" t="str">
            <v>焙烤松脆食品</v>
          </cell>
          <cell r="F519" t="str">
            <v>指用玉米面、薯粉、其他谷物面团加奶酪、味精及盐调味，然后用植物油烹炸，制成后可即供食用；包括锅巴、炸薯片等类似食品</v>
          </cell>
          <cell r="G519" t="str">
            <v>食品加工业</v>
          </cell>
        </row>
        <row r="520">
          <cell r="E520" t="str">
            <v>其他焙烤食品</v>
          </cell>
          <cell r="F520" t="str">
            <v>无说明</v>
          </cell>
          <cell r="G520" t="str">
            <v>食品加工业</v>
          </cell>
        </row>
        <row r="521">
          <cell r="E521" t="str">
            <v>糖果</v>
          </cell>
          <cell r="F521" t="str">
            <v>指不含巧克力的糖果</v>
          </cell>
          <cell r="G521" t="str">
            <v>食品制造业</v>
          </cell>
        </row>
        <row r="522">
          <cell r="E522" t="str">
            <v>巧克力</v>
          </cell>
          <cell r="F522" t="str">
            <v>指以可可制品（可可脂、可可液块或可可粉）、白砂糖和（或）甜味剂为主要原料，添加或不添加乳制品、食品添加剂，经特定工艺制成的固体食品；不包括用巧克力与其他食品按一定比例加工制成的巧克力制品（详见103020203）。</v>
          </cell>
          <cell r="G522" t="str">
            <v>食品制造业</v>
          </cell>
        </row>
        <row r="523">
          <cell r="E523" t="str">
            <v>巧克力制品</v>
          </cell>
          <cell r="F523" t="str">
            <v>指用巧克力与其他食品按一定比例加工制成的块、片、条、锭、丸、粒、粉等形状的固体食品</v>
          </cell>
          <cell r="G523" t="str">
            <v>食品制造业</v>
          </cell>
        </row>
        <row r="524">
          <cell r="E524" t="str">
            <v>代可可脂巧克力</v>
          </cell>
          <cell r="F524" t="str">
            <v>指以代可可脂、白砂糖和（或）甜味料为主要原料，添加或不添加可可制品（可可脂、可可液块或可可粉）、乳制品及食品添加剂，经特定工艺制成的在常温下保持固体状态，并具有巧克力风味及性状的食品</v>
          </cell>
          <cell r="G524" t="str">
            <v>食品制造业</v>
          </cell>
        </row>
        <row r="525">
          <cell r="E525" t="str">
            <v>代可可脂巧克力制品</v>
          </cell>
          <cell r="F525" t="str">
            <v>指用代可可脂巧克力与其他食品按一定比例加工制成的食品</v>
          </cell>
          <cell r="G525" t="str">
            <v>食品制造业</v>
          </cell>
        </row>
        <row r="526">
          <cell r="E526" t="str">
            <v>蜜饯</v>
          </cell>
          <cell r="F526" t="str">
            <v>无说明</v>
          </cell>
          <cell r="G526" t="str">
            <v>食品制造业</v>
          </cell>
        </row>
        <row r="527">
          <cell r="E527" t="str">
            <v>果冻</v>
          </cell>
          <cell r="F527" t="str">
            <v>指以水、食糖和增稠剂等为原料，经溶胶、调配、灌装、杀菌、冷却等工序加工而成的胶冻食品。不包括果冻罐头（详见10302020702）。</v>
          </cell>
          <cell r="G527" t="str">
            <v>食品制造业</v>
          </cell>
        </row>
        <row r="528">
          <cell r="E528" t="str">
            <v>果冻罐头</v>
          </cell>
          <cell r="F528" t="str">
            <v>指将处理过的水果加水或不加水煮沸,经压榨、取汁、过滤、澄清后加入白砂糖、柠檬酸（或苹果酸）、果胶等配料,浓缩至可溶性固形物65%～70%装罐等工序制成的罐头产品；包括果汁果冻罐头[以一种或数种果汁混合,加入白砂糖、柠檬酸、增稠剂（或不加）等按比例调配后加热浓缩制成]，含果块（或果皮）的果冻罐头[以果汁、果块（或先用糖渍成透明的果皮）、白砂糖、柠檬酸、增稠剂等调配而成]。</v>
          </cell>
          <cell r="G528" t="str">
            <v>食品制造业</v>
          </cell>
        </row>
        <row r="529">
          <cell r="E529" t="str">
            <v>米、面制半成品</v>
          </cell>
          <cell r="F529" t="str">
            <v>指用谷物、薯类、杂粮类作物制作的方便半成品食品；包括面制半成品和米制半成品</v>
          </cell>
          <cell r="G529" t="str">
            <v>食品加工业</v>
          </cell>
        </row>
        <row r="530">
          <cell r="E530" t="str">
            <v>速冻食品</v>
          </cell>
          <cell r="F530" t="str">
            <v>无说明</v>
          </cell>
          <cell r="G530" t="str">
            <v>食品加工业</v>
          </cell>
        </row>
        <row r="531">
          <cell r="E531" t="str">
            <v>即食方便食品</v>
          </cell>
          <cell r="F531" t="str">
            <v>指不需加工即可食用的熟制品</v>
          </cell>
          <cell r="G531" t="str">
            <v>食品加工业</v>
          </cell>
        </row>
        <row r="532">
          <cell r="E532" t="str">
            <v>液体乳</v>
          </cell>
          <cell r="F532" t="str">
            <v>指未浓缩的未加糖及加糖或其他甜物质、或其他物质的液体乳。不包括含乳饮料和植物蛋白饮料（详见103030703）。</v>
          </cell>
          <cell r="G532" t="str">
            <v>食品制造业</v>
          </cell>
        </row>
        <row r="533">
          <cell r="E533" t="str">
            <v>固体及半固体乳制品</v>
          </cell>
          <cell r="F533" t="str">
            <v>无说明</v>
          </cell>
          <cell r="G533" t="str">
            <v>食品制造业</v>
          </cell>
        </row>
        <row r="534">
          <cell r="E534" t="str">
            <v>畜肉类罐头</v>
          </cell>
          <cell r="F534" t="str">
            <v>包括清蒸类（如清蒸猪肉、原汁猪肉等），调味类（如红烧牛肉、五香牛肉、浓汁排骨等），腌制类（如火腿、午餐肉、咸牛肉等），烟熏类（如烟熏肋肉等），香肠类，内脏类（如猪舌、卤猪杂等）畜肉及其他动物肉罐头</v>
          </cell>
          <cell r="G534" t="str">
            <v>食品制造业</v>
          </cell>
        </row>
        <row r="535">
          <cell r="E535" t="str">
            <v>禽肉类罐头</v>
          </cell>
          <cell r="F535" t="str">
            <v>包括白烧类（如白烧鸡等），去骨类（如去骨鸡、去骨鸭等），调味类（如红烧鸡、咖喱鸭、炸子鸡、全鸡等）禽肉罐头</v>
          </cell>
          <cell r="G535" t="str">
            <v>食品制造业</v>
          </cell>
        </row>
        <row r="536">
          <cell r="E536" t="str">
            <v>水产动物类罐头</v>
          </cell>
          <cell r="F536" t="str">
            <v>包括油浸（熏制）类水产罐头（如油浸鲭鱼、油浸腌鳗鱼等），调味类水产罐头（如茄汁鲭鱼、葱烤鲫鱼、豆豉鲮鱼等），清蒸类水产罐头（如清蒸对虾、清蒸蟹、原汁贻贝等）</v>
          </cell>
          <cell r="G536" t="str">
            <v>食品制造业</v>
          </cell>
        </row>
        <row r="537">
          <cell r="E537" t="str">
            <v>蔬菜类罐头</v>
          </cell>
          <cell r="F537" t="str">
            <v>包括清渍类蔬菜罐头（如青刀豆、清水笋、清水荸荠、蘑菇等），醋渍类蔬菜罐头（如酸黄瓜、甜酸藠头等），盐渍（酱渍）类蔬菜罐头（如雪菜、香菜心等），调味类蔬菜罐头（如油焖笋、八宝斋等），蔬菜酱类罐头（如番茄汁、番茄酱、胡萝卜汁等）。不包括豆类制品（如茄汁黄豆等）罐头（详见103020509）。</v>
          </cell>
          <cell r="G537" t="str">
            <v>食品制造业</v>
          </cell>
        </row>
        <row r="538">
          <cell r="E538" t="str">
            <v>水果类罐头</v>
          </cell>
          <cell r="F538" t="str">
            <v>不包括浓缩果汁、果汁、果汁饮料等果汁类罐头（详见103030702）。</v>
          </cell>
          <cell r="G538" t="str">
            <v>食品制造业</v>
          </cell>
        </row>
        <row r="539">
          <cell r="E539" t="str">
            <v>果酱类罐头</v>
          </cell>
          <cell r="F539" t="str">
            <v>包括水果制果酱、果泥及果膏罐头</v>
          </cell>
          <cell r="G539" t="str">
            <v>食品制造业</v>
          </cell>
        </row>
        <row r="540">
          <cell r="E540" t="str">
            <v>干果和坚果类罐头</v>
          </cell>
          <cell r="F540" t="str">
            <v>指以符合要求的坚、干果原料，经挑选、去皮（壳）、油炸拌盐（糖或糖衣）后装罐而成的罐头产品</v>
          </cell>
          <cell r="G540" t="str">
            <v>食品制造业</v>
          </cell>
        </row>
        <row r="541">
          <cell r="E541" t="str">
            <v>谷物制品类罐头</v>
          </cell>
          <cell r="F541" t="str">
            <v>指经过处理后的谷类、干果及其他原料（桂圆、枸杞、蔬菜等）装罐制成的罐头产品</v>
          </cell>
          <cell r="G541" t="str">
            <v>食品制造业</v>
          </cell>
        </row>
        <row r="542">
          <cell r="E542" t="str">
            <v>豆类制品罐头</v>
          </cell>
          <cell r="F542" t="str">
            <v>无说明</v>
          </cell>
          <cell r="G542" t="str">
            <v>食品制造业</v>
          </cell>
        </row>
        <row r="543">
          <cell r="E543" t="str">
            <v>汤类罐头</v>
          </cell>
          <cell r="F543" t="str">
            <v>指以符合要求的肉、禽、水产及蔬菜原料,经切块（片或丝）、烹调等加工后装罐而制成的罐头产品</v>
          </cell>
          <cell r="G543" t="str">
            <v>食品制造业</v>
          </cell>
        </row>
        <row r="544">
          <cell r="E544" t="str">
            <v>调味类罐头</v>
          </cell>
          <cell r="F544" t="str">
            <v>指以发酵面酱或番茄等为基料，加入多种辅料及香辛料加工制成各种不同口味的调味料，经装罐制成的罐头产品</v>
          </cell>
          <cell r="G544" t="str">
            <v>食品制造业</v>
          </cell>
        </row>
        <row r="545">
          <cell r="E545" t="str">
            <v>混合类罐头</v>
          </cell>
          <cell r="F545" t="str">
            <v>指将动物和植物类食品原料分别加工处理，经调配装罐制成的罐头产品</v>
          </cell>
          <cell r="G545" t="str">
            <v>食品制造业</v>
          </cell>
        </row>
        <row r="546">
          <cell r="E546" t="str">
            <v>婴幼儿辅助食品类罐头</v>
          </cell>
          <cell r="F546" t="str">
            <v>指根据婴幼儿不同月龄营养素的要求，将食品原料经加工、研磨等处理制成的泥状罐头食品（如肝泥、菜泥、肉泥等）；均化混合食品指两种或两种以上的基本配料，例如，肉、鱼、蔬菜或果实等，经精细均化混合制成供婴幼儿食用或营养用的零售包装食品（每件净重不超过250克）；除以上基本配料外，这类食品可含有少量奶酪、蛋黄、淀粉、糊精、盐或维生素等。</v>
          </cell>
          <cell r="G546" t="str">
            <v>食品制造业</v>
          </cell>
        </row>
        <row r="547">
          <cell r="E547" t="str">
            <v>其他罐头</v>
          </cell>
          <cell r="F547" t="str">
            <v>不包括宠物饲料罐头（详见103010402）。</v>
          </cell>
          <cell r="G547" t="str">
            <v>食品制造业</v>
          </cell>
        </row>
        <row r="548">
          <cell r="E548" t="str">
            <v>味精（谷氨酸钠）</v>
          </cell>
          <cell r="F548" t="str">
            <v>无说明</v>
          </cell>
          <cell r="G548" t="str">
            <v>食品加工业</v>
          </cell>
        </row>
        <row r="549">
          <cell r="E549" t="str">
            <v>酱油及酱类制品</v>
          </cell>
          <cell r="F549" t="str">
            <v>无说明</v>
          </cell>
          <cell r="G549" t="str">
            <v>食品加工业</v>
          </cell>
        </row>
        <row r="550">
          <cell r="E550" t="str">
            <v>醋及醋代用品</v>
          </cell>
          <cell r="F550" t="str">
            <v>无说明</v>
          </cell>
          <cell r="G550" t="str">
            <v>食品加工业</v>
          </cell>
        </row>
        <row r="551">
          <cell r="E551" t="str">
            <v>复合调味品</v>
          </cell>
          <cell r="F551" t="str">
            <v>无说明</v>
          </cell>
          <cell r="G551" t="str">
            <v>食品加工业</v>
          </cell>
        </row>
        <row r="552">
          <cell r="E552" t="str">
            <v>酵母</v>
          </cell>
          <cell r="F552" t="str">
            <v>无说明</v>
          </cell>
          <cell r="G552" t="str">
            <v>食品加工业</v>
          </cell>
        </row>
        <row r="553">
          <cell r="E553" t="str">
            <v>食品用氨基酸</v>
          </cell>
          <cell r="F553" t="str">
            <v>不包括味精（谷氨酸钠）（详见103020601）。</v>
          </cell>
          <cell r="G553" t="str">
            <v>食品加工业</v>
          </cell>
        </row>
        <row r="554">
          <cell r="E554" t="str">
            <v>柠檬酸及其盐和酸酯</v>
          </cell>
          <cell r="F554" t="str">
            <v>无说明</v>
          </cell>
          <cell r="G554" t="str">
            <v>食品加工业</v>
          </cell>
        </row>
        <row r="555">
          <cell r="E555" t="str">
            <v>食品用发酵有机酸</v>
          </cell>
          <cell r="F555" t="str">
            <v>包括苹果醋、梨醋或其他发酵水果醋</v>
          </cell>
          <cell r="G555" t="str">
            <v>食品加工业</v>
          </cell>
        </row>
        <row r="556">
          <cell r="E556" t="str">
            <v>食品用酶制剂</v>
          </cell>
          <cell r="F556" t="str">
            <v>由动物或植物的可食或非可食部分直接提取，或由传统或基因修饰的微生物（包括但不限于细菌、放射线、真菌菌种）发酵、提取制得，用于食品加工，具有特殊催化功能的生物制品</v>
          </cell>
          <cell r="G556" t="str">
            <v>食品加工业</v>
          </cell>
        </row>
        <row r="557">
          <cell r="E557" t="str">
            <v>婴幼儿用均化食品</v>
          </cell>
          <cell r="F557" t="str">
            <v>不包括罐头食品（详见103020513）。</v>
          </cell>
          <cell r="G557" t="str">
            <v>食品加工业</v>
          </cell>
        </row>
        <row r="558">
          <cell r="E558" t="str">
            <v>营养配餐食品</v>
          </cell>
          <cell r="F558" t="str">
            <v>直接供人食用或加工（例如用水或乳等烹煮、溶解）后供人食用的制品</v>
          </cell>
          <cell r="G558" t="str">
            <v>食品加工业</v>
          </cell>
        </row>
        <row r="559">
          <cell r="E559" t="str">
            <v>蜂蜜营养制品</v>
          </cell>
          <cell r="F559" t="str">
            <v>无说明</v>
          </cell>
          <cell r="G559" t="str">
            <v>食品加工业</v>
          </cell>
        </row>
        <row r="560">
          <cell r="E560" t="str">
            <v>其他营养、保健食品</v>
          </cell>
          <cell r="F560" t="str">
            <v>无说明</v>
          </cell>
          <cell r="G560" t="str">
            <v>食品加工业</v>
          </cell>
        </row>
        <row r="561">
          <cell r="E561" t="str">
            <v>冰淇淋</v>
          </cell>
          <cell r="F561" t="str">
            <v>无说明</v>
          </cell>
          <cell r="G561" t="str">
            <v>食品加工业</v>
          </cell>
        </row>
        <row r="562">
          <cell r="E562" t="str">
            <v>雪糕类</v>
          </cell>
          <cell r="F562" t="str">
            <v>无说明</v>
          </cell>
          <cell r="G562" t="str">
            <v>食品加工业</v>
          </cell>
        </row>
        <row r="563">
          <cell r="E563" t="str">
            <v>冰棍</v>
          </cell>
          <cell r="F563" t="str">
            <v>也称棒冰</v>
          </cell>
          <cell r="G563" t="str">
            <v>食品加工业</v>
          </cell>
        </row>
        <row r="564">
          <cell r="E564" t="str">
            <v>甜味冰</v>
          </cell>
          <cell r="F564" t="str">
            <v>指以饮用水、食糖等为主要原料，可添加适量食品添加剂，经混合、灭菌、灌装、硬化等工艺制成的冷冻饮品；如甜橙味甜味冰、菠萝味甜味冰等</v>
          </cell>
          <cell r="G564" t="str">
            <v>食品加工业</v>
          </cell>
        </row>
        <row r="565">
          <cell r="E565" t="str">
            <v>雪泥</v>
          </cell>
          <cell r="F565" t="str">
            <v>指以饮用水、食糖等为主要原料，可添加适量食品添加剂，经混合、灭菌、凝冻、硬化等工艺制成的冰雪状的冷冻饮品</v>
          </cell>
          <cell r="G565" t="str">
            <v>食品加工业</v>
          </cell>
        </row>
        <row r="566">
          <cell r="E566" t="str">
            <v>食用冰</v>
          </cell>
          <cell r="F566" t="str">
            <v>指以饮用水为原料，经灭菌、注模、冻结、脱模、包装等工艺制成的冷冻饮品</v>
          </cell>
          <cell r="G566" t="str">
            <v>食品加工业</v>
          </cell>
        </row>
        <row r="567">
          <cell r="E567" t="str">
            <v>其他冷冻饮品</v>
          </cell>
          <cell r="F567" t="str">
            <v>指以上未包括的冷冻饮品；如冷冻饮品部分所占质量比例不低于50%的混合型制品；低脂冷冻饮品；低糖冷冻饮品；无糖冷冻饮品等</v>
          </cell>
          <cell r="G567" t="str">
            <v>食品加工业</v>
          </cell>
        </row>
        <row r="568">
          <cell r="E568" t="str">
            <v>食用盐</v>
          </cell>
          <cell r="F568" t="str">
            <v>无说明</v>
          </cell>
          <cell r="G568" t="str">
            <v>食品加工业</v>
          </cell>
        </row>
        <row r="569">
          <cell r="E569" t="str">
            <v>非食用盐</v>
          </cell>
          <cell r="F569" t="str">
            <v>无说明</v>
          </cell>
          <cell r="G569" t="str">
            <v>食品加工业</v>
          </cell>
        </row>
        <row r="570">
          <cell r="E570" t="str">
            <v>木糖</v>
          </cell>
          <cell r="F570" t="str">
            <v>无说明</v>
          </cell>
          <cell r="G570" t="str">
            <v>食品加工业</v>
          </cell>
        </row>
        <row r="571">
          <cell r="E571" t="str">
            <v>其他食品添加剂</v>
          </cell>
          <cell r="F571" t="str">
            <v>无说明</v>
          </cell>
          <cell r="G571" t="str">
            <v>食品加工业</v>
          </cell>
        </row>
        <row r="572">
          <cell r="E572" t="str">
            <v>食品用原料粉</v>
          </cell>
          <cell r="F572" t="str">
            <v>无说明</v>
          </cell>
          <cell r="G572" t="str">
            <v>食品加工业</v>
          </cell>
        </row>
        <row r="573">
          <cell r="E573" t="str">
            <v>饮料用原料</v>
          </cell>
          <cell r="F573" t="str">
            <v>无说明</v>
          </cell>
          <cell r="G573" t="str">
            <v>食品加工业</v>
          </cell>
        </row>
        <row r="574">
          <cell r="E574" t="str">
            <v>植物液汁及浸膏</v>
          </cell>
          <cell r="F574" t="str">
            <v>无说明</v>
          </cell>
          <cell r="G574" t="str">
            <v>食品加工业</v>
          </cell>
        </row>
        <row r="575">
          <cell r="E575" t="str">
            <v>糯米纸</v>
          </cell>
          <cell r="F575" t="str">
            <v>无说明</v>
          </cell>
          <cell r="G575" t="str">
            <v>食品加工业</v>
          </cell>
        </row>
        <row r="576">
          <cell r="E576" t="str">
            <v>其他食品用类似原料</v>
          </cell>
          <cell r="F576" t="str">
            <v>无说明</v>
          </cell>
          <cell r="G576" t="str">
            <v>食品加工业</v>
          </cell>
        </row>
        <row r="577">
          <cell r="E577" t="str">
            <v>其他食品</v>
          </cell>
          <cell r="F577" t="str">
            <v>无说明</v>
          </cell>
          <cell r="G577" t="str">
            <v>食品加工业</v>
          </cell>
        </row>
        <row r="578">
          <cell r="E578" t="str">
            <v>木质水解酒精</v>
          </cell>
          <cell r="F578" t="str">
            <v>无说明</v>
          </cell>
          <cell r="G578" t="str">
            <v>饮料制造业</v>
          </cell>
        </row>
        <row r="579">
          <cell r="E579" t="str">
            <v>其他酒精</v>
          </cell>
          <cell r="F579" t="str">
            <v>无说明</v>
          </cell>
          <cell r="G579" t="str">
            <v>饮料制造业</v>
          </cell>
        </row>
        <row r="580">
          <cell r="E580" t="str">
            <v>白酒</v>
          </cell>
          <cell r="F580" t="str">
            <v>无说明</v>
          </cell>
          <cell r="G580" t="str">
            <v>饮料制造业</v>
          </cell>
        </row>
        <row r="581">
          <cell r="E581" t="str">
            <v>每吨不超过3000元的啤酒</v>
          </cell>
          <cell r="F581" t="str">
            <v>无说明</v>
          </cell>
          <cell r="G581" t="str">
            <v>饮料制造业</v>
          </cell>
        </row>
        <row r="582">
          <cell r="E582" t="str">
            <v>每吨3000元（含）以上的啤酒</v>
          </cell>
          <cell r="F582" t="str">
            <v>无说明</v>
          </cell>
          <cell r="G582" t="str">
            <v>饮料制造业</v>
          </cell>
        </row>
        <row r="583">
          <cell r="E583" t="str">
            <v>黄酒</v>
          </cell>
          <cell r="F583" t="str">
            <v>无说明</v>
          </cell>
          <cell r="G583" t="str">
            <v>饮料制造业</v>
          </cell>
        </row>
        <row r="584">
          <cell r="E584" t="str">
            <v>葡萄酒</v>
          </cell>
          <cell r="F584" t="str">
            <v>指以新鲜葡萄或葡萄汁为原料，经全部或部分发酵酿制而成的、含有一定酒精度的发酵酒</v>
          </cell>
          <cell r="G584" t="str">
            <v>饮料制造业</v>
          </cell>
        </row>
        <row r="585">
          <cell r="E585" t="str">
            <v>其他酒</v>
          </cell>
          <cell r="F585" t="str">
            <v>指以上未列明的酒</v>
          </cell>
          <cell r="G585" t="str">
            <v>饮料制造业</v>
          </cell>
        </row>
        <row r="586">
          <cell r="E586" t="str">
            <v>碳酸型饮料（汽水）</v>
          </cell>
          <cell r="F586" t="str">
            <v>指在一定条件下充入二氧化碳气的饮料；包括果汁型、果味型、可乐型，以及其他型碳酸饮料</v>
          </cell>
          <cell r="G586" t="str">
            <v>饮料制造业</v>
          </cell>
        </row>
        <row r="587">
          <cell r="E587" t="str">
            <v>果汁和蔬菜汁类饮料</v>
          </cell>
          <cell r="F587" t="str">
            <v>指用水果和（或）蔬菜（包括可食的根、茎、叶、花、果实）等为原料，经加工或发酵制成的饮料；包括果汁（浆）和蔬菜汁（浆）、浓缩果汁（浆）和浓缩蔬菜汁（浆）、果汁饮料和蔬菜汁饮料、果汁饮料浓浆和蔬菜汁饮料浓浆、复合果蔬汁（浆）及饮料、果肉饮料、发酵型果蔬汁饮料、水果饮料、其他果蔬汁饮料</v>
          </cell>
          <cell r="G587" t="str">
            <v>饮料制造业</v>
          </cell>
        </row>
        <row r="588">
          <cell r="E588" t="str">
            <v>蛋白饮料</v>
          </cell>
          <cell r="F588" t="str">
            <v>指以乳或乳制品、或有一定蛋白质含量的植物的果实、种子或种仁等为原料，经加工或发酵制成的饮料；包括含乳饮料、植物蛋白饮料、复合蛋白饮料，以及其他未列明的蛋白饮料</v>
          </cell>
          <cell r="G588" t="str">
            <v>饮料制造业</v>
          </cell>
        </row>
        <row r="589">
          <cell r="E589" t="str">
            <v>包装饮用水</v>
          </cell>
          <cell r="F589" t="str">
            <v>指密封于容器中可直接饮用的水</v>
          </cell>
          <cell r="G589" t="str">
            <v>饮料制造业</v>
          </cell>
        </row>
        <row r="590">
          <cell r="E590" t="str">
            <v>茶饮料</v>
          </cell>
          <cell r="F590" t="str">
            <v>指以茶叶的水提取液或其浓缩液、茶粉等为原料，经加工制成的饮料</v>
          </cell>
          <cell r="G590" t="str">
            <v>饮料制造业</v>
          </cell>
        </row>
        <row r="591">
          <cell r="E591" t="str">
            <v>咖啡饮料</v>
          </cell>
          <cell r="F591" t="str">
            <v>指以咖啡的水提取液或其浓缩液、速溶咖啡粉为原料，经加工制成的液体饮料；包括咖啡因含量≥400mg/kg的浓咖啡饮料，咖啡因含量200～400mg/kg的咖啡饮料，咖啡因含量≤50mg/kg的低咖啡因咖啡饮料，以及其他未列明的符合咖啡饮料基本技术要求的咖啡饮料。</v>
          </cell>
          <cell r="G591" t="str">
            <v>饮料制造业</v>
          </cell>
        </row>
        <row r="592">
          <cell r="E592" t="str">
            <v>固体饮料</v>
          </cell>
          <cell r="F592" t="str">
            <v>指用食品原料、食品添加剂等加工制成粉末状、颗粒状或块状等固态料的供冲调饮用的制品[固体饮料在稀释冲调后应达到相应种类非固体饮料的技术指标和要求]；包括果汁粉、豆粉、茶粉、咖啡粉、果味型固体饮料、固态汽水（泡腾片）、姜汁粉等</v>
          </cell>
          <cell r="G592" t="str">
            <v>饮料制造业</v>
          </cell>
        </row>
        <row r="593">
          <cell r="E593" t="str">
            <v>其他软饮料</v>
          </cell>
          <cell r="F593" t="str">
            <v>无说明</v>
          </cell>
          <cell r="G593" t="str">
            <v>饮料制造业</v>
          </cell>
        </row>
        <row r="594">
          <cell r="E594" t="str">
            <v>精制茶</v>
          </cell>
          <cell r="F594" t="str">
            <v>指对毛茶或半成品原料茶进行筛分、轧切、风选、干燥、匀堆、拼配等工序加工成的精茶</v>
          </cell>
          <cell r="G594" t="str">
            <v>食品加工业</v>
          </cell>
        </row>
        <row r="595">
          <cell r="E595" t="str">
            <v>茶制品</v>
          </cell>
          <cell r="F595" t="str">
            <v>无说明</v>
          </cell>
          <cell r="G595" t="str">
            <v>食品加工业</v>
          </cell>
        </row>
        <row r="596">
          <cell r="E596" t="str">
            <v>边销茶</v>
          </cell>
          <cell r="F596" t="str">
            <v>指以黑毛茶、老青茶、红茶末、绿茶为主要原料，经过发酵、蒸制、加压或者压碎、炒制，专门销往边疆少数民族地区的紧压茶、方包茶(马茶)</v>
          </cell>
          <cell r="G596" t="str">
            <v>食品加工业</v>
          </cell>
        </row>
        <row r="597">
          <cell r="E597" t="str">
            <v>酒及酒精专用原辅料</v>
          </cell>
          <cell r="F597" t="str">
            <v>无说明</v>
          </cell>
          <cell r="G597" t="str">
            <v>饮料制造业</v>
          </cell>
        </row>
        <row r="598">
          <cell r="E598" t="str">
            <v>饮料专用原辅料</v>
          </cell>
          <cell r="F598" t="str">
            <v>无说明</v>
          </cell>
          <cell r="G598" t="str">
            <v>饮料制造业</v>
          </cell>
        </row>
        <row r="599">
          <cell r="E599" t="str">
            <v>片烟</v>
          </cell>
          <cell r="F599" t="str">
            <v>经过打叶等方法进行去梗处理，已将直径大于1.5mm的烟梗去除后的烟叶</v>
          </cell>
          <cell r="G599" t="str">
            <v>烟草加工业</v>
          </cell>
        </row>
        <row r="600">
          <cell r="E600" t="str">
            <v>烟梗</v>
          </cell>
          <cell r="F600" t="str">
            <v>烟叶的主脉</v>
          </cell>
          <cell r="G600" t="str">
            <v>烟草加工业</v>
          </cell>
        </row>
        <row r="601">
          <cell r="E601" t="str">
            <v>甲类卷烟</v>
          </cell>
          <cell r="F601" t="str">
            <v>每标准条(200支)调拨价格在70元(不含增值税)以上(含70元)的卷烟</v>
          </cell>
          <cell r="G601" t="str">
            <v>烟草加工业</v>
          </cell>
        </row>
        <row r="602">
          <cell r="E602" t="str">
            <v>乙类卷烟</v>
          </cell>
          <cell r="F602" t="str">
            <v>每标准条(200支)调拨价格在70元(不含增值税)以下的卷烟</v>
          </cell>
          <cell r="G602" t="str">
            <v>烟草加工业</v>
          </cell>
        </row>
        <row r="603">
          <cell r="E603" t="str">
            <v>烟草代用品制的卷烟</v>
          </cell>
          <cell r="F603" t="str">
            <v>无说明</v>
          </cell>
          <cell r="G603" t="str">
            <v>烟草加工业</v>
          </cell>
        </row>
        <row r="604">
          <cell r="E604" t="str">
            <v>烟草制的雪茄烟</v>
          </cell>
          <cell r="F604" t="str">
            <v>无说明</v>
          </cell>
          <cell r="G604" t="str">
            <v>烟草加工业</v>
          </cell>
        </row>
        <row r="605">
          <cell r="E605" t="str">
            <v>烟草代用品制的雪茄烟</v>
          </cell>
          <cell r="F605" t="str">
            <v>无说明</v>
          </cell>
          <cell r="G605" t="str">
            <v>烟草加工业</v>
          </cell>
        </row>
        <row r="606">
          <cell r="E606" t="str">
            <v>烟丝</v>
          </cell>
          <cell r="F606" t="str">
            <v>由叶丝、梗丝、再造烟叶丝、膨胀烟丝、膨胀梗丝等组成的混合物，用于卷制卷烟</v>
          </cell>
          <cell r="G606" t="str">
            <v>烟草加工业</v>
          </cell>
        </row>
        <row r="607">
          <cell r="E607" t="str">
            <v>烟弹与烟具组合销售的电子烟产品</v>
          </cell>
          <cell r="F607" t="str">
            <v>无说明</v>
          </cell>
          <cell r="G607" t="str">
            <v>烟草加工业</v>
          </cell>
        </row>
        <row r="608">
          <cell r="E608" t="str">
            <v>电子烟（代加工）</v>
          </cell>
          <cell r="F608" t="str">
            <v>无说明</v>
          </cell>
          <cell r="G608" t="str">
            <v>烟草加工业</v>
          </cell>
        </row>
        <row r="609">
          <cell r="E609" t="str">
            <v>电子烟烟弹</v>
          </cell>
          <cell r="F609" t="str">
            <v>无说明</v>
          </cell>
          <cell r="G609" t="str">
            <v>烟草加工业</v>
          </cell>
        </row>
        <row r="610">
          <cell r="E610" t="str">
            <v>电子烟烟具</v>
          </cell>
          <cell r="F610" t="str">
            <v>无说明</v>
          </cell>
          <cell r="G610" t="str">
            <v>烟草加工业</v>
          </cell>
        </row>
        <row r="611">
          <cell r="E611" t="str">
            <v>好猫（猴王磨砂）</v>
          </cell>
          <cell r="F611" t="str">
            <v>乙类卷烟（新）</v>
          </cell>
          <cell r="G611" t="str">
            <v>烟草加工业</v>
          </cell>
        </row>
        <row r="612">
          <cell r="E612" t="str">
            <v>好猫（招财进宝）</v>
          </cell>
          <cell r="F612" t="str">
            <v>乙类卷烟（新）</v>
          </cell>
          <cell r="G612" t="str">
            <v>烟草加工业</v>
          </cell>
        </row>
        <row r="613">
          <cell r="E613" t="str">
            <v>延安（硬）</v>
          </cell>
          <cell r="F613" t="str">
            <v>乙类卷烟（新）</v>
          </cell>
          <cell r="G613" t="str">
            <v>烟草加工业</v>
          </cell>
        </row>
        <row r="614">
          <cell r="E614" t="str">
            <v>好猫（金猴王）</v>
          </cell>
          <cell r="F614" t="str">
            <v>乙类卷烟（新）</v>
          </cell>
          <cell r="G614" t="str">
            <v>烟草加工业</v>
          </cell>
        </row>
        <row r="615">
          <cell r="E615" t="str">
            <v>红双喜（硬8mg）</v>
          </cell>
          <cell r="F615" t="str">
            <v>乙类卷烟（新）</v>
          </cell>
          <cell r="G615" t="str">
            <v>烟草加工业</v>
          </cell>
        </row>
        <row r="616">
          <cell r="E616" t="str">
            <v>大前门（硬）</v>
          </cell>
          <cell r="F616" t="str">
            <v>乙类卷烟（新）</v>
          </cell>
          <cell r="G616" t="str">
            <v>烟草加工业</v>
          </cell>
        </row>
        <row r="617">
          <cell r="E617" t="str">
            <v>红双喜（硬特）</v>
          </cell>
          <cell r="F617" t="str">
            <v>乙类卷烟（新）</v>
          </cell>
          <cell r="G617" t="str">
            <v>烟草加工业</v>
          </cell>
        </row>
        <row r="618">
          <cell r="E618" t="str">
            <v>红双喜（硬百顺）</v>
          </cell>
          <cell r="F618" t="str">
            <v>乙类卷烟（新）</v>
          </cell>
          <cell r="G618" t="str">
            <v>烟草加工业</v>
          </cell>
        </row>
        <row r="619">
          <cell r="E619" t="str">
            <v>孟菲斯（硬红）</v>
          </cell>
          <cell r="F619" t="str">
            <v>乙类卷烟（新）</v>
          </cell>
          <cell r="G619" t="str">
            <v>烟草加工业</v>
          </cell>
        </row>
        <row r="620">
          <cell r="E620" t="str">
            <v>孟菲斯（硬蓝）</v>
          </cell>
          <cell r="F620" t="str">
            <v>乙类卷烟（新）</v>
          </cell>
          <cell r="G620" t="str">
            <v>烟草加工业</v>
          </cell>
        </row>
        <row r="621">
          <cell r="E621" t="str">
            <v>红双喜（硬上海）</v>
          </cell>
          <cell r="F621" t="str">
            <v>乙类卷烟（新）</v>
          </cell>
          <cell r="G621" t="str">
            <v>烟草加工业</v>
          </cell>
        </row>
        <row r="622">
          <cell r="E622" t="str">
            <v>红双喜（硬江山精品）</v>
          </cell>
          <cell r="F622" t="str">
            <v>乙类卷烟（新）</v>
          </cell>
          <cell r="G622" t="str">
            <v>烟草加工业</v>
          </cell>
        </row>
        <row r="623">
          <cell r="E623" t="str">
            <v>红双喜（软8㎎）</v>
          </cell>
          <cell r="F623" t="str">
            <v>乙类卷烟（新）</v>
          </cell>
          <cell r="G623" t="str">
            <v>烟草加工业</v>
          </cell>
        </row>
        <row r="624">
          <cell r="E624" t="str">
            <v>红双喜（硬）</v>
          </cell>
          <cell r="F624" t="str">
            <v>乙类卷烟（新）</v>
          </cell>
          <cell r="G624" t="str">
            <v>烟草加工业</v>
          </cell>
        </row>
        <row r="625">
          <cell r="E625" t="str">
            <v>大前门（软）</v>
          </cell>
          <cell r="F625" t="str">
            <v>乙类卷烟（新）</v>
          </cell>
          <cell r="G625" t="str">
            <v>烟草加工业</v>
          </cell>
        </row>
        <row r="626">
          <cell r="E626" t="str">
            <v>红双喜-硬江山精品</v>
          </cell>
          <cell r="F626" t="str">
            <v>乙类卷烟（新）</v>
          </cell>
          <cell r="G626" t="str">
            <v>烟草加工业</v>
          </cell>
        </row>
        <row r="627">
          <cell r="E627" t="str">
            <v>红双喜-硬上海</v>
          </cell>
          <cell r="F627" t="str">
            <v>乙类卷烟（新）</v>
          </cell>
          <cell r="G627" t="str">
            <v>烟草加工业</v>
          </cell>
        </row>
        <row r="628">
          <cell r="E628" t="str">
            <v>延安（硬红）</v>
          </cell>
          <cell r="F628" t="str">
            <v>乙类卷烟（新）</v>
          </cell>
          <cell r="G628" t="str">
            <v>烟草加工业</v>
          </cell>
        </row>
        <row r="629">
          <cell r="E629" t="str">
            <v>延安（软）</v>
          </cell>
          <cell r="F629" t="str">
            <v>乙类卷烟（新）</v>
          </cell>
          <cell r="G629" t="str">
            <v>烟草加工业</v>
          </cell>
        </row>
        <row r="630">
          <cell r="E630" t="str">
            <v>红塔山（硬新势力）</v>
          </cell>
          <cell r="F630" t="str">
            <v>乙类卷烟（新）</v>
          </cell>
          <cell r="G630" t="str">
            <v>烟草加工业</v>
          </cell>
        </row>
        <row r="631">
          <cell r="E631" t="str">
            <v>云烟（软如意）</v>
          </cell>
          <cell r="F631" t="str">
            <v>乙类卷烟（新）</v>
          </cell>
          <cell r="G631" t="str">
            <v>烟草加工业</v>
          </cell>
        </row>
        <row r="632">
          <cell r="E632" t="str">
            <v>雪莲（蓝精品）</v>
          </cell>
          <cell r="F632" t="str">
            <v>乙类卷烟（新）</v>
          </cell>
          <cell r="G632" t="str">
            <v>烟草加工业</v>
          </cell>
        </row>
        <row r="633">
          <cell r="E633" t="str">
            <v>云烟（福）</v>
          </cell>
          <cell r="F633" t="str">
            <v>乙类卷烟（新）</v>
          </cell>
          <cell r="G633" t="str">
            <v>烟草加工业</v>
          </cell>
        </row>
        <row r="634">
          <cell r="E634" t="str">
            <v>红塔山（软新）</v>
          </cell>
          <cell r="F634" t="str">
            <v>乙类卷烟（新）</v>
          </cell>
          <cell r="G634" t="str">
            <v>烟草加工业</v>
          </cell>
        </row>
        <row r="635">
          <cell r="E635" t="str">
            <v>云烟（软紫）</v>
          </cell>
          <cell r="F635" t="str">
            <v>乙类卷烟（新）</v>
          </cell>
          <cell r="G635" t="str">
            <v>烟草加工业</v>
          </cell>
        </row>
        <row r="636">
          <cell r="E636" t="str">
            <v>红河（软88）</v>
          </cell>
          <cell r="F636" t="str">
            <v>乙类卷烟（新）</v>
          </cell>
          <cell r="G636" t="str">
            <v>烟草加工业</v>
          </cell>
        </row>
        <row r="637">
          <cell r="E637" t="str">
            <v>红河（小熊猫世纪风）</v>
          </cell>
          <cell r="F637" t="str">
            <v>乙类卷烟（新）</v>
          </cell>
          <cell r="G637" t="str">
            <v>烟草加工业</v>
          </cell>
        </row>
        <row r="638">
          <cell r="E638" t="str">
            <v>红塔山（硬欣经典）</v>
          </cell>
          <cell r="F638" t="str">
            <v>乙类卷烟（新）</v>
          </cell>
          <cell r="G638" t="str">
            <v>烟草加工业</v>
          </cell>
        </row>
        <row r="639">
          <cell r="E639" t="str">
            <v>红塔山（硬经典100）</v>
          </cell>
          <cell r="F639" t="str">
            <v>乙类卷烟（新）</v>
          </cell>
          <cell r="G639" t="str">
            <v>烟草加工业</v>
          </cell>
        </row>
        <row r="640">
          <cell r="E640" t="str">
            <v>云烟（紫）</v>
          </cell>
          <cell r="F640" t="str">
            <v>乙类卷烟（新）</v>
          </cell>
          <cell r="G640" t="str">
            <v>烟草加工业</v>
          </cell>
        </row>
        <row r="641">
          <cell r="E641" t="str">
            <v>红塔山（新时代）</v>
          </cell>
          <cell r="F641" t="str">
            <v>乙类卷烟（新）</v>
          </cell>
          <cell r="G641" t="str">
            <v>烟草加工业</v>
          </cell>
        </row>
        <row r="642">
          <cell r="E642" t="str">
            <v>红塔山（大经典1956）</v>
          </cell>
          <cell r="F642" t="str">
            <v>乙类卷烟（新）</v>
          </cell>
          <cell r="G642" t="str">
            <v>烟草加工业</v>
          </cell>
        </row>
        <row r="643">
          <cell r="E643" t="str">
            <v>威斯（小熊猫）</v>
          </cell>
          <cell r="F643" t="str">
            <v>乙类卷烟（新）</v>
          </cell>
          <cell r="G643" t="str">
            <v>烟草加工业</v>
          </cell>
        </row>
        <row r="644">
          <cell r="E644" t="str">
            <v>红河（硬88）</v>
          </cell>
          <cell r="F644" t="str">
            <v>乙类卷烟（新）</v>
          </cell>
          <cell r="G644" t="str">
            <v>烟草加工业</v>
          </cell>
        </row>
        <row r="645">
          <cell r="E645" t="str">
            <v>云烟（红）</v>
          </cell>
          <cell r="F645" t="str">
            <v>乙类卷烟（新）</v>
          </cell>
          <cell r="G645" t="str">
            <v>烟草加工业</v>
          </cell>
        </row>
        <row r="646">
          <cell r="E646" t="str">
            <v>红塔山（软经典）</v>
          </cell>
          <cell r="F646" t="str">
            <v>乙类卷烟（新）</v>
          </cell>
          <cell r="G646" t="str">
            <v>烟草加工业</v>
          </cell>
        </row>
        <row r="647">
          <cell r="E647" t="str">
            <v>红塔山（硬经典）</v>
          </cell>
          <cell r="F647" t="str">
            <v>乙类卷烟（新）</v>
          </cell>
          <cell r="G647" t="str">
            <v>烟草加工业</v>
          </cell>
        </row>
        <row r="648">
          <cell r="E648" t="str">
            <v>红梅（软顺）</v>
          </cell>
          <cell r="F648" t="str">
            <v>乙类卷烟（新）</v>
          </cell>
          <cell r="G648" t="str">
            <v>烟草加工业</v>
          </cell>
        </row>
        <row r="649">
          <cell r="E649" t="str">
            <v>红梅（软黄）</v>
          </cell>
          <cell r="F649" t="str">
            <v>乙类卷烟（新）</v>
          </cell>
          <cell r="G649" t="str">
            <v>烟草加工业</v>
          </cell>
        </row>
        <row r="650">
          <cell r="E650" t="str">
            <v>红梅（硬黄）</v>
          </cell>
          <cell r="F650" t="str">
            <v>乙类卷烟（新）</v>
          </cell>
          <cell r="G650" t="str">
            <v>烟草加工业</v>
          </cell>
        </row>
        <row r="651">
          <cell r="E651" t="str">
            <v>红河（软甲）</v>
          </cell>
          <cell r="F651" t="str">
            <v>乙类卷烟（新）</v>
          </cell>
          <cell r="G651" t="str">
            <v>烟草加工业</v>
          </cell>
        </row>
        <row r="652">
          <cell r="E652" t="str">
            <v>红山茶（软）</v>
          </cell>
          <cell r="F652" t="str">
            <v>乙类卷烟（新）</v>
          </cell>
          <cell r="G652" t="str">
            <v>烟草加工业</v>
          </cell>
        </row>
        <row r="653">
          <cell r="E653" t="str">
            <v>红河（硬）</v>
          </cell>
          <cell r="F653" t="str">
            <v>乙类卷烟（新）</v>
          </cell>
          <cell r="G653" t="str">
            <v>烟草加工业</v>
          </cell>
        </row>
        <row r="654">
          <cell r="E654" t="str">
            <v>茶花（94mm）</v>
          </cell>
          <cell r="F654" t="str">
            <v>乙类卷烟（新）</v>
          </cell>
          <cell r="G654" t="str">
            <v>烟草加工业</v>
          </cell>
        </row>
        <row r="655">
          <cell r="E655" t="str">
            <v>玉溪（中支和谐）</v>
          </cell>
          <cell r="F655" t="str">
            <v>甲类卷烟（新）</v>
          </cell>
          <cell r="G655" t="str">
            <v>烟草加工业</v>
          </cell>
        </row>
        <row r="656">
          <cell r="E656" t="str">
            <v>云烟（软印象烟庄）</v>
          </cell>
          <cell r="F656" t="str">
            <v>甲类卷烟（新）</v>
          </cell>
          <cell r="G656" t="str">
            <v>烟草加工业</v>
          </cell>
        </row>
        <row r="657">
          <cell r="E657" t="str">
            <v>玉溪（透明）</v>
          </cell>
          <cell r="F657" t="str">
            <v>甲类卷烟（新）</v>
          </cell>
          <cell r="G657" t="str">
            <v>烟草加工业</v>
          </cell>
        </row>
        <row r="658">
          <cell r="E658" t="str">
            <v>玉溪（硬和谐）</v>
          </cell>
          <cell r="F658" t="str">
            <v>甲类卷烟（新）</v>
          </cell>
          <cell r="G658" t="str">
            <v>烟草加工业</v>
          </cell>
        </row>
        <row r="659">
          <cell r="E659" t="str">
            <v>呼伦贝尔（草原牧歌）</v>
          </cell>
          <cell r="F659" t="str">
            <v>甲类卷烟（新）</v>
          </cell>
          <cell r="G659" t="str">
            <v>烟草加工业</v>
          </cell>
        </row>
        <row r="660">
          <cell r="E660" t="str">
            <v>云烟（七彩印象）</v>
          </cell>
          <cell r="F660" t="str">
            <v>甲类卷烟（新）</v>
          </cell>
          <cell r="G660" t="str">
            <v>烟草加工业</v>
          </cell>
        </row>
        <row r="661">
          <cell r="E661" t="str">
            <v>玉溪（硬金）</v>
          </cell>
          <cell r="F661" t="str">
            <v>甲类卷烟（新）</v>
          </cell>
          <cell r="G661" t="str">
            <v>烟草加工业</v>
          </cell>
        </row>
        <row r="662">
          <cell r="E662" t="str">
            <v>云烟（雪域）</v>
          </cell>
          <cell r="F662" t="str">
            <v>甲类卷烟（新）</v>
          </cell>
          <cell r="G662" t="str">
            <v>烟草加工业</v>
          </cell>
        </row>
        <row r="663">
          <cell r="E663" t="str">
            <v>玉溪（华叶）</v>
          </cell>
          <cell r="F663" t="str">
            <v>甲类卷烟（新）</v>
          </cell>
          <cell r="G663" t="str">
            <v>烟草加工业</v>
          </cell>
        </row>
        <row r="664">
          <cell r="E664" t="str">
            <v>云烟（印象烟庄）</v>
          </cell>
          <cell r="F664" t="str">
            <v>甲类卷烟（新）</v>
          </cell>
          <cell r="G664" t="str">
            <v>烟草加工业</v>
          </cell>
        </row>
        <row r="665">
          <cell r="E665" t="str">
            <v>钓鱼台（84mm细支）</v>
          </cell>
          <cell r="F665" t="str">
            <v>甲类卷烟（新）</v>
          </cell>
          <cell r="G665" t="str">
            <v>烟草加工业</v>
          </cell>
        </row>
        <row r="666">
          <cell r="E666" t="str">
            <v>云烟（中支天眼）</v>
          </cell>
          <cell r="F666" t="str">
            <v>甲类卷烟（新）</v>
          </cell>
          <cell r="G666" t="str">
            <v>烟草加工业</v>
          </cell>
        </row>
        <row r="667">
          <cell r="E667" t="str">
            <v>云烟（中支塞上好江南）</v>
          </cell>
          <cell r="F667" t="str">
            <v>甲类卷烟（新）</v>
          </cell>
          <cell r="G667" t="str">
            <v>烟草加工业</v>
          </cell>
        </row>
        <row r="668">
          <cell r="E668" t="str">
            <v>玉溪-华叶</v>
          </cell>
          <cell r="F668" t="str">
            <v>甲类卷烟（新）</v>
          </cell>
          <cell r="G668" t="str">
            <v>烟草加工业</v>
          </cell>
        </row>
        <row r="669">
          <cell r="E669" t="str">
            <v>红河（硬V8）</v>
          </cell>
          <cell r="F669" t="str">
            <v>甲类卷烟（新）</v>
          </cell>
          <cell r="G669" t="str">
            <v>烟草加工业</v>
          </cell>
        </row>
        <row r="670">
          <cell r="E670" t="str">
            <v>云烟（香格里拉）</v>
          </cell>
          <cell r="F670" t="str">
            <v>甲类卷烟（新）</v>
          </cell>
          <cell r="G670" t="str">
            <v>烟草加工业</v>
          </cell>
        </row>
        <row r="671">
          <cell r="E671" t="str">
            <v>呼伦贝尔（金戈铁马）</v>
          </cell>
          <cell r="F671" t="str">
            <v>甲类卷烟（新）</v>
          </cell>
          <cell r="G671" t="str">
            <v>烟草加工业</v>
          </cell>
        </row>
        <row r="672">
          <cell r="E672" t="str">
            <v>钓鱼台（中支）</v>
          </cell>
          <cell r="F672" t="str">
            <v>甲类卷烟（新）</v>
          </cell>
          <cell r="G672" t="str">
            <v>烟草加工业</v>
          </cell>
        </row>
        <row r="673">
          <cell r="E673" t="str">
            <v>云烟（百味人生）</v>
          </cell>
          <cell r="F673" t="str">
            <v>甲类卷烟（新）</v>
          </cell>
          <cell r="G673" t="str">
            <v>烟草加工业</v>
          </cell>
        </row>
        <row r="674">
          <cell r="E674" t="str">
            <v>玉溪（细支庄园）</v>
          </cell>
          <cell r="F674" t="str">
            <v>甲类卷烟（新）</v>
          </cell>
          <cell r="G674" t="str">
            <v>烟草加工业</v>
          </cell>
        </row>
        <row r="675">
          <cell r="E675" t="str">
            <v>玉溪（软小庄园）</v>
          </cell>
          <cell r="F675" t="str">
            <v>甲类卷烟（新）</v>
          </cell>
          <cell r="G675" t="str">
            <v>烟草加工业</v>
          </cell>
        </row>
        <row r="676">
          <cell r="E676" t="str">
            <v>玉溪（中支华叶）</v>
          </cell>
          <cell r="F676" t="str">
            <v>甲类卷烟（新）</v>
          </cell>
          <cell r="G676" t="str">
            <v>烟草加工业</v>
          </cell>
        </row>
        <row r="677">
          <cell r="E677" t="str">
            <v>玉溪（软境界）</v>
          </cell>
          <cell r="F677" t="str">
            <v>甲类卷烟（新）</v>
          </cell>
          <cell r="G677" t="str">
            <v>烟草加工业</v>
          </cell>
        </row>
        <row r="678">
          <cell r="E678" t="str">
            <v>云烟（黑金刚印象）</v>
          </cell>
          <cell r="F678" t="str">
            <v>甲类卷烟（新）</v>
          </cell>
          <cell r="G678" t="str">
            <v>烟草加工业</v>
          </cell>
        </row>
        <row r="679">
          <cell r="E679" t="str">
            <v>云烟（印象）</v>
          </cell>
          <cell r="F679" t="str">
            <v>甲类卷烟（新）</v>
          </cell>
          <cell r="G679" t="str">
            <v>烟草加工业</v>
          </cell>
        </row>
        <row r="680">
          <cell r="E680" t="str">
            <v>云烟（软礼印象）</v>
          </cell>
          <cell r="F680" t="str">
            <v>甲类卷烟（新）</v>
          </cell>
          <cell r="G680" t="str">
            <v>烟草加工业</v>
          </cell>
        </row>
        <row r="681">
          <cell r="E681" t="str">
            <v>云烟（软大重九）</v>
          </cell>
          <cell r="F681" t="str">
            <v>甲类卷烟（新）</v>
          </cell>
          <cell r="G681" t="str">
            <v>烟草加工业</v>
          </cell>
        </row>
        <row r="682">
          <cell r="E682" t="str">
            <v>呼伦贝尔（金帐汗）</v>
          </cell>
          <cell r="F682" t="str">
            <v>甲类卷烟（新）</v>
          </cell>
          <cell r="G682" t="str">
            <v>烟草加工业</v>
          </cell>
        </row>
        <row r="683">
          <cell r="E683" t="str">
            <v>云烟（小云端）</v>
          </cell>
          <cell r="F683" t="str">
            <v>甲类卷烟（新）</v>
          </cell>
          <cell r="G683" t="str">
            <v>烟草加工业</v>
          </cell>
        </row>
        <row r="684">
          <cell r="E684" t="str">
            <v>红河（道）</v>
          </cell>
          <cell r="F684" t="str">
            <v>甲类卷烟（新）</v>
          </cell>
          <cell r="G684" t="str">
            <v>烟草加工业</v>
          </cell>
        </row>
        <row r="685">
          <cell r="E685" t="str">
            <v>雪莲（岁月）</v>
          </cell>
          <cell r="F685" t="str">
            <v>甲类卷烟（新）</v>
          </cell>
          <cell r="G685" t="str">
            <v>烟草加工业</v>
          </cell>
        </row>
        <row r="686">
          <cell r="E686" t="str">
            <v>钓鱼台（硬景泰蓝94mm）</v>
          </cell>
          <cell r="F686" t="str">
            <v>甲类卷烟（新）</v>
          </cell>
          <cell r="G686" t="str">
            <v>烟草加工业</v>
          </cell>
        </row>
        <row r="687">
          <cell r="E687" t="str">
            <v>云烟（云端）</v>
          </cell>
          <cell r="F687" t="str">
            <v>甲类卷烟（新）</v>
          </cell>
          <cell r="G687" t="str">
            <v>烟草加工业</v>
          </cell>
        </row>
        <row r="688">
          <cell r="E688" t="str">
            <v>云烟（细支大重九）</v>
          </cell>
          <cell r="F688" t="str">
            <v>甲类卷烟（新）</v>
          </cell>
          <cell r="G688" t="str">
            <v>烟草加工业</v>
          </cell>
        </row>
        <row r="689">
          <cell r="E689" t="str">
            <v>云烟（中支大重九）</v>
          </cell>
          <cell r="F689" t="str">
            <v>甲类卷烟（新）</v>
          </cell>
          <cell r="G689" t="str">
            <v>烟草加工业</v>
          </cell>
        </row>
        <row r="690">
          <cell r="E690" t="str">
            <v>玉溪（双中支翡翠）</v>
          </cell>
          <cell r="F690" t="str">
            <v>甲类卷烟（新）</v>
          </cell>
          <cell r="G690" t="str">
            <v>烟草加工业</v>
          </cell>
        </row>
        <row r="691">
          <cell r="E691" t="str">
            <v>云烟（9+1大重九）</v>
          </cell>
          <cell r="F691" t="str">
            <v>甲类卷烟（新）</v>
          </cell>
          <cell r="G691" t="str">
            <v>烟草加工业</v>
          </cell>
        </row>
        <row r="692">
          <cell r="E692" t="str">
            <v>玉溪（硬庄园16支）</v>
          </cell>
          <cell r="F692" t="str">
            <v>甲类卷烟（新）</v>
          </cell>
          <cell r="G692" t="str">
            <v>烟草加工业</v>
          </cell>
        </row>
        <row r="693">
          <cell r="E693" t="str">
            <v>玉溪（细支初心）</v>
          </cell>
          <cell r="F693" t="str">
            <v>甲类卷烟（新）</v>
          </cell>
          <cell r="G693" t="str">
            <v>烟草加工业</v>
          </cell>
        </row>
        <row r="694">
          <cell r="E694" t="str">
            <v>玉溪（细支阿诗玛）</v>
          </cell>
          <cell r="F694" t="str">
            <v>甲类卷烟（新）</v>
          </cell>
          <cell r="G694" t="str">
            <v>烟草加工业</v>
          </cell>
        </row>
        <row r="695">
          <cell r="E695" t="str">
            <v>玉溪（细支清香世家）</v>
          </cell>
          <cell r="F695" t="str">
            <v>甲类卷烟（新）</v>
          </cell>
          <cell r="G695" t="str">
            <v>烟草加工业</v>
          </cell>
        </row>
        <row r="696">
          <cell r="E696" t="str">
            <v>云烟（小熊猫家园）</v>
          </cell>
          <cell r="F696" t="str">
            <v>甲类卷烟（新）</v>
          </cell>
          <cell r="G696" t="str">
            <v>烟草加工业</v>
          </cell>
        </row>
        <row r="697">
          <cell r="E697" t="str">
            <v>云烟（软珍品zj）</v>
          </cell>
          <cell r="F697" t="str">
            <v>甲类卷烟（新）</v>
          </cell>
          <cell r="G697" t="str">
            <v>烟草加工业</v>
          </cell>
        </row>
        <row r="698">
          <cell r="E698" t="str">
            <v>玉溪（软尚善）</v>
          </cell>
          <cell r="F698" t="str">
            <v>甲类卷烟（新）</v>
          </cell>
          <cell r="G698" t="str">
            <v>烟草加工业</v>
          </cell>
        </row>
        <row r="699">
          <cell r="E699" t="str">
            <v>呼伦贝尔（天之韵）</v>
          </cell>
          <cell r="F699" t="str">
            <v>甲类卷烟（新）</v>
          </cell>
          <cell r="G699" t="str">
            <v>烟草加工业</v>
          </cell>
        </row>
        <row r="700">
          <cell r="E700" t="str">
            <v>云烟（细支珍品）</v>
          </cell>
          <cell r="F700" t="str">
            <v>甲类卷烟（新）</v>
          </cell>
          <cell r="G700" t="str">
            <v>烟草加工业</v>
          </cell>
        </row>
        <row r="701">
          <cell r="E701" t="str">
            <v>玉溪（108）</v>
          </cell>
          <cell r="F701" t="str">
            <v>甲类卷烟（新）</v>
          </cell>
          <cell r="G701" t="str">
            <v>烟草加工业</v>
          </cell>
        </row>
        <row r="702">
          <cell r="E702" t="str">
            <v>玉溪（中支阿诗玛）</v>
          </cell>
          <cell r="F702" t="str">
            <v>甲类卷烟（新）</v>
          </cell>
          <cell r="G702" t="str">
            <v>烟草加工业</v>
          </cell>
        </row>
        <row r="703">
          <cell r="E703" t="str">
            <v>玉溪（细支108）</v>
          </cell>
          <cell r="F703" t="str">
            <v>甲类卷烟（新）</v>
          </cell>
          <cell r="G703" t="str">
            <v>烟草加工业</v>
          </cell>
        </row>
        <row r="704">
          <cell r="E704" t="str">
            <v>雪莲（细支1960）</v>
          </cell>
          <cell r="F704" t="str">
            <v>甲类卷烟（新）</v>
          </cell>
          <cell r="G704" t="str">
            <v>烟草加工业</v>
          </cell>
        </row>
        <row r="705">
          <cell r="E705" t="str">
            <v>红河（去野）</v>
          </cell>
          <cell r="F705" t="str">
            <v>甲类卷烟（新）</v>
          </cell>
          <cell r="G705" t="str">
            <v>烟草加工业</v>
          </cell>
        </row>
        <row r="706">
          <cell r="E706" t="str">
            <v>云烟（软珍红钻）</v>
          </cell>
          <cell r="F706" t="str">
            <v>甲类卷烟（新）</v>
          </cell>
          <cell r="G706" t="str">
            <v>烟草加工业</v>
          </cell>
        </row>
        <row r="707">
          <cell r="E707" t="str">
            <v>云烟（中支金腰带）</v>
          </cell>
          <cell r="F707" t="str">
            <v>甲类卷烟（新）</v>
          </cell>
          <cell r="G707" t="str">
            <v>烟草加工业</v>
          </cell>
        </row>
        <row r="708">
          <cell r="E708" t="str">
            <v>云烟（乌镇之恋）</v>
          </cell>
          <cell r="F708" t="str">
            <v>甲类卷烟（新）</v>
          </cell>
          <cell r="G708" t="str">
            <v>烟草加工业</v>
          </cell>
        </row>
        <row r="709">
          <cell r="E709" t="str">
            <v>雪莲（74mm天韵）</v>
          </cell>
          <cell r="F709" t="str">
            <v>甲类卷烟（新）</v>
          </cell>
          <cell r="G709" t="str">
            <v>烟草加工业</v>
          </cell>
        </row>
        <row r="710">
          <cell r="E710" t="str">
            <v>云烟（中支乌镇之恋）</v>
          </cell>
          <cell r="F710" t="str">
            <v>甲类卷烟（新）</v>
          </cell>
          <cell r="G710" t="str">
            <v>烟草加工业</v>
          </cell>
        </row>
        <row r="711">
          <cell r="E711" t="str">
            <v>云烟（神秘花园）</v>
          </cell>
          <cell r="F711" t="str">
            <v>甲类卷烟（新）</v>
          </cell>
          <cell r="G711" t="str">
            <v>烟草加工业</v>
          </cell>
        </row>
        <row r="712">
          <cell r="E712" t="str">
            <v>云烟（绿呼伦贝尔）</v>
          </cell>
          <cell r="F712" t="str">
            <v>甲类卷烟（新）</v>
          </cell>
          <cell r="G712" t="str">
            <v>烟草加工业</v>
          </cell>
        </row>
        <row r="713">
          <cell r="E713" t="str">
            <v>云烟（74mm大团结）</v>
          </cell>
          <cell r="F713" t="str">
            <v>甲类卷烟（新）</v>
          </cell>
          <cell r="G713" t="str">
            <v>烟草加工业</v>
          </cell>
        </row>
        <row r="714">
          <cell r="E714" t="str">
            <v>云烟（呼伦贝尔碧草云天）</v>
          </cell>
          <cell r="F714" t="str">
            <v>甲类卷烟（新）</v>
          </cell>
          <cell r="G714" t="str">
            <v>烟草加工业</v>
          </cell>
        </row>
        <row r="715">
          <cell r="E715" t="str">
            <v>云烟（84mm细支雪域）</v>
          </cell>
          <cell r="F715" t="str">
            <v>甲类卷烟（新）</v>
          </cell>
          <cell r="G715" t="str">
            <v>烟草加工业</v>
          </cell>
        </row>
        <row r="716">
          <cell r="E716" t="str">
            <v>云烟（小熊猫）</v>
          </cell>
          <cell r="F716" t="str">
            <v>甲类卷烟（新）</v>
          </cell>
          <cell r="G716" t="str">
            <v>烟草加工业</v>
          </cell>
        </row>
        <row r="717">
          <cell r="E717" t="str">
            <v>雪莲（软蓝）</v>
          </cell>
          <cell r="F717" t="str">
            <v>甲类卷烟（新）</v>
          </cell>
          <cell r="G717" t="str">
            <v>烟草加工业</v>
          </cell>
        </row>
        <row r="718">
          <cell r="E718" t="str">
            <v>呼伦贝尔（天堂草原）</v>
          </cell>
          <cell r="F718" t="str">
            <v>甲类卷烟（新）</v>
          </cell>
          <cell r="G718" t="str">
            <v>烟草加工业</v>
          </cell>
        </row>
        <row r="719">
          <cell r="E719" t="str">
            <v>玉溪（高配版）</v>
          </cell>
          <cell r="F719" t="str">
            <v>甲类卷烟（新）</v>
          </cell>
          <cell r="G719" t="str">
            <v>烟草加工业</v>
          </cell>
        </row>
        <row r="720">
          <cell r="E720" t="str">
            <v>玉溪（软）</v>
          </cell>
          <cell r="F720" t="str">
            <v>甲类卷烟（新）</v>
          </cell>
          <cell r="G720" t="str">
            <v>烟草加工业</v>
          </cell>
        </row>
        <row r="721">
          <cell r="E721" t="str">
            <v>玉溪（硬）</v>
          </cell>
          <cell r="F721" t="str">
            <v>甲类卷烟（新）</v>
          </cell>
          <cell r="G721" t="str">
            <v>烟草加工业</v>
          </cell>
        </row>
        <row r="722">
          <cell r="E722" t="str">
            <v>云烟-小熊猫</v>
          </cell>
          <cell r="F722" t="str">
            <v>甲类卷烟（新）</v>
          </cell>
          <cell r="G722" t="str">
            <v>烟草加工业</v>
          </cell>
        </row>
        <row r="723">
          <cell r="E723" t="str">
            <v>云烟（苁蓉和悦）</v>
          </cell>
          <cell r="F723" t="str">
            <v>甲类卷烟（新）</v>
          </cell>
          <cell r="G723" t="str">
            <v>烟草加工业</v>
          </cell>
        </row>
        <row r="724">
          <cell r="E724" t="str">
            <v>云烟（84mm细支祥瑞）</v>
          </cell>
          <cell r="F724" t="str">
            <v>甲类卷烟（新）</v>
          </cell>
          <cell r="G724" t="str">
            <v>烟草加工业</v>
          </cell>
        </row>
        <row r="725">
          <cell r="E725" t="str">
            <v>云烟（软珍品红韵）</v>
          </cell>
          <cell r="F725" t="str">
            <v>甲类卷烟（新）</v>
          </cell>
          <cell r="G725" t="str">
            <v>烟草加工业</v>
          </cell>
        </row>
        <row r="726">
          <cell r="E726" t="str">
            <v>中华（金细支）</v>
          </cell>
          <cell r="F726" t="str">
            <v>甲类卷烟（新）</v>
          </cell>
          <cell r="G726" t="str">
            <v>烟草加工业</v>
          </cell>
        </row>
        <row r="727">
          <cell r="E727" t="str">
            <v>中华（5000）</v>
          </cell>
          <cell r="F727" t="str">
            <v>甲类卷烟（新）</v>
          </cell>
          <cell r="G727" t="str">
            <v>烟草加工业</v>
          </cell>
        </row>
        <row r="728">
          <cell r="E728" t="str">
            <v>牡丹（金短支）</v>
          </cell>
          <cell r="F728" t="str">
            <v>甲类卷烟（新）</v>
          </cell>
          <cell r="G728" t="str">
            <v>烟草加工业</v>
          </cell>
        </row>
        <row r="729">
          <cell r="E729" t="str">
            <v>熊猫（硬时代版）</v>
          </cell>
          <cell r="F729" t="str">
            <v>甲类卷烟（新）</v>
          </cell>
          <cell r="G729" t="str">
            <v>烟草加工业</v>
          </cell>
        </row>
        <row r="730">
          <cell r="E730" t="str">
            <v>好猫（炫蓝）</v>
          </cell>
          <cell r="F730" t="str">
            <v>甲类卷烟（新）</v>
          </cell>
          <cell r="G730" t="str">
            <v>烟草加工业</v>
          </cell>
        </row>
        <row r="731">
          <cell r="E731" t="str">
            <v>中华（细支）</v>
          </cell>
          <cell r="F731" t="str">
            <v>甲类卷烟（新）</v>
          </cell>
          <cell r="G731" t="str">
            <v>烟草加工业</v>
          </cell>
        </row>
        <row r="732">
          <cell r="E732" t="str">
            <v>牡丹（蓝中支）</v>
          </cell>
          <cell r="F732" t="str">
            <v>甲类卷烟（新）</v>
          </cell>
          <cell r="G732" t="str">
            <v>烟草加工业</v>
          </cell>
        </row>
        <row r="733">
          <cell r="E733" t="str">
            <v>牡丹（飞马）</v>
          </cell>
          <cell r="F733" t="str">
            <v>甲类卷烟（新）</v>
          </cell>
          <cell r="G733" t="str">
            <v>烟草加工业</v>
          </cell>
        </row>
        <row r="734">
          <cell r="E734" t="str">
            <v>好猫（长乐）</v>
          </cell>
          <cell r="F734" t="str">
            <v>甲类卷烟（新）</v>
          </cell>
          <cell r="G734" t="str">
            <v>烟草加工业</v>
          </cell>
        </row>
        <row r="735">
          <cell r="E735" t="str">
            <v>好猫（天赋）</v>
          </cell>
          <cell r="F735" t="str">
            <v>甲类卷烟（新）</v>
          </cell>
          <cell r="G735" t="str">
            <v>烟草加工业</v>
          </cell>
        </row>
        <row r="736">
          <cell r="E736" t="str">
            <v>好猫（吉祥）</v>
          </cell>
          <cell r="F736" t="str">
            <v>甲类卷烟（新）</v>
          </cell>
          <cell r="G736" t="str">
            <v>烟草加工业</v>
          </cell>
        </row>
        <row r="737">
          <cell r="E737" t="str">
            <v>好猫（招财猫1600）</v>
          </cell>
          <cell r="F737" t="str">
            <v>甲类卷烟（新）</v>
          </cell>
          <cell r="G737" t="str">
            <v>烟草加工业</v>
          </cell>
        </row>
        <row r="738">
          <cell r="E738" t="str">
            <v>好猫（细支天赋）</v>
          </cell>
          <cell r="F738" t="str">
            <v>甲类卷烟（新）</v>
          </cell>
          <cell r="G738" t="str">
            <v>烟草加工业</v>
          </cell>
        </row>
        <row r="739">
          <cell r="E739" t="str">
            <v>延安（千年帝都）</v>
          </cell>
          <cell r="F739" t="str">
            <v>甲类卷烟（新）</v>
          </cell>
          <cell r="G739" t="str">
            <v>烟草加工业</v>
          </cell>
        </row>
        <row r="740">
          <cell r="E740" t="str">
            <v>延安（1935）</v>
          </cell>
          <cell r="F740" t="str">
            <v>甲类卷烟（新）</v>
          </cell>
          <cell r="G740" t="str">
            <v>烟草加工业</v>
          </cell>
        </row>
        <row r="741">
          <cell r="E741" t="str">
            <v>延安（红韵）</v>
          </cell>
          <cell r="F741" t="str">
            <v>甲类卷烟（新）</v>
          </cell>
          <cell r="G741" t="str">
            <v>烟草加工业</v>
          </cell>
        </row>
        <row r="742">
          <cell r="E742" t="str">
            <v>延安（五星）</v>
          </cell>
          <cell r="F742" t="str">
            <v>甲类卷烟（新）</v>
          </cell>
          <cell r="G742" t="str">
            <v>烟草加工业</v>
          </cell>
        </row>
        <row r="743">
          <cell r="E743" t="str">
            <v>好猫（细支招财猫）</v>
          </cell>
          <cell r="F743" t="str">
            <v>甲类卷烟（新）</v>
          </cell>
          <cell r="G743" t="str">
            <v>烟草加工业</v>
          </cell>
        </row>
        <row r="744">
          <cell r="E744" t="str">
            <v>延安（金）</v>
          </cell>
          <cell r="F744" t="str">
            <v>甲类卷烟（新）</v>
          </cell>
          <cell r="G744" t="str">
            <v>烟草加工业</v>
          </cell>
        </row>
        <row r="745">
          <cell r="E745" t="str">
            <v>延安（细支圣地河谷）</v>
          </cell>
          <cell r="F745" t="str">
            <v>甲类卷烟（新）</v>
          </cell>
          <cell r="G745" t="str">
            <v>烟草加工业</v>
          </cell>
        </row>
        <row r="746">
          <cell r="E746" t="str">
            <v>延安（青春岁月）</v>
          </cell>
          <cell r="F746" t="str">
            <v>甲类卷烟（新）</v>
          </cell>
          <cell r="G746" t="str">
            <v>烟草加工业</v>
          </cell>
        </row>
        <row r="747">
          <cell r="E747" t="str">
            <v>延安（细支1935）</v>
          </cell>
          <cell r="F747" t="str">
            <v>甲类卷烟（新）</v>
          </cell>
          <cell r="G747" t="str">
            <v>烟草加工业</v>
          </cell>
        </row>
        <row r="748">
          <cell r="E748" t="str">
            <v>好猫（中支金丝猴）</v>
          </cell>
          <cell r="F748" t="str">
            <v>甲类卷烟（新）</v>
          </cell>
          <cell r="G748" t="str">
            <v>烟草加工业</v>
          </cell>
        </row>
        <row r="749">
          <cell r="E749" t="str">
            <v>延安（中支1935）</v>
          </cell>
          <cell r="F749" t="str">
            <v>甲类卷烟（新）</v>
          </cell>
          <cell r="G749" t="str">
            <v>烟草加工业</v>
          </cell>
        </row>
        <row r="750">
          <cell r="E750" t="str">
            <v>延安（公主）</v>
          </cell>
          <cell r="F750" t="str">
            <v>甲类卷烟（新）</v>
          </cell>
          <cell r="G750" t="str">
            <v>烟草加工业</v>
          </cell>
        </row>
        <row r="751">
          <cell r="E751" t="str">
            <v>好猫（金丝猴）</v>
          </cell>
          <cell r="F751" t="str">
            <v>甲类卷烟（新）</v>
          </cell>
          <cell r="G751" t="str">
            <v>烟草加工业</v>
          </cell>
        </row>
        <row r="752">
          <cell r="E752" t="str">
            <v>红河（软99）</v>
          </cell>
          <cell r="F752" t="str">
            <v>甲类卷烟（新）</v>
          </cell>
          <cell r="G752" t="str">
            <v>烟草加工业</v>
          </cell>
        </row>
        <row r="753">
          <cell r="E753" t="str">
            <v>延安（细支千年帝都）</v>
          </cell>
          <cell r="F753" t="str">
            <v>甲类卷烟（新）</v>
          </cell>
          <cell r="G753" t="str">
            <v>烟草加工业</v>
          </cell>
        </row>
        <row r="754">
          <cell r="E754" t="str">
            <v>红塔山（硬恭贺新禧）</v>
          </cell>
          <cell r="F754" t="str">
            <v>甲类卷烟（新）</v>
          </cell>
          <cell r="G754" t="str">
            <v>烟草加工业</v>
          </cell>
        </row>
        <row r="755">
          <cell r="E755" t="str">
            <v>红塔山（硬传奇）</v>
          </cell>
          <cell r="F755" t="str">
            <v>甲类卷烟（新）</v>
          </cell>
          <cell r="G755" t="str">
            <v>烟草加工业</v>
          </cell>
        </row>
        <row r="756">
          <cell r="E756" t="str">
            <v>红塔山（细支传奇）</v>
          </cell>
          <cell r="F756" t="str">
            <v>甲类卷烟（新）</v>
          </cell>
          <cell r="G756" t="str">
            <v>烟草加工业</v>
          </cell>
        </row>
        <row r="757">
          <cell r="E757" t="str">
            <v>红塔山-硬恭贺新禧</v>
          </cell>
          <cell r="F757" t="str">
            <v>甲类卷烟（新）</v>
          </cell>
          <cell r="G757" t="str">
            <v>烟草加工业</v>
          </cell>
        </row>
        <row r="758">
          <cell r="E758" t="str">
            <v>红河（硬99）</v>
          </cell>
          <cell r="F758" t="str">
            <v>甲类卷烟（新）</v>
          </cell>
          <cell r="G758" t="str">
            <v>烟草加工业</v>
          </cell>
        </row>
        <row r="759">
          <cell r="E759" t="str">
            <v>雪莲（尚禧）</v>
          </cell>
          <cell r="F759" t="str">
            <v>甲类卷烟（新）</v>
          </cell>
          <cell r="G759" t="str">
            <v>烟草加工业</v>
          </cell>
        </row>
        <row r="760">
          <cell r="E760" t="str">
            <v>红河（A7）</v>
          </cell>
          <cell r="F760" t="str">
            <v>甲类卷烟（新）</v>
          </cell>
          <cell r="G760" t="str">
            <v>烟草加工业</v>
          </cell>
        </row>
        <row r="761">
          <cell r="E761" t="str">
            <v>云烟（细支云龙）</v>
          </cell>
          <cell r="F761" t="str">
            <v>甲类卷烟（新）</v>
          </cell>
          <cell r="G761" t="str">
            <v>烟草加工业</v>
          </cell>
        </row>
        <row r="762">
          <cell r="E762" t="str">
            <v>云烟（硬云龙）</v>
          </cell>
          <cell r="F762" t="str">
            <v>甲类卷烟（新）</v>
          </cell>
          <cell r="G762" t="str">
            <v>烟草加工业</v>
          </cell>
        </row>
        <row r="763">
          <cell r="E763" t="str">
            <v>呼伦贝尔（草原情）</v>
          </cell>
          <cell r="F763" t="str">
            <v>甲类卷烟（新）</v>
          </cell>
          <cell r="G763" t="str">
            <v>烟草加工业</v>
          </cell>
        </row>
        <row r="764">
          <cell r="E764" t="str">
            <v>雪莲（3000）</v>
          </cell>
          <cell r="F764" t="str">
            <v>甲类卷烟（新）</v>
          </cell>
          <cell r="G764" t="str">
            <v>烟草加工业</v>
          </cell>
        </row>
        <row r="765">
          <cell r="E765" t="str">
            <v>红塔山（硬经典二代）</v>
          </cell>
          <cell r="F765" t="str">
            <v>甲类卷烟（新）</v>
          </cell>
          <cell r="G765" t="str">
            <v>烟草加工业</v>
          </cell>
        </row>
        <row r="766">
          <cell r="E766" t="str">
            <v>玉溪（创客）</v>
          </cell>
          <cell r="F766" t="str">
            <v>甲类卷烟（新）</v>
          </cell>
          <cell r="G766" t="str">
            <v>烟草加工业</v>
          </cell>
        </row>
        <row r="767">
          <cell r="E767" t="str">
            <v>玉溪（软初心）</v>
          </cell>
          <cell r="F767" t="str">
            <v>甲类卷烟（新）</v>
          </cell>
          <cell r="G767" t="str">
            <v>烟草加工业</v>
          </cell>
        </row>
        <row r="768">
          <cell r="E768" t="str">
            <v>玉溪（初心）</v>
          </cell>
          <cell r="F768" t="str">
            <v>甲类卷烟（新）</v>
          </cell>
          <cell r="G768" t="str">
            <v>烟草加工业</v>
          </cell>
        </row>
        <row r="769">
          <cell r="E769" t="str">
            <v>玉溪（软阿诗玛）</v>
          </cell>
          <cell r="F769" t="str">
            <v>甲类卷烟（新）</v>
          </cell>
          <cell r="G769" t="str">
            <v>烟草加工业</v>
          </cell>
        </row>
        <row r="770">
          <cell r="E770" t="str">
            <v>恒大（烟魁1919）</v>
          </cell>
          <cell r="F770" t="str">
            <v>甲类卷烟（新）</v>
          </cell>
          <cell r="G770" t="str">
            <v>烟草加工业</v>
          </cell>
        </row>
        <row r="771">
          <cell r="E771" t="str">
            <v>双喜（百年红）</v>
          </cell>
          <cell r="F771" t="str">
            <v>甲类卷烟（新）</v>
          </cell>
          <cell r="G771" t="str">
            <v>烟草加工业</v>
          </cell>
        </row>
        <row r="772">
          <cell r="E772" t="str">
            <v>大前门（短支）</v>
          </cell>
          <cell r="F772" t="str">
            <v>甲类卷烟（新）</v>
          </cell>
          <cell r="G772" t="str">
            <v>烟草加工业</v>
          </cell>
        </row>
        <row r="773">
          <cell r="E773" t="str">
            <v>凤凰（细支）</v>
          </cell>
          <cell r="F773" t="str">
            <v>甲类卷烟（新）</v>
          </cell>
          <cell r="G773" t="str">
            <v>烟草加工业</v>
          </cell>
        </row>
        <row r="774">
          <cell r="E774" t="str">
            <v>恒大（记忆1949）</v>
          </cell>
          <cell r="F774" t="str">
            <v>甲类卷烟（新）</v>
          </cell>
          <cell r="G774" t="str">
            <v>烟草加工业</v>
          </cell>
        </row>
        <row r="775">
          <cell r="E775" t="str">
            <v>中华（金中支）</v>
          </cell>
          <cell r="F775" t="str">
            <v>甲类卷烟（新）</v>
          </cell>
          <cell r="G775" t="str">
            <v>烟草加工业</v>
          </cell>
        </row>
        <row r="776">
          <cell r="E776" t="str">
            <v>红双喜-硬江山珍品</v>
          </cell>
          <cell r="F776" t="str">
            <v>甲类卷烟（新）</v>
          </cell>
          <cell r="G776" t="str">
            <v>烟草加工业</v>
          </cell>
        </row>
        <row r="777">
          <cell r="E777" t="str">
            <v>牡丹（金细支）</v>
          </cell>
          <cell r="F777" t="str">
            <v>甲类卷烟（新）</v>
          </cell>
          <cell r="G777" t="str">
            <v>烟草加工业</v>
          </cell>
        </row>
        <row r="778">
          <cell r="E778" t="str">
            <v>熊猫（硬经典）</v>
          </cell>
          <cell r="F778" t="str">
            <v>甲类卷烟（新）</v>
          </cell>
          <cell r="G778" t="str">
            <v>烟草加工业</v>
          </cell>
        </row>
        <row r="779">
          <cell r="E779" t="str">
            <v>中华（双中支）</v>
          </cell>
          <cell r="F779" t="str">
            <v>甲类卷烟（新）</v>
          </cell>
          <cell r="G779" t="str">
            <v>烟草加工业</v>
          </cell>
        </row>
        <row r="780">
          <cell r="E780" t="str">
            <v>中华（硬5支）</v>
          </cell>
          <cell r="F780" t="str">
            <v>甲类卷烟（新）</v>
          </cell>
          <cell r="G780" t="str">
            <v>烟草加工业</v>
          </cell>
        </row>
        <row r="781">
          <cell r="E781" t="str">
            <v>中华（硬12支）</v>
          </cell>
          <cell r="F781" t="str">
            <v>甲类卷烟（新）</v>
          </cell>
          <cell r="G781" t="str">
            <v>烟草加工业</v>
          </cell>
        </row>
        <row r="782">
          <cell r="E782" t="str">
            <v>中华（听50支）</v>
          </cell>
          <cell r="F782" t="str">
            <v>甲类卷烟（新）</v>
          </cell>
          <cell r="G782" t="str">
            <v>烟草加工业</v>
          </cell>
        </row>
        <row r="783">
          <cell r="E783" t="str">
            <v>中华（软鸡年生肖版）</v>
          </cell>
          <cell r="F783" t="str">
            <v>甲类卷烟（新）</v>
          </cell>
          <cell r="G783" t="str">
            <v>烟草加工业</v>
          </cell>
        </row>
        <row r="784">
          <cell r="E784" t="str">
            <v>牡丹（青柠细支）</v>
          </cell>
          <cell r="F784" t="str">
            <v>甲类卷烟（新）</v>
          </cell>
          <cell r="G784" t="str">
            <v>烟草加工业</v>
          </cell>
        </row>
        <row r="785">
          <cell r="E785" t="str">
            <v>恒大（烟魁1949中支）</v>
          </cell>
          <cell r="F785" t="str">
            <v>甲类卷烟（新）</v>
          </cell>
          <cell r="G785" t="str">
            <v>烟草加工业</v>
          </cell>
        </row>
        <row r="786">
          <cell r="E786" t="str">
            <v>中华（金短支）</v>
          </cell>
          <cell r="F786" t="str">
            <v>甲类卷烟（新）</v>
          </cell>
          <cell r="G786" t="str">
            <v>烟草加工业</v>
          </cell>
        </row>
        <row r="787">
          <cell r="E787" t="str">
            <v>凤凰（咖啡细支）</v>
          </cell>
          <cell r="F787" t="str">
            <v>甲类卷烟（新）</v>
          </cell>
          <cell r="G787" t="str">
            <v>烟草加工业</v>
          </cell>
        </row>
        <row r="788">
          <cell r="E788" t="str">
            <v>熊猫（听50支）</v>
          </cell>
          <cell r="F788" t="str">
            <v>甲类卷烟（新）</v>
          </cell>
          <cell r="G788" t="str">
            <v>烟草加工业</v>
          </cell>
        </row>
        <row r="789">
          <cell r="E789" t="str">
            <v>红双喜（硬星派）</v>
          </cell>
          <cell r="F789" t="str">
            <v>甲类卷烟（新）</v>
          </cell>
          <cell r="G789" t="str">
            <v>烟草加工业</v>
          </cell>
        </row>
        <row r="790">
          <cell r="E790" t="str">
            <v>江山（硬一统）</v>
          </cell>
          <cell r="F790" t="str">
            <v>甲类卷烟（新）</v>
          </cell>
          <cell r="G790" t="str">
            <v>烟草加工业</v>
          </cell>
        </row>
        <row r="791">
          <cell r="E791" t="str">
            <v>红双喜（硬晶派）</v>
          </cell>
          <cell r="F791" t="str">
            <v>甲类卷烟（新）</v>
          </cell>
          <cell r="G791" t="str">
            <v>烟草加工业</v>
          </cell>
        </row>
        <row r="792">
          <cell r="E792" t="str">
            <v>好猫（细支长乐）</v>
          </cell>
          <cell r="F792" t="str">
            <v>甲类卷烟（新）</v>
          </cell>
          <cell r="G792" t="str">
            <v>烟草加工业</v>
          </cell>
        </row>
        <row r="793">
          <cell r="E793" t="str">
            <v>红双喜（硬江山珍品）</v>
          </cell>
          <cell r="F793" t="str">
            <v>甲类卷烟（新）</v>
          </cell>
          <cell r="G793" t="str">
            <v>烟草加工业</v>
          </cell>
        </row>
        <row r="794">
          <cell r="E794" t="str">
            <v>恒大（全开式烟魁）</v>
          </cell>
          <cell r="F794" t="str">
            <v>甲类卷烟（新）</v>
          </cell>
          <cell r="G794" t="str">
            <v>烟草加工业</v>
          </cell>
        </row>
        <row r="795">
          <cell r="E795" t="str">
            <v>红双喜（硬津门恒大）</v>
          </cell>
          <cell r="F795" t="str">
            <v>甲类卷烟（新）</v>
          </cell>
          <cell r="G795" t="str">
            <v>烟草加工业</v>
          </cell>
        </row>
        <row r="796">
          <cell r="E796" t="str">
            <v>红双喜（硬尚派）</v>
          </cell>
          <cell r="F796" t="str">
            <v>甲类卷烟（新）</v>
          </cell>
          <cell r="G796" t="str">
            <v>烟草加工业</v>
          </cell>
        </row>
        <row r="797">
          <cell r="E797" t="str">
            <v>中华（大中华）</v>
          </cell>
          <cell r="F797" t="str">
            <v>甲类卷烟（新）</v>
          </cell>
          <cell r="G797" t="str">
            <v>烟草加工业</v>
          </cell>
        </row>
        <row r="798">
          <cell r="E798" t="str">
            <v>牡丹（软蓝）</v>
          </cell>
          <cell r="F798" t="str">
            <v>甲类卷烟（新）</v>
          </cell>
          <cell r="G798" t="str">
            <v>烟草加工业</v>
          </cell>
        </row>
        <row r="799">
          <cell r="E799" t="str">
            <v>红双喜（硬晶喜）</v>
          </cell>
          <cell r="F799" t="str">
            <v>甲类卷烟（新）</v>
          </cell>
          <cell r="G799" t="str">
            <v>烟草加工业</v>
          </cell>
        </row>
        <row r="800">
          <cell r="E800" t="str">
            <v>中华（硬）</v>
          </cell>
          <cell r="F800" t="str">
            <v>甲类卷烟（新）</v>
          </cell>
          <cell r="G800" t="str">
            <v>烟草加工业</v>
          </cell>
        </row>
        <row r="801">
          <cell r="E801" t="str">
            <v>红双喜（硬铂派）</v>
          </cell>
          <cell r="F801" t="str">
            <v>甲类卷烟（新）</v>
          </cell>
          <cell r="G801" t="str">
            <v>烟草加工业</v>
          </cell>
        </row>
        <row r="802">
          <cell r="E802" t="str">
            <v>红双喜（硬荷派）</v>
          </cell>
          <cell r="F802" t="str">
            <v>甲类卷烟（新）</v>
          </cell>
          <cell r="G802" t="str">
            <v>烟草加工业</v>
          </cell>
        </row>
        <row r="803">
          <cell r="E803" t="str">
            <v>恒大（记忆1949中支）</v>
          </cell>
          <cell r="F803" t="str">
            <v>甲类卷烟（新）</v>
          </cell>
          <cell r="G803" t="str">
            <v>烟草加工业</v>
          </cell>
        </row>
        <row r="804">
          <cell r="E804" t="str">
            <v>中华（硬10mg12支）</v>
          </cell>
          <cell r="F804" t="str">
            <v>甲类卷烟（新）</v>
          </cell>
          <cell r="G804" t="str">
            <v>烟草加工业</v>
          </cell>
        </row>
        <row r="805">
          <cell r="E805" t="str">
            <v>牡丹（软）</v>
          </cell>
          <cell r="F805" t="str">
            <v>甲类卷烟（新）</v>
          </cell>
          <cell r="G805" t="str">
            <v>烟草加工业</v>
          </cell>
        </row>
        <row r="806">
          <cell r="E806" t="str">
            <v>中华（硬10mg）</v>
          </cell>
          <cell r="F806" t="str">
            <v>甲类卷烟（新）</v>
          </cell>
          <cell r="G806" t="str">
            <v>烟草加工业</v>
          </cell>
        </row>
        <row r="807">
          <cell r="E807" t="str">
            <v>中华（软）</v>
          </cell>
          <cell r="F807" t="str">
            <v>甲类卷烟（新）</v>
          </cell>
          <cell r="G807" t="str">
            <v>烟草加工业</v>
          </cell>
        </row>
        <row r="808">
          <cell r="E808" t="str">
            <v>中华（硬10mg5支）</v>
          </cell>
          <cell r="F808" t="str">
            <v>甲类卷烟（新）</v>
          </cell>
          <cell r="G808" t="str">
            <v>烟草加工业</v>
          </cell>
        </row>
        <row r="809">
          <cell r="E809" t="str">
            <v>中华（全开式）</v>
          </cell>
          <cell r="F809" t="str">
            <v>甲类卷烟（新）</v>
          </cell>
          <cell r="G809" t="str">
            <v>烟草加工业</v>
          </cell>
        </row>
        <row r="810">
          <cell r="E810" t="str">
            <v>红双喜（硬精品）</v>
          </cell>
          <cell r="F810" t="str">
            <v>甲类卷烟（新）</v>
          </cell>
          <cell r="G810" t="str">
            <v>烟草加工业</v>
          </cell>
        </row>
        <row r="811">
          <cell r="E811" t="str">
            <v>已梳皮棉</v>
          </cell>
          <cell r="F811" t="str">
            <v>包括精梳或粗梳皮棉</v>
          </cell>
          <cell r="G811" t="str">
            <v>纺织业</v>
          </cell>
        </row>
        <row r="812">
          <cell r="E812" t="str">
            <v>纱</v>
          </cell>
          <cell r="F812" t="str">
            <v>指棉、化学纤维与毛麻等将纤维拉长加捻纺成的细缕，通常用作织布的原材料。包括棉纱、棉混纺纱、化学纤维纱。不包括线（详见104010103）、缝纫线（详见104010104）、毛纱（详见104010202）、绒线（详见104010203）、麻纱线（详见104010302）。</v>
          </cell>
          <cell r="G812" t="str">
            <v>纺织业</v>
          </cell>
        </row>
        <row r="813">
          <cell r="E813" t="str">
            <v>线</v>
          </cell>
          <cell r="F813" t="str">
            <v>指两根及以上单纱经过捻线机、倍捻机加捻合股后的产品；是将纱进一步加工的产品，用于梭织或针织织造。包括棉线、棉混纺线、化学纤维线、色纺线</v>
          </cell>
          <cell r="G813" t="str">
            <v>纺织业</v>
          </cell>
        </row>
        <row r="814">
          <cell r="E814" t="str">
            <v>缝纫线</v>
          </cell>
          <cell r="F814" t="str">
            <v>指股线的再加工产品，是为缝制加工纺织品用的。包括短纤维缝纫线、长丝缝纫线</v>
          </cell>
          <cell r="G814" t="str">
            <v>纺织业</v>
          </cell>
        </row>
        <row r="815">
          <cell r="E815" t="str">
            <v>布</v>
          </cell>
          <cell r="F815" t="str">
            <v>指用纱或股线在棉织机上（包括有梭织机、无梭织机）织造的机织布；指坯布（经有梭织机或无梭织机织造的下机布，未经染整加工、未漂白的坯布）。包括棉布、棉混纺布、化学纤维短纤布、色织布、牛仔布</v>
          </cell>
          <cell r="G815" t="str">
            <v>纺织业</v>
          </cell>
        </row>
        <row r="816">
          <cell r="E816" t="str">
            <v>印染布</v>
          </cell>
          <cell r="F816" t="str">
            <v>指棉纺织厂生产的棉布、棉混纺布、化学纤维布的坯布经棉印染生产设备加工整理的漂白布、染色布、印花布的统称。包括漂白布、染色布、印花布</v>
          </cell>
          <cell r="G816" t="str">
            <v>纺织业</v>
          </cell>
        </row>
        <row r="817">
          <cell r="E817" t="str">
            <v>毛条</v>
          </cell>
          <cell r="F817" t="str">
            <v>洗净毛经梳理成条后，经过精梳及其前后的准备和整理过程，即毛条制成。包括动物毛条、合成纤维毛条</v>
          </cell>
          <cell r="G817" t="str">
            <v>纺织业</v>
          </cell>
        </row>
        <row r="818">
          <cell r="E818" t="str">
            <v>毛纱</v>
          </cell>
          <cell r="F818" t="str">
            <v>毛纱是以羊毛为原料纺制而成有捻向的单纱。包括羊毛纱、混纺羊毛纱、其他毛纱</v>
          </cell>
          <cell r="G818" t="str">
            <v>纺织业</v>
          </cell>
        </row>
        <row r="819">
          <cell r="E819" t="str">
            <v>绒线</v>
          </cell>
          <cell r="F819" t="str">
            <v>俗称毛线。包括纯毛绒线、混纺绒线、化学纤维绒线、其他绒线</v>
          </cell>
          <cell r="G819" t="str">
            <v>纺织业</v>
          </cell>
        </row>
        <row r="820">
          <cell r="E820" t="str">
            <v>毛机织物（呢绒）</v>
          </cell>
          <cell r="F820" t="str">
            <v>或称毛织品。包括纯毛机织物、毛混纺机织物、化学纤维毛机织物、其他毛机织物</v>
          </cell>
          <cell r="G820" t="str">
            <v>纺织业</v>
          </cell>
        </row>
        <row r="821">
          <cell r="E821" t="str">
            <v>特种羊毛或动物细毛织物</v>
          </cell>
          <cell r="F821" t="str">
            <v>包括毛制起绒织物、毛制绳绒织物、毛制毛巾织物、毛制簇绒织物</v>
          </cell>
          <cell r="G821" t="str">
            <v>纺织业</v>
          </cell>
        </row>
        <row r="822">
          <cell r="E822" t="str">
            <v>毛染整精加工产品</v>
          </cell>
          <cell r="F822" t="str">
            <v>无说明</v>
          </cell>
          <cell r="G822" t="str">
            <v>纺织业</v>
          </cell>
        </row>
        <row r="823">
          <cell r="E823" t="str">
            <v>麻纤维原料</v>
          </cell>
          <cell r="F823" t="str">
            <v>纺前经加工的麻纤维，也称精干麻；指经破开、打成、栉梳或其他加工。包括苎麻原麻、苎麻精干麻、亚麻打成麻、亚麻短纤、黄（红）麻（熟麻）、大麻原麻、其他麻纤维原料</v>
          </cell>
          <cell r="G823" t="str">
            <v>纺织业</v>
          </cell>
        </row>
        <row r="824">
          <cell r="E824" t="str">
            <v>麻纱线</v>
          </cell>
          <cell r="F824" t="str">
            <v>包括亚麻纱、苎麻纱、黄红麻纱、大麻纱线、其他麻纱线</v>
          </cell>
          <cell r="G824" t="str">
            <v>纺织业</v>
          </cell>
        </row>
        <row r="825">
          <cell r="E825" t="str">
            <v>亚麻布</v>
          </cell>
          <cell r="F825" t="str">
            <v>包括亚麻布，含亚麻≥55%、其他亚麻布，含亚麻＜55%</v>
          </cell>
          <cell r="G825" t="str">
            <v>纺织业</v>
          </cell>
        </row>
        <row r="826">
          <cell r="E826" t="str">
            <v>亚麻印染布</v>
          </cell>
          <cell r="F826" t="str">
            <v>包括亚麻漂白布、亚麻染色布、亚麻印花布</v>
          </cell>
          <cell r="G826" t="str">
            <v>纺织业</v>
          </cell>
        </row>
        <row r="827">
          <cell r="E827" t="str">
            <v>苎麻布</v>
          </cell>
          <cell r="F827" t="str">
            <v>包括苎麻布，含苎麻≥55%、其他苎麻布，含苎麻＜55%</v>
          </cell>
          <cell r="G827" t="str">
            <v>纺织业</v>
          </cell>
        </row>
        <row r="828">
          <cell r="E828" t="str">
            <v>苎麻印染布</v>
          </cell>
          <cell r="F828" t="str">
            <v>包括苎麻漂白布、苎麻染色布、苎麻印花布</v>
          </cell>
          <cell r="G828" t="str">
            <v>纺织业</v>
          </cell>
        </row>
        <row r="829">
          <cell r="E829" t="str">
            <v>黄红麻织物</v>
          </cell>
          <cell r="F829" t="str">
            <v>无说明</v>
          </cell>
          <cell r="G829" t="str">
            <v>纺织业</v>
          </cell>
        </row>
        <row r="830">
          <cell r="E830" t="str">
            <v>大麻织物</v>
          </cell>
          <cell r="F830" t="str">
            <v>无说明</v>
          </cell>
          <cell r="G830" t="str">
            <v>纺织业</v>
          </cell>
        </row>
        <row r="831">
          <cell r="E831" t="str">
            <v>其他麻纺织品</v>
          </cell>
          <cell r="F831" t="str">
            <v>无说明</v>
          </cell>
          <cell r="G831" t="str">
            <v>纺织业</v>
          </cell>
        </row>
        <row r="832">
          <cell r="E832" t="str">
            <v>蚕丝</v>
          </cell>
          <cell r="F832" t="str">
            <v>包括桑蚕丝、柞蚕丝、绢纺丝、蚕丝短纤维、丝纱线、其他蚕丝</v>
          </cell>
          <cell r="G832" t="str">
            <v>纺织业</v>
          </cell>
        </row>
        <row r="833">
          <cell r="E833" t="str">
            <v>蚕丝及交织机织物</v>
          </cell>
          <cell r="F833" t="str">
            <v>包括含蚕丝≥50%的蚕丝及交织机织物、含蚕丝＜50%的蚕丝交织机织物</v>
          </cell>
          <cell r="G833" t="str">
            <v>纺织业</v>
          </cell>
        </row>
        <row r="834">
          <cell r="E834" t="str">
            <v>印染蚕丝及交织机织物</v>
          </cell>
          <cell r="F834" t="str">
            <v>包括含蚕丝≥50%的印染蚕丝及交织机织物、含蚕丝＜50%印染的蚕丝及交织机织物，</v>
          </cell>
          <cell r="G834" t="str">
            <v>纺织业</v>
          </cell>
        </row>
        <row r="835">
          <cell r="E835" t="str">
            <v>化纤长丝机织物</v>
          </cell>
          <cell r="F835" t="str">
            <v>指经向、纬向均为合成纤维长丝或再生纤维长丝在织机上（喷水织机、剑杆织机、喷气织机等）生产的长丝织物。包括合成纤维长丝机织物、人造纤维长丝机织物、化学纤维长丝绒布、其他化纤长丝机织物</v>
          </cell>
          <cell r="G835" t="str">
            <v>纺织业</v>
          </cell>
        </row>
        <row r="836">
          <cell r="E836" t="str">
            <v>特种丝织物</v>
          </cell>
          <cell r="F836" t="str">
            <v>包括丝制起绒织物及绳绒织物、丝制毛巾织物及类似毛圈机织物、丝制纱罗、丝制簇绒织物，含蚕丝50%及以上</v>
          </cell>
          <cell r="G836" t="str">
            <v>纺织业</v>
          </cell>
        </row>
        <row r="837">
          <cell r="E837" t="str">
            <v>床褥单</v>
          </cell>
          <cell r="F837" t="str">
            <v>包括棉制床褥单、化学纤维制床褥单、麻制床单。不包括针织或钩编的床上用品（详见104011302）</v>
          </cell>
          <cell r="G837" t="str">
            <v>纺织业</v>
          </cell>
        </row>
        <row r="838">
          <cell r="E838" t="str">
            <v>被面</v>
          </cell>
          <cell r="F838" t="str">
            <v>包括丝绸被面、其他被面</v>
          </cell>
          <cell r="G838" t="str">
            <v>纺织业</v>
          </cell>
        </row>
        <row r="839">
          <cell r="E839" t="str">
            <v>枕套</v>
          </cell>
          <cell r="F839" t="str">
            <v>包括棉制枕套、化学纤维制枕套、丝绸枕套、其他枕套。不包括针织或钩编的床上用品（详见104011302）。</v>
          </cell>
          <cell r="G839" t="str">
            <v>纺织业</v>
          </cell>
        </row>
        <row r="840">
          <cell r="E840" t="str">
            <v>被罩</v>
          </cell>
          <cell r="F840" t="str">
            <v>包括棉制被罩、化学纤维制被罩、麻制被罩、其他被罩。不包括针织或钩编的床上用品（详见104011302）。</v>
          </cell>
          <cell r="G840" t="str">
            <v>纺织业</v>
          </cell>
        </row>
        <row r="841">
          <cell r="E841" t="str">
            <v>床罩</v>
          </cell>
          <cell r="F841" t="str">
            <v>包括棉制床罩、化学纤维制床罩、麻制床罩、丝制床罩、其他床罩。不包括针织或钩编的床上用品（详见104011302）。</v>
          </cell>
          <cell r="G841" t="str">
            <v>纺织业</v>
          </cell>
        </row>
        <row r="842">
          <cell r="E842" t="str">
            <v>毯子</v>
          </cell>
          <cell r="F842" t="str">
            <v>包括棉制毯、毛制毯、麻制毯、其他毯子</v>
          </cell>
          <cell r="G842" t="str">
            <v>纺织业</v>
          </cell>
        </row>
        <row r="843">
          <cell r="E843" t="str">
            <v>寝具及类似填充用品</v>
          </cell>
          <cell r="F843" t="str">
            <v>指以各种纺织材料作为面料（不论是否包面），用丝棉、化纤棉、兽毛等填充的棉被、枕头、靠垫、座垫等寝具及类似用品。包括羽绒（毛）、兽毛制寝具及类似填充制品、棉制寝具及类似填充制品、丝制寝具及类似填充制品、其他寝具及类似填充用品</v>
          </cell>
          <cell r="G843" t="str">
            <v>纺织业</v>
          </cell>
        </row>
        <row r="844">
          <cell r="E844" t="str">
            <v>毛巾被</v>
          </cell>
          <cell r="F844" t="str">
            <v>包括棉制毛巾被、化纤制毛巾被、麻制毛巾被、丝及绢丝制毛巾被，花式品种分单色、多色、条格、印花、喷花、提花毛巾被等</v>
          </cell>
          <cell r="G844" t="str">
            <v>纺织业</v>
          </cell>
        </row>
        <row r="845">
          <cell r="E845" t="str">
            <v>枕巾</v>
          </cell>
          <cell r="F845" t="str">
            <v>包括棉制枕巾、化纤制枕巾、麻制枕巾、丝制枕巾、其他枕巾</v>
          </cell>
          <cell r="G845" t="str">
            <v>纺织业</v>
          </cell>
        </row>
        <row r="846">
          <cell r="E846" t="str">
            <v>其他床上用织物制品</v>
          </cell>
          <cell r="F846" t="str">
            <v>无说明</v>
          </cell>
          <cell r="G846" t="str">
            <v>纺织业</v>
          </cell>
        </row>
        <row r="847">
          <cell r="E847" t="str">
            <v>台布（桌布）</v>
          </cell>
          <cell r="F847" t="str">
            <v>包括棉制台布、化学纤维制台布、毛制台布、丝制台布、麻制台布、其他纺织材料制台布。不包括针织或钩编台布（详见104011303）。</v>
          </cell>
          <cell r="G847" t="str">
            <v>纺织业</v>
          </cell>
        </row>
        <row r="848">
          <cell r="E848" t="str">
            <v>毛巾</v>
          </cell>
          <cell r="F848" t="str">
            <v>包括面巾、方巾、浴巾、其他毛巾</v>
          </cell>
          <cell r="G848" t="str">
            <v>纺织业</v>
          </cell>
        </row>
        <row r="849">
          <cell r="E849" t="str">
            <v>餐桌、盥洗及厨房用织物制品</v>
          </cell>
          <cell r="F849" t="str">
            <v>包括棉制餐桌、盥洗织物制品、化学纤维制餐桌、盥洗织物制品、亚麻制餐桌、盥洗用织物制品、丝制盥洗及厨房织物制品、其他餐桌、盥洗及厨房用织物制品。不包括针织或钩编相关餐桌用制品（详见104011304）。</v>
          </cell>
          <cell r="G849" t="str">
            <v>纺织业</v>
          </cell>
        </row>
        <row r="850">
          <cell r="E850" t="str">
            <v>窗帘及类似品</v>
          </cell>
          <cell r="F850" t="str">
            <v>包括棉制窗帘及类似品、合成纤维制窗帘及类似品、丝制非针织非钩编窗帘、毛制窗帘及类似品、其他纺织材料制窗帘及类似品。不包括针织或钩编窗帘及类似品（详见104011305）。</v>
          </cell>
          <cell r="G850" t="str">
            <v>纺织业</v>
          </cell>
        </row>
        <row r="851">
          <cell r="E851" t="str">
            <v>垫子套</v>
          </cell>
          <cell r="F851" t="str">
            <v>包括棉制垫子套、丝制垫子套、合成纤维制垫子套、其他垫子套。不包括针织或钩编制品（详见1040113）。</v>
          </cell>
          <cell r="G851" t="str">
            <v>纺织业</v>
          </cell>
        </row>
        <row r="852">
          <cell r="E852" t="str">
            <v>安全用织物制品</v>
          </cell>
          <cell r="F852" t="str">
            <v>救生衣、安全带、其他安全用织物制品</v>
          </cell>
          <cell r="G852" t="str">
            <v>纺织业</v>
          </cell>
        </row>
        <row r="853">
          <cell r="E853" t="str">
            <v>其他纺织制品</v>
          </cell>
          <cell r="F853" t="str">
            <v>包括擦地布、抹布及类似擦拭用布、其他未列明纺织制品</v>
          </cell>
          <cell r="G853" t="str">
            <v>纺织业</v>
          </cell>
        </row>
        <row r="854">
          <cell r="E854" t="str">
            <v>毡呢</v>
          </cell>
          <cell r="F854" t="str">
            <v>包括毛制毡呢、其他毡呢，不论是否浸渍、涂布、包覆或层压</v>
          </cell>
          <cell r="G854" t="str">
            <v>纺织业</v>
          </cell>
        </row>
        <row r="855">
          <cell r="E855" t="str">
            <v>包装用织物制品</v>
          </cell>
          <cell r="F855" t="str">
            <v>指主要包括散装货物的棉及化学纤维材料制，具有不同尺寸及形状的物品储运袋；也包括邮袋和邮寄货样用的小袋子，以及袋泡茶袋，包括棉制包装袋、化学纤维制包装袋、麻袋</v>
          </cell>
          <cell r="G855" t="str">
            <v>纺织业</v>
          </cell>
        </row>
        <row r="856">
          <cell r="E856" t="str">
            <v>油苫布</v>
          </cell>
          <cell r="F856" t="str">
            <v>包括棉制油苫布、合成纤维制油苫布、其他油苫布</v>
          </cell>
          <cell r="G856" t="str">
            <v>纺织业</v>
          </cell>
        </row>
        <row r="857">
          <cell r="E857" t="str">
            <v>天篷</v>
          </cell>
          <cell r="F857" t="str">
            <v>包括棉制天篷、合成纤维制天篷、其他天篷</v>
          </cell>
          <cell r="G857" t="str">
            <v>纺织业</v>
          </cell>
        </row>
        <row r="858">
          <cell r="E858" t="str">
            <v>遮阳篷</v>
          </cell>
          <cell r="F858" t="str">
            <v>包括棉制遮阳篷、合成纤维制遮阳篷、其他遮阳篷</v>
          </cell>
          <cell r="G858" t="str">
            <v>纺织业</v>
          </cell>
        </row>
        <row r="859">
          <cell r="E859" t="str">
            <v>帐篷</v>
          </cell>
          <cell r="F859" t="str">
            <v>包括棉制帐篷、合成纤维制帐篷、其他帐篷</v>
          </cell>
          <cell r="G859" t="str">
            <v>纺织业</v>
          </cell>
        </row>
        <row r="860">
          <cell r="E860" t="str">
            <v>篷房</v>
          </cell>
          <cell r="F860" t="str">
            <v>包括棉制篷房、合成纤维制篷房、其他篷房</v>
          </cell>
          <cell r="G860" t="str">
            <v>纺织业</v>
          </cell>
        </row>
        <row r="861">
          <cell r="E861" t="str">
            <v>风帆</v>
          </cell>
          <cell r="F861" t="str">
            <v>包括棉制风帆、合成纤维制风帆、其他风帆</v>
          </cell>
          <cell r="G861" t="str">
            <v>纺织业</v>
          </cell>
        </row>
        <row r="862">
          <cell r="E862" t="str">
            <v>充气褥垫</v>
          </cell>
          <cell r="F862" t="str">
            <v>包括棉制充气褥垫、化纤制充气褥垫、其他充气褥垫</v>
          </cell>
          <cell r="G862" t="str">
            <v>纺织业</v>
          </cell>
        </row>
        <row r="863">
          <cell r="E863" t="str">
            <v>野营用织物制品</v>
          </cell>
          <cell r="F863" t="str">
            <v>包括棉制野营用织物制品、化纤制野营用织物制品、其他野营用织物制品。不包括背包、背囊及类似容器（详见104030302），装有衬垫的睡袋及填充褥垫、枕头及座垫等（详见104010507），野营用帐篷（详见104010804）。</v>
          </cell>
          <cell r="G863" t="str">
            <v>纺织业</v>
          </cell>
        </row>
        <row r="864">
          <cell r="E864" t="str">
            <v>降落伞、旗帜及类似品</v>
          </cell>
          <cell r="F864" t="str">
            <v>包括旋翼降落伞及其零件、附件、锦旗、三角旗、横幅及其他娱乐或节日用旗布</v>
          </cell>
          <cell r="G864" t="str">
            <v>纺织业</v>
          </cell>
        </row>
        <row r="865">
          <cell r="E865" t="str">
            <v>纤维纺制绳、缆</v>
          </cell>
          <cell r="F865" t="str">
            <v>包括麻纤维纺制绳、缆、合成纤维纺制绳、缆、龙舌兰类纤维纺制绳、缆、蕉麻等硬质（叶）纤维纺绳、缆、其他合成纤维纺制绳、缆</v>
          </cell>
          <cell r="G865" t="str">
            <v>纺织业</v>
          </cell>
        </row>
        <row r="866">
          <cell r="E866" t="str">
            <v>网类制品</v>
          </cell>
          <cell r="F866" t="str">
            <v>包括渔网、安全网、体育项目用网（兜）、网料、其他网类制品</v>
          </cell>
          <cell r="G866" t="str">
            <v>纺织业</v>
          </cell>
        </row>
        <row r="867">
          <cell r="E867" t="str">
            <v>吊装绳索具</v>
          </cell>
          <cell r="F867" t="str">
            <v>包括吊装绳、安全保险绳、吊带、汽车牵引带、石油管道专用带、其他吊装绳索具。不包括钢丝绳索具（详见108041201）。</v>
          </cell>
          <cell r="G867" t="str">
            <v>纺织业</v>
          </cell>
        </row>
        <row r="868">
          <cell r="E868" t="str">
            <v>绳梯类制品</v>
          </cell>
          <cell r="F868" t="str">
            <v>包括尼龙绳梯、其他绳梯类制品。不包括钢丝绳梯（详见108041299）。</v>
          </cell>
          <cell r="G868" t="str">
            <v>纺织业</v>
          </cell>
        </row>
        <row r="869">
          <cell r="E869" t="str">
            <v>其他纤维纺制线、绳、索、缆</v>
          </cell>
          <cell r="F869" t="str">
            <v>无说明</v>
          </cell>
          <cell r="G869" t="str">
            <v>纺织业</v>
          </cell>
        </row>
        <row r="870">
          <cell r="E870" t="str">
            <v>帘子布</v>
          </cell>
          <cell r="F870" t="str">
            <v>包括聚酰胺高强力纱制帘子布、聚酯高强力纱制帘子布、粘胶纤维高强力纱制帘子布、其他帘子布</v>
          </cell>
          <cell r="G870" t="str">
            <v>纺织业</v>
          </cell>
        </row>
        <row r="871">
          <cell r="E871" t="str">
            <v>纺织材料制传输带</v>
          </cell>
          <cell r="F871" t="str">
            <v>包括棉制传输带、化学纤维制传输带、毛制传输带、其他纺织材料制传输带</v>
          </cell>
          <cell r="G871" t="str">
            <v>纺织业</v>
          </cell>
        </row>
        <row r="872">
          <cell r="E872" t="str">
            <v>用塑料处理纺织物</v>
          </cell>
          <cell r="F872" t="str">
            <v>包括聚氯乙烯处理纺织物、聚氨基甲酸酯处理纺织物、其他塑料处理纺织物</v>
          </cell>
          <cell r="G872" t="str">
            <v>纺织业</v>
          </cell>
        </row>
        <row r="873">
          <cell r="E873" t="str">
            <v>涂胶或淀粉纺织物</v>
          </cell>
          <cell r="F873" t="str">
            <v>包括涂胶或淀粉棉织物、涂胶或淀粉化纤纺织物、涂胶或淀粉麻织物、其他涂胶或淀粉纺织物</v>
          </cell>
          <cell r="G873" t="str">
            <v>纺织业</v>
          </cell>
        </row>
        <row r="874">
          <cell r="E874" t="str">
            <v>涂焦油、蜡、沥青或类似产品纺织物</v>
          </cell>
          <cell r="F874" t="str">
            <v>指经浸渍、涂布或包覆处理的纺织物；包括涂焦油、蜡、沥青，或用天然树脂和樟脑、油或干性油作为基料的制剂涂布或浸渍的织物。包括涂焦油、蜡、沥青绝缘布或带、涂焦油、蜡、沥青舞台用画布、其他材料处理纺织物</v>
          </cell>
          <cell r="G874" t="str">
            <v>纺织业</v>
          </cell>
        </row>
        <row r="875">
          <cell r="E875" t="str">
            <v>硬挺纺织物</v>
          </cell>
          <cell r="F875" t="str">
            <v>包括油画布、描图布、硬衬布及类似纺织物、其他硬挺纺织物</v>
          </cell>
          <cell r="G875" t="str">
            <v>纺织业</v>
          </cell>
        </row>
        <row r="876">
          <cell r="E876" t="str">
            <v>狭幅机织物</v>
          </cell>
          <cell r="F876" t="str">
            <v>指幅宽不超过30厘米狭条织物（带子及带状织物），从宽幅经纬织物剪成的狭条，或压平宽度不超过30厘米的无缝管筒经纬织物。包括狭幅起绒、绳绒机织物、松紧带、其他狭幅机织物</v>
          </cell>
          <cell r="G876" t="str">
            <v>纺织业</v>
          </cell>
        </row>
        <row r="877">
          <cell r="E877" t="str">
            <v>无纺布（无纺织物）</v>
          </cell>
          <cell r="F877" t="str">
            <v>也称非织造布，指以化学纤维为基本原料（主要是涤纶、腈纶、维纶、丙纶、粘胶纤维，也可用棉、毛、麻天然纤维的下脚料或再生纤维以及高科技用的碳素纤维、硼素纤维等）经化学粘合、热熔粘合、针刺、水刺、缝编高频等工艺制作的产品。包括化学纤维长丝制非织造布（无纺织物）、短纤维制非织造布（无纺织物）、其他无纺织物制品</v>
          </cell>
          <cell r="G877" t="str">
            <v>纺织业</v>
          </cell>
        </row>
        <row r="878">
          <cell r="E878" t="str">
            <v>无纺织物制品</v>
          </cell>
          <cell r="F878" t="str">
            <v>除无纺布（详见104011101）以外的无纺织物制品。</v>
          </cell>
          <cell r="G878" t="str">
            <v>纺织业</v>
          </cell>
        </row>
        <row r="879">
          <cell r="E879" t="str">
            <v>经编织物</v>
          </cell>
          <cell r="F879" t="str">
            <v>包括棉制经编、织物、合成纤维制经编织物、人造纤维制经编织物、毛制经编织物、丝及绢丝制经编织物、其他经编织物。不包括针织或钩编的起绒织物（详见1040112）、弹性或橡胶线≥5%的针织钩编织物（详见1040112）。</v>
          </cell>
          <cell r="G879" t="str">
            <v>纺织业</v>
          </cell>
        </row>
        <row r="880">
          <cell r="E880" t="str">
            <v>纬编制物</v>
          </cell>
          <cell r="F880" t="str">
            <v>包括棉制纬编织物、合成纤维制纬编织物、人造纤维制纬编织物、毛制纬编织物、丝及绢丝制纬编织物、其他纬编织物</v>
          </cell>
          <cell r="G880" t="str">
            <v>纺织业</v>
          </cell>
        </row>
        <row r="881">
          <cell r="E881" t="str">
            <v>针织或钩编起绒织物</v>
          </cell>
          <cell r="F881" t="str">
            <v>包括棉针织钩编物、合成纤维针织钩编物、丝针织钩编物</v>
          </cell>
          <cell r="G881" t="str">
            <v>纺织业</v>
          </cell>
        </row>
        <row r="882">
          <cell r="E882" t="str">
            <v>针织钩编织物（针织坯布）</v>
          </cell>
          <cell r="F882" t="str">
            <v>包括合成纤维针织钩编物、毛针织钩编织物、人造纤维针织钩编物、丝针织钩编物</v>
          </cell>
          <cell r="G882" t="str">
            <v>纺织业</v>
          </cell>
        </row>
        <row r="883">
          <cell r="E883" t="str">
            <v>针织或钩编床罩</v>
          </cell>
          <cell r="F883" t="str">
            <v>包括针织床罩、钩编床罩</v>
          </cell>
          <cell r="G883" t="str">
            <v>纺织业</v>
          </cell>
        </row>
        <row r="884">
          <cell r="E884" t="str">
            <v>针织或钩编相关床上制品</v>
          </cell>
          <cell r="F884" t="str">
            <v>包括棉针织床上用织物制品、化纤针织床上用织物制品、丝制针织床上用织物制品、麻针织床上用织物制品、其他针织或钩编相关床上制品</v>
          </cell>
          <cell r="G884" t="str">
            <v>纺织业</v>
          </cell>
        </row>
        <row r="885">
          <cell r="E885" t="str">
            <v>针织或钩编台布</v>
          </cell>
          <cell r="F885" t="str">
            <v>包括针织台布、钩编台布</v>
          </cell>
          <cell r="G885" t="str">
            <v>纺织业</v>
          </cell>
        </row>
        <row r="886">
          <cell r="E886" t="str">
            <v>针织或钩编相关餐桌用制品</v>
          </cell>
          <cell r="F886" t="str">
            <v>包括针织相关餐桌用制品、钩编相关餐桌用制品</v>
          </cell>
          <cell r="G886" t="str">
            <v>纺织业</v>
          </cell>
        </row>
        <row r="887">
          <cell r="E887" t="str">
            <v>针织或钩编窗帘及类似品</v>
          </cell>
          <cell r="F887" t="str">
            <v>包括棉针织或钩编窗帘及类似品、合成纤维针织或钩编窗帘及类似品、其他针织或钩编窗帘及类似品</v>
          </cell>
          <cell r="G887" t="str">
            <v>纺织业</v>
          </cell>
        </row>
        <row r="888">
          <cell r="E888" t="str">
            <v>针织袜</v>
          </cell>
          <cell r="F888" t="str">
            <v>包括连裤及紧身裤袜、长统袜及中统袜、短针织袜</v>
          </cell>
          <cell r="G888" t="str">
            <v>纺织业</v>
          </cell>
        </row>
        <row r="889">
          <cell r="E889" t="str">
            <v>针织手套</v>
          </cell>
          <cell r="F889" t="str">
            <v>包括棉制针织手套、合成纤维制针织手套、毛针织手套、丝制针织手套</v>
          </cell>
          <cell r="G889" t="str">
            <v>纺织业</v>
          </cell>
        </row>
        <row r="890">
          <cell r="E890" t="str">
            <v>围巾类</v>
          </cell>
          <cell r="F890" t="str">
            <v>包括针织围巾、钩编围巾、非针织或钩编围巾类</v>
          </cell>
          <cell r="G890" t="str">
            <v>纺织业</v>
          </cell>
        </row>
        <row r="891">
          <cell r="E891" t="str">
            <v>领带</v>
          </cell>
          <cell r="F891" t="str">
            <v>包括针织领带、非针织领带</v>
          </cell>
          <cell r="G891" t="str">
            <v>纺织业</v>
          </cell>
        </row>
        <row r="892">
          <cell r="E892" t="str">
            <v>手帕</v>
          </cell>
          <cell r="F892" t="str">
            <v>包括丝制手帕、棉制手帕、化纤制手帕</v>
          </cell>
          <cell r="G892" t="str">
            <v>纺织业</v>
          </cell>
        </row>
        <row r="893">
          <cell r="E893" t="str">
            <v>纺织材料絮胎及其制品</v>
          </cell>
          <cell r="F893" t="str">
            <v>包括纺织材料絮胎制卫生用品、纤维制絮胎及其制品</v>
          </cell>
          <cell r="G893" t="str">
            <v>纺织业</v>
          </cell>
        </row>
        <row r="894">
          <cell r="E894" t="str">
            <v>纺织材料制标签、徽章及类似品</v>
          </cell>
          <cell r="F894" t="str">
            <v>指非绣制的纺织材料制标签、徽章及类似品，包括机织标签、徽章及类似品、非机织标签、徽章及类似品</v>
          </cell>
          <cell r="G894" t="str">
            <v>纺织业</v>
          </cell>
        </row>
        <row r="895">
          <cell r="E895" t="str">
            <v>成匹编带、装饰带及类似品</v>
          </cell>
          <cell r="F895" t="str">
            <v>包括成匹编带、流苏、绒球、其他成匹装饰带</v>
          </cell>
          <cell r="G895" t="str">
            <v>纺织业</v>
          </cell>
        </row>
        <row r="896">
          <cell r="E896" t="str">
            <v>网眼薄纱，相关网眼织物</v>
          </cell>
          <cell r="F896" t="str">
            <v>丝及绢丝制网眼薄纱，相关网眼织物、棉制网眼薄纱，相关网眼织物、化纤制网眼薄纱，相关网眼织物、其他网眼薄纱及网眼织物</v>
          </cell>
          <cell r="G896" t="str">
            <v>纺织业</v>
          </cell>
        </row>
        <row r="897">
          <cell r="E897" t="str">
            <v>图案花边</v>
          </cell>
          <cell r="F897" t="str">
            <v>包括机制花边、手工制花边</v>
          </cell>
          <cell r="G897" t="str">
            <v>纺织业</v>
          </cell>
        </row>
        <row r="898">
          <cell r="E898" t="str">
            <v>供技术用途纺织品</v>
          </cell>
          <cell r="F898" t="str">
            <v>包括纺织材料包覆橡胶线、橡塑浸涂纺织纱线及类似品、含金属纱线、纺织材料制软管、筛布、滤布、机械用联接物织物、纸纱线机织物</v>
          </cell>
          <cell r="G898" t="str">
            <v>纺织业</v>
          </cell>
        </row>
        <row r="899">
          <cell r="E899" t="str">
            <v>其他未列明纺织产品</v>
          </cell>
          <cell r="F899" t="str">
            <v>无说明</v>
          </cell>
          <cell r="G899" t="str">
            <v>纺织业</v>
          </cell>
        </row>
        <row r="900">
          <cell r="E900" t="str">
            <v>女内衣</v>
          </cell>
          <cell r="F900" t="str">
            <v>包括针织女内衣、胸罩（乳罩）、束腰带及腹带、紧身胸衣、吊裤带及类似品</v>
          </cell>
          <cell r="G900" t="str">
            <v>服装及其他纤维制品制造业</v>
          </cell>
        </row>
        <row r="901">
          <cell r="E901" t="str">
            <v>男内衣</v>
          </cell>
          <cell r="F901" t="str">
            <v>包括针织男内衣</v>
          </cell>
          <cell r="G901" t="str">
            <v>服装及其他纤维制品制造业</v>
          </cell>
        </row>
        <row r="902">
          <cell r="E902" t="str">
            <v>女睡衣</v>
          </cell>
          <cell r="F902" t="str">
            <v>包括女式针织睡衣裤、女式梭织睡衣裤、棉制女式睡衣裤、化纤制女式睡衣裤、丝制女式睡衣裤、其他女式睡衣裤</v>
          </cell>
          <cell r="G902" t="str">
            <v>服装及其他纤维制品制造业</v>
          </cell>
        </row>
        <row r="903">
          <cell r="E903" t="str">
            <v>男睡衣</v>
          </cell>
          <cell r="F903" t="str">
            <v>包括男式针织睡衣裤、男式梭织睡衣裤、棉制男式睡衣裤、化纤制男式睡衣裤、丝制男式睡衣裤、其他男式睡衣裤</v>
          </cell>
          <cell r="G903" t="str">
            <v>服装及其他纤维制品制造业</v>
          </cell>
        </row>
        <row r="904">
          <cell r="E904" t="str">
            <v>女浴衣</v>
          </cell>
          <cell r="F904" t="str">
            <v>包括女式针织浴衣及类似服装、女式梭织浴衣及类似服装、棉制女浴衣及类似品、化纤制女浴衣及类似品、丝制女浴衣及类似品、其他女浴衣及类似品</v>
          </cell>
          <cell r="G904" t="str">
            <v>服装及其他纤维制品制造业</v>
          </cell>
        </row>
        <row r="905">
          <cell r="E905" t="str">
            <v>男浴衣</v>
          </cell>
          <cell r="F905" t="str">
            <v>包括男式针织浴衣及类似服装、男式梭织浴衣及类似服装、棉制男浴衣及类似品、化纤制男浴衣及类似品、丝制男浴衣及类似品、其他男浴衣及类似品</v>
          </cell>
          <cell r="G905" t="str">
            <v>服装及其他纤维制品制造业</v>
          </cell>
        </row>
        <row r="906">
          <cell r="E906" t="str">
            <v>女衬衫</v>
          </cell>
          <cell r="F906" t="str">
            <v>包括针织女衬衫、梭织女衬衫、毛制女衬衫、棉制女衬衫、化纤制女衬衫、丝制女衬衫、其他女衬衫</v>
          </cell>
          <cell r="G906" t="str">
            <v>服装及其他纤维制品制造业</v>
          </cell>
        </row>
        <row r="907">
          <cell r="E907" t="str">
            <v>男衬衫</v>
          </cell>
          <cell r="F907" t="str">
            <v>包括毛制男衬衫、棉制男衬衫、化纤制男衬衫、丝制男衬衫（含丝或绢丝50%及以上）、其他男衬衫</v>
          </cell>
          <cell r="G907" t="str">
            <v>服装及其他纤维制品制造业</v>
          </cell>
        </row>
        <row r="908">
          <cell r="E908" t="str">
            <v>女Ｔ恤衫</v>
          </cell>
          <cell r="F908" t="str">
            <v>包括各类棉针织Ｔ恤衫、化学纤维针织Ｔ恤衫、丝针织Ｔ恤衫、其他针织Ｔ恤衫</v>
          </cell>
          <cell r="G908" t="str">
            <v>服装及其他纤维制品制造业</v>
          </cell>
        </row>
        <row r="909">
          <cell r="E909" t="str">
            <v>男Ｔ恤衫</v>
          </cell>
          <cell r="F909" t="str">
            <v>包括各类棉针织Ｔ恤衫、化学纤维针织Ｔ恤衫、丝针织Ｔ恤衫、其他针织Ｔ恤衫</v>
          </cell>
          <cell r="G909" t="str">
            <v>服装及其他纤维制品制造业</v>
          </cell>
        </row>
        <row r="910">
          <cell r="E910" t="str">
            <v>女上衣</v>
          </cell>
          <cell r="F910" t="str">
            <v>包括马甲、背心、坎肩、夹克，包括防风衣</v>
          </cell>
          <cell r="G910" t="str">
            <v>服装及其他纤维制品制造业</v>
          </cell>
        </row>
        <row r="911">
          <cell r="E911" t="str">
            <v>男上衣</v>
          </cell>
          <cell r="F911" t="str">
            <v>包括马甲、背心、坎肩、夹克，包括防风衣</v>
          </cell>
          <cell r="G911" t="str">
            <v>服装及其他纤维制品制造业</v>
          </cell>
        </row>
        <row r="912">
          <cell r="E912" t="str">
            <v>女裤子</v>
          </cell>
          <cell r="F912" t="str">
            <v>不包括内衣裤（详见104020101、104020102）、睡衣裤（详见104020103、104020104）。</v>
          </cell>
          <cell r="G912" t="str">
            <v>服装及其他纤维制品制造业</v>
          </cell>
        </row>
        <row r="913">
          <cell r="E913" t="str">
            <v>男裤子</v>
          </cell>
          <cell r="F913" t="str">
            <v>不包括内衣裤（详见104020101、104020102）、睡衣裤（详见104020103、104020104）。</v>
          </cell>
          <cell r="G913" t="str">
            <v>服装及其他纤维制品制造业</v>
          </cell>
        </row>
        <row r="914">
          <cell r="E914" t="str">
            <v>裙子</v>
          </cell>
          <cell r="F914" t="str">
            <v>无说明</v>
          </cell>
          <cell r="G914" t="str">
            <v>服装及其他纤维制品制造业</v>
          </cell>
        </row>
        <row r="915">
          <cell r="E915" t="str">
            <v>女大衣、女风衣</v>
          </cell>
          <cell r="F915" t="str">
            <v>包括女式毛大衣。不包括羽绒服（详见104020122）。</v>
          </cell>
          <cell r="G915" t="str">
            <v>服装及其他纤维制品制造业</v>
          </cell>
        </row>
        <row r="916">
          <cell r="E916" t="str">
            <v>男大衣、男风衣</v>
          </cell>
          <cell r="F916" t="str">
            <v>包括男式毛大衣。不包括羽绒服（详见104020122）。</v>
          </cell>
          <cell r="G916" t="str">
            <v>服装及其他纤维制品制造业</v>
          </cell>
        </row>
        <row r="917">
          <cell r="E917" t="str">
            <v>便服套装</v>
          </cell>
          <cell r="F917" t="str">
            <v>指各种针织和非针织的男女便服套装，包括牛仔套装、休闲服套装、时装套装、中式套装、中山服套装、其他便服套装。不包括西服套装（详见104020119）、运动服装（详见104020123）。</v>
          </cell>
          <cell r="G917" t="str">
            <v>服装及其他纤维制品制造业</v>
          </cell>
        </row>
        <row r="918">
          <cell r="E918" t="str">
            <v>西服套装</v>
          </cell>
          <cell r="F918" t="str">
            <v>指各种针织和非针织的男女西服套装，包括套裙。。男西服套装包括上衣、裤子、西服背心（两件套、三件套、四件套），男晚礼服（燕尾服）、男无燕尾套装、夜礼服、西服套装背心，女式非针织西服套装包括上衣、背心、西服裙、裤子（两件套、三件套、四件套）。</v>
          </cell>
          <cell r="G918" t="str">
            <v>服装及其他纤维制品制造业</v>
          </cell>
        </row>
        <row r="919">
          <cell r="E919" t="str">
            <v>女毛衣</v>
          </cell>
          <cell r="F919" t="str">
            <v>无说明</v>
          </cell>
          <cell r="G919" t="str">
            <v>服装及其他纤维制品制造业</v>
          </cell>
        </row>
        <row r="920">
          <cell r="E920" t="str">
            <v>男毛衣</v>
          </cell>
          <cell r="F920" t="str">
            <v>无说明</v>
          </cell>
          <cell r="G920" t="str">
            <v>服装及其他纤维制品制造业</v>
          </cell>
        </row>
        <row r="921">
          <cell r="E921" t="str">
            <v>防寒服</v>
          </cell>
          <cell r="F921" t="str">
            <v>指以羽绒、化纤棉、丝棉、棉花、鸵绒、羊绒絮片、人造毛皮、针织棉等为填充物或内胎制作的各式服装。</v>
          </cell>
          <cell r="G921" t="str">
            <v>服装及其他纤维制品制造业</v>
          </cell>
        </row>
        <row r="922">
          <cell r="E922" t="str">
            <v>运动服装</v>
          </cell>
          <cell r="F922" t="str">
            <v>包括田径服、击剑服、跆拳道服、滑雪服及游泳服、舞裙、体操或练功紧身衣、非针织的体操用特种服装等类似服装。不包括戏装（详见104020199）。</v>
          </cell>
          <cell r="G922" t="str">
            <v>服装及其他纤维制品制造业</v>
          </cell>
        </row>
        <row r="923">
          <cell r="E923" t="str">
            <v>婴幼儿服装</v>
          </cell>
          <cell r="F923" t="str">
            <v>指以各种服装材料制成的婴儿服装和儿童服装。包括儿童服装、婴儿紧身衣裤、连脚裤、游戏服、小丑服、背心连裤童装外衣、婴儿围涎、分指手套、连指手套、露指手套、紧身衣裤及婴儿连袜鞋、婴儿尿布。</v>
          </cell>
          <cell r="G923" t="str">
            <v>服装及其他纤维制品制造业</v>
          </cell>
        </row>
        <row r="924">
          <cell r="E924" t="str">
            <v>特种服装</v>
          </cell>
          <cell r="F924" t="str">
            <v>指有特殊功能或特殊用途的服装，包括迷彩服、航天服、潜水服、阻燃服、均压服、防弹衣、防酸服、防火服、抗油拒水服、焊接防护服、防电弧服等。</v>
          </cell>
          <cell r="G924" t="str">
            <v>服装及其他纤维制品制造业</v>
          </cell>
        </row>
        <row r="925">
          <cell r="E925" t="str">
            <v>其他服装</v>
          </cell>
          <cell r="F925" t="str">
            <v>无说明</v>
          </cell>
          <cell r="G925" t="str">
            <v>服装及其他纤维制品制造业</v>
          </cell>
        </row>
        <row r="926">
          <cell r="E926" t="str">
            <v>天然皮革服装</v>
          </cell>
          <cell r="F926" t="str">
            <v>指用猪、牛、羊以及其他动物等天然皮革（包括头层和剖层革）制作的服装,包括天然皮革大衣、天然皮革上衣、天然皮革裤、天然皮革背心、其他天然皮革服装。</v>
          </cell>
          <cell r="G926" t="str">
            <v>服装及其他纤维制品制造业</v>
          </cell>
        </row>
        <row r="927">
          <cell r="E927" t="str">
            <v>非天然皮革服装</v>
          </cell>
          <cell r="F927" t="str">
            <v>指用人造革、合成革、再生革等非天然皮革制作的服装,包括非天然皮革大衣、非天然皮革上衣、非天然皮革裤、非天然皮革背心、其他非天然皮革服装。</v>
          </cell>
          <cell r="G927" t="str">
            <v>服装及其他纤维制品制造业</v>
          </cell>
        </row>
        <row r="928">
          <cell r="E928" t="str">
            <v>毛皮服装</v>
          </cell>
          <cell r="F928" t="str">
            <v>指以各种毛皮为原料生产的服装。包括天然毛皮服装和人造毛皮服装。</v>
          </cell>
          <cell r="G928" t="str">
            <v>服装及其他纤维制品制造业</v>
          </cell>
        </row>
        <row r="929">
          <cell r="E929" t="str">
            <v>毛皮服装附件</v>
          </cell>
          <cell r="F929" t="str">
            <v>包括天然毛皮服装附件和人造毛皮服装附件。</v>
          </cell>
          <cell r="G929" t="str">
            <v>服装及其他纤维制品制造业</v>
          </cell>
        </row>
        <row r="930">
          <cell r="E930" t="str">
            <v>皮革鞋靴</v>
          </cell>
          <cell r="F930" t="str">
            <v>指以天然皮革（头层、二层）、合成革、人造革和再生皮革作面的鞋靴；包括皮革面普通鞋靴、皮革面旅游（运动）鞋靴、皮革面凉鞋或拖鞋、皮革面劳保专用鞋靴、其他皮革面鞋靴、竞技用运动鞋靴。</v>
          </cell>
          <cell r="G930" t="str">
            <v>纺织业</v>
          </cell>
        </row>
        <row r="931">
          <cell r="E931" t="str">
            <v>纺织面鞋</v>
          </cell>
          <cell r="F931" t="str">
            <v>指以纺织织物作为面料制作的鞋，包括纺织面单鞋、纺织面棉鞋、纺织面凉鞋、纺织面拖鞋、纺织面运动鞋、纺织面其他鞋。</v>
          </cell>
          <cell r="G931" t="str">
            <v>纺织业</v>
          </cell>
        </row>
        <row r="932">
          <cell r="E932" t="str">
            <v>胶鞋</v>
          </cell>
          <cell r="F932" t="str">
            <v>以橡胶为鞋底或鞋帮制成的鞋靴，包括胶面胶鞋、橡胶凉鞋或拖鞋、橡塑防护鞋、其他胶鞋。</v>
          </cell>
          <cell r="G932" t="str">
            <v>纺织业</v>
          </cell>
        </row>
        <row r="933">
          <cell r="E933" t="str">
            <v>塑料鞋</v>
          </cell>
          <cell r="F933" t="str">
            <v>指以合成树脂为主要原料加工成型的鞋，包括全塑凉鞋或拖鞋、其他塑料鞋。</v>
          </cell>
          <cell r="G933" t="str">
            <v>纺织业</v>
          </cell>
        </row>
        <row r="934">
          <cell r="E934" t="str">
            <v>木制鞋</v>
          </cell>
          <cell r="F934" t="str">
            <v>指木制的鞋，包括木屐、其他木制鞋。</v>
          </cell>
          <cell r="G934" t="str">
            <v>纺织业</v>
          </cell>
        </row>
        <row r="935">
          <cell r="E935" t="str">
            <v>舞蹈、戏剧用靴鞋</v>
          </cell>
          <cell r="F935" t="str">
            <v>指舞蹈、戏剧专用的靴鞋，包括皮制舞蹈或戏剧用靴鞋、纺织材料鞋面制舞蹈或戏剧用靴鞋。</v>
          </cell>
          <cell r="G935" t="str">
            <v>纺织业</v>
          </cell>
        </row>
        <row r="936">
          <cell r="E936" t="str">
            <v>靴鞋零件、护腿及类似品</v>
          </cell>
          <cell r="F936" t="str">
            <v>包括靴鞋零件、护腿或裹腿及类似品。</v>
          </cell>
          <cell r="G936" t="str">
            <v>纺织业</v>
          </cell>
        </row>
        <row r="937">
          <cell r="E937" t="str">
            <v>其他鞋</v>
          </cell>
          <cell r="F937" t="str">
            <v>无说明</v>
          </cell>
          <cell r="G937" t="str">
            <v>纺织业</v>
          </cell>
        </row>
        <row r="938">
          <cell r="E938" t="str">
            <v>帽子</v>
          </cell>
          <cell r="F938" t="str">
            <v>包括普通帽、有边帽、贝雷帽、制服帽、民族帽、学生帽、学位帽、职业帽、工作帽（厨师帽及类似帽、海员用的防水帽）、运动帽、旅游帽、大礼帽及夜礼帽、兜帽等</v>
          </cell>
          <cell r="G938" t="str">
            <v>纺织业</v>
          </cell>
        </row>
        <row r="939">
          <cell r="E939" t="str">
            <v>帽子附件</v>
          </cell>
          <cell r="F939" t="str">
            <v>包括帽圈、衬、套、帮、骨架、舌及颏带等</v>
          </cell>
          <cell r="G939" t="str">
            <v>纺织业</v>
          </cell>
        </row>
        <row r="940">
          <cell r="E940" t="str">
            <v>成品革</v>
          </cell>
          <cell r="F940" t="str">
            <v>指经脱毛和鞣制等物理、化学加工所得到的已经变性不易腐烂的动物皮，包括重革、轻革、油鞣革。</v>
          </cell>
          <cell r="G940" t="str">
            <v>纺织业</v>
          </cell>
        </row>
        <row r="941">
          <cell r="E941" t="str">
            <v>再生皮革</v>
          </cell>
          <cell r="F941" t="str">
            <v>指以皮革或皮革纤维为基本成分的再生皮革。</v>
          </cell>
          <cell r="G941" t="str">
            <v>纺织业</v>
          </cell>
        </row>
        <row r="942">
          <cell r="E942" t="str">
            <v>衣箱、提箱及类似容器</v>
          </cell>
          <cell r="F942" t="str">
            <v>无说明</v>
          </cell>
          <cell r="G942" t="str">
            <v>纺织业</v>
          </cell>
        </row>
        <row r="943">
          <cell r="E943" t="str">
            <v>手提包（袋）、背包</v>
          </cell>
          <cell r="F943" t="str">
            <v>不包括高尔夫球包（袋）（详见10604060209）。</v>
          </cell>
          <cell r="G943" t="str">
            <v>纺织业</v>
          </cell>
        </row>
        <row r="944">
          <cell r="E944" t="str">
            <v>皮革作面类似箱、包容器</v>
          </cell>
          <cell r="F944" t="str">
            <v>包括再生皮革或漆皮作面的其他类似容器，不包括高尔夫球包（袋）（详见10604060209）。</v>
          </cell>
          <cell r="G944" t="str">
            <v>纺织业</v>
          </cell>
        </row>
        <row r="945">
          <cell r="E945" t="str">
            <v>塑料作面类似箱、包容器</v>
          </cell>
          <cell r="F945" t="str">
            <v>不包括高尔夫球包（袋）（详见10604060209）。</v>
          </cell>
          <cell r="G945" t="str">
            <v>纺织业</v>
          </cell>
        </row>
        <row r="946">
          <cell r="E946" t="str">
            <v>纺织材料作面类似箱、包容器</v>
          </cell>
          <cell r="F946" t="str">
            <v>不包括高尔夫球包（袋）（详见10604060209）。</v>
          </cell>
          <cell r="G946" t="str">
            <v>纺织业</v>
          </cell>
        </row>
        <row r="947">
          <cell r="E947" t="str">
            <v>其他箱、包及类似容器</v>
          </cell>
          <cell r="F947" t="str">
            <v>无说明</v>
          </cell>
          <cell r="G947" t="str">
            <v>纺织业</v>
          </cell>
        </row>
        <row r="948">
          <cell r="E948" t="str">
            <v>皮革手套</v>
          </cell>
          <cell r="F948" t="str">
            <v>指皮革及再生皮革制手套，包括日常用皮革制手套、劳保用皮革制手套、其他皮革手套，不包括运动专用手套运动防护用具（详见106040606）。</v>
          </cell>
          <cell r="G948" t="str">
            <v>纺织业</v>
          </cell>
        </row>
        <row r="949">
          <cell r="E949" t="str">
            <v>毛皮手套</v>
          </cell>
          <cell r="F949" t="str">
            <v>包括动物毛皮手套、人造毛皮手套。</v>
          </cell>
          <cell r="G949" t="str">
            <v>纺织业</v>
          </cell>
        </row>
        <row r="950">
          <cell r="E950" t="str">
            <v>皮革制衣着附件</v>
          </cell>
          <cell r="F950" t="str">
            <v>包括皮革腰带、皮领带、皮革制子弹带、其他皮革制衣着附件</v>
          </cell>
          <cell r="G950" t="str">
            <v>纺织业</v>
          </cell>
        </row>
        <row r="951">
          <cell r="E951" t="str">
            <v>钱包及类似物品</v>
          </cell>
          <cell r="F951" t="str">
            <v>指用各种材料制作的通常置于口袋或手提包内的物品，包括钱包、皮夹、钥匙包及类似物品。</v>
          </cell>
          <cell r="G951" t="str">
            <v>纺织业</v>
          </cell>
        </row>
        <row r="952">
          <cell r="E952" t="str">
            <v>皮革制座套</v>
          </cell>
          <cell r="F952" t="str">
            <v>包括天然皮革、合成革、人造革、再生皮革制沙发座套、汽车座套及类似制品。</v>
          </cell>
          <cell r="G952" t="str">
            <v>纺织业</v>
          </cell>
        </row>
        <row r="953">
          <cell r="E953" t="str">
            <v>专门技术用途皮革制品</v>
          </cell>
          <cell r="F953" t="str">
            <v>指机器等专门技术用途的皮革或再生皮革制品，包括机器任何部位的皮革制传动带或输送带、皮革制输送吊斗、纺织机械用肚档皮带、清棉皮带、精梳皮革、综丝皮条及其他皮革制品、生皮锤等</v>
          </cell>
          <cell r="G953" t="str">
            <v>纺织业</v>
          </cell>
        </row>
        <row r="954">
          <cell r="E954" t="str">
            <v>鞍具及挽具</v>
          </cell>
          <cell r="F954" t="str">
            <v>指各种材料制成适合各种动物用的鞍具及挽具。</v>
          </cell>
          <cell r="G954" t="str">
            <v>纺织业</v>
          </cell>
        </row>
        <row r="955">
          <cell r="E955" t="str">
            <v>其他相关皮革制品</v>
          </cell>
          <cell r="F955" t="str">
            <v>包括皮革制行李标签、磨剃刀的皮带、靴带、书籍封皮等未列明的皮革制品</v>
          </cell>
          <cell r="G955" t="str">
            <v>纺织业</v>
          </cell>
        </row>
        <row r="956">
          <cell r="E956" t="str">
            <v>鞣制毛皮</v>
          </cell>
          <cell r="F956" t="str">
            <v>指已鞣制或硝制的毛皮（包括未缝制和已缝制的），包括未缝制整张毛皮、未缝制头或尾或爪及其块或片。</v>
          </cell>
          <cell r="G956" t="str">
            <v>纺织业</v>
          </cell>
        </row>
        <row r="957">
          <cell r="E957" t="str">
            <v>已缝制整张毛皮及其块、片</v>
          </cell>
          <cell r="F957" t="str">
            <v>包括已缝制的已鞣制或硝制的毛皮。</v>
          </cell>
          <cell r="G957" t="str">
            <v>纺织业</v>
          </cell>
        </row>
        <row r="958">
          <cell r="E958" t="str">
            <v>天然毛皮制品</v>
          </cell>
          <cell r="F958" t="str">
            <v>包括毛皮小地毯、毛皮床罩、毛皮坐垫、毛皮狩猎袋、供机器或机械器具用的毛皮制品。不包括天然毛皮服装(详见1040203)。</v>
          </cell>
          <cell r="G958" t="str">
            <v>纺织业</v>
          </cell>
        </row>
        <row r="959">
          <cell r="E959" t="str">
            <v>人造毛皮</v>
          </cell>
          <cell r="F959" t="str">
            <v>指外观类似动物毛皮的长毛绒型织物。</v>
          </cell>
          <cell r="G959" t="str">
            <v>纺织业</v>
          </cell>
        </row>
        <row r="960">
          <cell r="E960" t="str">
            <v>人造毛皮制品</v>
          </cell>
          <cell r="F960" t="str">
            <v>包括人造兽尾制品,不包括人造毛皮服装(详见104020302)。</v>
          </cell>
          <cell r="G960" t="str">
            <v>纺织业</v>
          </cell>
        </row>
        <row r="961">
          <cell r="E961" t="str">
            <v>加工填充用羽毛</v>
          </cell>
          <cell r="F961" t="str">
            <v>无说明</v>
          </cell>
          <cell r="G961" t="str">
            <v>纺织业</v>
          </cell>
        </row>
        <row r="962">
          <cell r="E962" t="str">
            <v>加工填充用羽绒</v>
          </cell>
          <cell r="F962" t="str">
            <v>无说明</v>
          </cell>
          <cell r="G962" t="str">
            <v>纺织业</v>
          </cell>
        </row>
        <row r="963">
          <cell r="E963" t="str">
            <v>普通锯材</v>
          </cell>
          <cell r="F963" t="str">
            <v>不包括铁路货车锯材、载重汽车锯材、船用锯材、罐道木、包装箱锯材、机台木（详见105010102）</v>
          </cell>
          <cell r="G963" t="str">
            <v>木材加工及竹、藤、棕、草制品业</v>
          </cell>
        </row>
        <row r="964">
          <cell r="E964" t="str">
            <v>特种锯材</v>
          </cell>
          <cell r="F964" t="str">
            <v>包括铁路货车锯材、载重汽车锯材、船用锯材、罐道木、包装箱锯材、机台木</v>
          </cell>
          <cell r="G964" t="str">
            <v>木材加工及竹、藤、棕、草制品业</v>
          </cell>
        </row>
        <row r="965">
          <cell r="E965" t="str">
            <v>枕木</v>
          </cell>
          <cell r="F965" t="str">
            <v>是用于铁路、专用轨道走行设备铺设和承载设备铺垫的材料。</v>
          </cell>
          <cell r="G965" t="str">
            <v>木材加工及竹、藤、棕、草制品业</v>
          </cell>
        </row>
        <row r="966">
          <cell r="E966" t="str">
            <v>其他锯材</v>
          </cell>
          <cell r="F966" t="str">
            <v>无说明</v>
          </cell>
          <cell r="G966" t="str">
            <v>木材加工及竹、藤、棕、草制品业</v>
          </cell>
        </row>
        <row r="967">
          <cell r="E967" t="str">
            <v>木片、木粒</v>
          </cell>
          <cell r="F967" t="str">
            <v>指用机械方法将木材制成小片（扁平刚硬且粗制成方形）或小粒（细小且有柔性），用于机械法、化学法或机械-化学法制纤维素浆，或制造纤维板或木质碎料板</v>
          </cell>
          <cell r="G967" t="str">
            <v>木材加工及竹、藤、棕、草制品业</v>
          </cell>
        </row>
        <row r="968">
          <cell r="E968" t="str">
            <v>木丝、木粉</v>
          </cell>
          <cell r="F968" t="str">
            <v>无说明</v>
          </cell>
          <cell r="G968" t="str">
            <v>木材加工及竹、藤、棕、草制品业</v>
          </cell>
        </row>
        <row r="969">
          <cell r="E969" t="str">
            <v>锯末、木废料及碎片</v>
          </cell>
          <cell r="F969" t="str">
            <v>无说明</v>
          </cell>
          <cell r="G969" t="str">
            <v>木材加工及竹、藤、棕、草制品业</v>
          </cell>
        </row>
        <row r="970">
          <cell r="E970" t="str">
            <v>胶合板</v>
          </cell>
          <cell r="F970" t="str">
            <v>是由木段旋切成单板或由木方刨切成薄木，再用胶粘剂胶合而成的三层或多层的板状材料</v>
          </cell>
          <cell r="G970" t="str">
            <v>木材加工及竹、藤、棕、草制品业</v>
          </cell>
        </row>
        <row r="971">
          <cell r="E971" t="str">
            <v>纤维板</v>
          </cell>
          <cell r="F971" t="str">
            <v>由木质纤维素纤维交织成型并利用其固有胶粘性能制成的人造板。</v>
          </cell>
          <cell r="G971" t="str">
            <v>木材加工及竹、藤、棕、草制品业</v>
          </cell>
        </row>
        <row r="972">
          <cell r="E972" t="str">
            <v>刨花板</v>
          </cell>
          <cell r="F972" t="str">
            <v>也称碎料板</v>
          </cell>
          <cell r="G972" t="str">
            <v>木材加工及竹、藤、棕、草制品业</v>
          </cell>
        </row>
        <row r="973">
          <cell r="E973" t="str">
            <v>细木工板</v>
          </cell>
          <cell r="F973" t="str">
            <v>指单板饰面板</v>
          </cell>
          <cell r="G973" t="str">
            <v>木材加工及竹、藤、棕、草制品业</v>
          </cell>
        </row>
        <row r="974">
          <cell r="E974" t="str">
            <v>其他人造板</v>
          </cell>
          <cell r="F974" t="str">
            <v>无说明</v>
          </cell>
          <cell r="G974" t="str">
            <v>木材加工及竹、藤、棕、草制品业</v>
          </cell>
        </row>
        <row r="975">
          <cell r="E975" t="str">
            <v>单板</v>
          </cell>
          <cell r="F975" t="str">
            <v>是指原木通过旋切或刨切获得的，厚度在1mm左右，用于制造胶合板等人造板材的木质材料。</v>
          </cell>
          <cell r="G975" t="str">
            <v>木材加工及竹、藤、棕、草制品业</v>
          </cell>
        </row>
        <row r="976">
          <cell r="E976" t="str">
            <v>强化木</v>
          </cell>
          <cell r="F976" t="str">
            <v>无说明</v>
          </cell>
          <cell r="G976" t="str">
            <v>木材加工及竹、藤、棕、草制品业</v>
          </cell>
        </row>
        <row r="977">
          <cell r="E977" t="str">
            <v>指接材</v>
          </cell>
          <cell r="F977" t="str">
            <v>由多块木板端面采用锯齿状接口,类似两手手指交叉对接,纵向拼接而成。</v>
          </cell>
          <cell r="G977" t="str">
            <v>木材加工及竹、藤、棕、草制品业</v>
          </cell>
        </row>
        <row r="978">
          <cell r="E978" t="str">
            <v>人造板表面装饰板</v>
          </cell>
          <cell r="F978" t="str">
            <v>指单板贴面板</v>
          </cell>
          <cell r="G978" t="str">
            <v>木材加工及竹、藤、棕、草制品业</v>
          </cell>
        </row>
        <row r="979">
          <cell r="E979" t="str">
            <v>热固性树脂装饰层压板</v>
          </cell>
          <cell r="F979" t="str">
            <v>无说明</v>
          </cell>
          <cell r="G979" t="str">
            <v>木材加工及竹、藤、棕、草制品业</v>
          </cell>
        </row>
        <row r="980">
          <cell r="E980" t="str">
            <v>木制门及其框架和门槛</v>
          </cell>
          <cell r="F980" t="str">
            <v>无说明</v>
          </cell>
          <cell r="G980" t="str">
            <v>木材加工及竹、藤、棕、草制品业</v>
          </cell>
        </row>
        <row r="981">
          <cell r="E981" t="str">
            <v>木制窗及其木制框架</v>
          </cell>
          <cell r="F981" t="str">
            <v>无说明</v>
          </cell>
          <cell r="G981" t="str">
            <v>木材加工及竹、藤、棕、草制品业</v>
          </cell>
        </row>
        <row r="982">
          <cell r="E982" t="str">
            <v>木模</v>
          </cell>
          <cell r="F982" t="str">
            <v>指木制水泥构件的模板</v>
          </cell>
          <cell r="G982" t="str">
            <v>木材加工及竹、藤、棕、草制品业</v>
          </cell>
        </row>
        <row r="983">
          <cell r="E983" t="str">
            <v>实木地板</v>
          </cell>
          <cell r="F983" t="str">
            <v>以木材为原料，通过一定的工艺将木材刨切加工成单板（刨切薄木）或旋切加工成单板，然后将多层单板经过胶压复合等工艺生产的实木地板。</v>
          </cell>
          <cell r="G983" t="str">
            <v>木材加工及竹、藤、棕、草制品业</v>
          </cell>
        </row>
        <row r="984">
          <cell r="E984" t="str">
            <v>其他木制地板</v>
          </cell>
          <cell r="F984" t="str">
            <v>无说明</v>
          </cell>
          <cell r="G984" t="str">
            <v>木材加工及竹、藤、棕、草制品业</v>
          </cell>
        </row>
        <row r="985">
          <cell r="E985" t="str">
            <v>木瓦</v>
          </cell>
          <cell r="F985" t="str">
            <v>无说明</v>
          </cell>
          <cell r="G985" t="str">
            <v>木材加工及竹、藤、棕、草制品业</v>
          </cell>
        </row>
        <row r="986">
          <cell r="E986" t="str">
            <v>木制盖屋板</v>
          </cell>
          <cell r="F986" t="str">
            <v>无说明</v>
          </cell>
          <cell r="G986" t="str">
            <v>木材加工及竹、藤、棕、草制品业</v>
          </cell>
        </row>
        <row r="987">
          <cell r="E987" t="str">
            <v>木制梁、椽、屋顶支梁</v>
          </cell>
          <cell r="F987" t="str">
            <v>无说明</v>
          </cell>
          <cell r="G987" t="str">
            <v>木材加工及竹、藤、棕、草制品业</v>
          </cell>
        </row>
        <row r="988">
          <cell r="E988" t="str">
            <v>木制楼梯</v>
          </cell>
          <cell r="F988" t="str">
            <v>无说明</v>
          </cell>
          <cell r="G988" t="str">
            <v>木材加工及竹、藤、棕、草制品业</v>
          </cell>
        </row>
        <row r="989">
          <cell r="E989" t="str">
            <v>木制栏杆</v>
          </cell>
          <cell r="F989" t="str">
            <v>无说明</v>
          </cell>
          <cell r="G989" t="str">
            <v>木材加工及竹、藤、棕、草制品业</v>
          </cell>
        </row>
        <row r="990">
          <cell r="E990" t="str">
            <v>其他建筑用木料及加工木材组件</v>
          </cell>
          <cell r="F990" t="str">
            <v>无说明</v>
          </cell>
          <cell r="G990" t="str">
            <v>木材加工及竹、藤、棕、草制品业</v>
          </cell>
        </row>
        <row r="991">
          <cell r="E991" t="str">
            <v>木制桶、槽、盆及类似容器</v>
          </cell>
          <cell r="F991" t="str">
            <v>无说明</v>
          </cell>
          <cell r="G991" t="str">
            <v>木材加工及竹、藤、棕、草制品业</v>
          </cell>
        </row>
        <row r="992">
          <cell r="E992" t="str">
            <v>包装用木容器</v>
          </cell>
          <cell r="F992" t="str">
            <v>包括包装用木箱、木盒、板条箱及类似包装容器</v>
          </cell>
          <cell r="G992" t="str">
            <v>木材加工及竹、藤、棕、草制品业</v>
          </cell>
        </row>
        <row r="993">
          <cell r="E993" t="str">
            <v>木质保温容器</v>
          </cell>
          <cell r="F993" t="str">
            <v>无说明</v>
          </cell>
          <cell r="G993" t="str">
            <v>木材加工及竹、藤、棕、草制品业</v>
          </cell>
        </row>
        <row r="994">
          <cell r="E994" t="str">
            <v>木托板、箱形托盘及类似装载木板</v>
          </cell>
          <cell r="F994" t="str">
            <v>无说明</v>
          </cell>
          <cell r="G994" t="str">
            <v>木材加工及竹、藤、棕、草制品业</v>
          </cell>
        </row>
        <row r="995">
          <cell r="E995" t="str">
            <v>天然软木</v>
          </cell>
          <cell r="F995" t="str">
            <v>植物木栓层非常发达的树种的外皮产物</v>
          </cell>
          <cell r="G995" t="str">
            <v>木材加工及竹、藤、棕、草制品业</v>
          </cell>
        </row>
        <row r="996">
          <cell r="E996" t="str">
            <v>软木制品</v>
          </cell>
          <cell r="F996" t="str">
            <v>由软木加工后制成的产品，不包括压制软木及其制品（详见105010703）</v>
          </cell>
          <cell r="G996" t="str">
            <v>木材加工及竹、藤、棕、草制品业</v>
          </cell>
        </row>
        <row r="997">
          <cell r="E997" t="str">
            <v>压制软木及其制品</v>
          </cell>
          <cell r="F997" t="str">
            <v>压制软木通常是将软木碎、软木粒或软木粉用加入粘合物质，或不加粘合物质的方法高温加压制得</v>
          </cell>
          <cell r="G997" t="str">
            <v>木材加工及竹、藤、棕、草制品业</v>
          </cell>
        </row>
        <row r="998">
          <cell r="E998" t="str">
            <v>木制餐具及厨房用具</v>
          </cell>
          <cell r="F998" t="str">
            <v>不包括木制一次性筷子（详见105010802）。</v>
          </cell>
          <cell r="G998" t="str">
            <v>木材加工及竹、藤、棕、草制品业</v>
          </cell>
        </row>
        <row r="999">
          <cell r="E999" t="str">
            <v>木制一次性筷子</v>
          </cell>
          <cell r="F999" t="str">
            <v>无说明</v>
          </cell>
          <cell r="G999" t="str">
            <v>木材加工及竹、藤、棕、草制品业</v>
          </cell>
        </row>
        <row r="1000">
          <cell r="E1000" t="str">
            <v>木质框架，相关木制品</v>
          </cell>
          <cell r="F1000" t="str">
            <v>无说明</v>
          </cell>
          <cell r="G1000" t="str">
            <v>木材加工及竹、藤、棕、草制品业</v>
          </cell>
        </row>
        <row r="1001">
          <cell r="E1001" t="str">
            <v>竹制工业、建筑用品</v>
          </cell>
          <cell r="F1001" t="str">
            <v>指工业及建筑生产用竹制品</v>
          </cell>
          <cell r="G1001" t="str">
            <v>木材加工及竹、藤、棕、草制品业</v>
          </cell>
        </row>
        <row r="1002">
          <cell r="E1002" t="str">
            <v>竹制包装用品</v>
          </cell>
          <cell r="F1002" t="str">
            <v>指包装用竹制品</v>
          </cell>
          <cell r="G1002" t="str">
            <v>木材加工及竹、藤、棕、草制品业</v>
          </cell>
        </row>
        <row r="1003">
          <cell r="E1003" t="str">
            <v>竹制炊事用具</v>
          </cell>
          <cell r="F1003" t="str">
            <v>指炊事用竹制品</v>
          </cell>
          <cell r="G1003" t="str">
            <v>木材加工及竹、藤、棕、草制品业</v>
          </cell>
        </row>
        <row r="1004">
          <cell r="E1004" t="str">
            <v>竹编结制品，相关竹制品</v>
          </cell>
          <cell r="F1004" t="str">
            <v>采用编结方法制成的竹制品</v>
          </cell>
          <cell r="G1004" t="str">
            <v>木材加工及竹、藤、棕、草制品业</v>
          </cell>
        </row>
        <row r="1005">
          <cell r="E1005" t="str">
            <v>棕制品</v>
          </cell>
          <cell r="F1005" t="str">
            <v>由山棕的粽叶、棕丝、棕骨等制成的产品</v>
          </cell>
          <cell r="G1005" t="str">
            <v>木材加工及竹、藤、棕、草制品业</v>
          </cell>
        </row>
        <row r="1006">
          <cell r="E1006" t="str">
            <v>藤制品</v>
          </cell>
          <cell r="F1006" t="str">
            <v>藤条经加工处理后制成的产品</v>
          </cell>
          <cell r="G1006" t="str">
            <v>木材加工及竹、藤、棕、草制品业</v>
          </cell>
        </row>
        <row r="1007">
          <cell r="E1007" t="str">
            <v>柳（荆）条制品</v>
          </cell>
          <cell r="F1007" t="str">
            <v>柳（荆）条经加工处理后制成的产品</v>
          </cell>
          <cell r="G1007" t="str">
            <v>木材加工及竹、藤、棕、草制品业</v>
          </cell>
        </row>
        <row r="1008">
          <cell r="E1008" t="str">
            <v>苇制品</v>
          </cell>
          <cell r="F1008" t="str">
            <v>芦苇经加工处理后制成的产品</v>
          </cell>
          <cell r="G1008" t="str">
            <v>木材加工及竹、藤、棕、草制品业</v>
          </cell>
        </row>
        <row r="1009">
          <cell r="E1009" t="str">
            <v>草制品</v>
          </cell>
          <cell r="F1009" t="str">
            <v>草经加工处理后制成的产品，不包括草帽（详见104020501）、草鞋（详见104020499）</v>
          </cell>
          <cell r="G1009" t="str">
            <v>木材加工及竹、藤、棕、草制品业</v>
          </cell>
        </row>
        <row r="1010">
          <cell r="E1010" t="str">
            <v>玉米皮制篮筐，类似编结品</v>
          </cell>
          <cell r="F1010" t="str">
            <v>无说明</v>
          </cell>
          <cell r="G1010" t="str">
            <v>木材加工及竹、藤、棕、草制品业</v>
          </cell>
        </row>
        <row r="1011">
          <cell r="E1011" t="str">
            <v>其他棕、藤、草及类似制品</v>
          </cell>
          <cell r="F1011" t="str">
            <v>无说明</v>
          </cell>
          <cell r="G1011" t="str">
            <v>木材加工及竹、藤、棕、草制品业</v>
          </cell>
        </row>
        <row r="1012">
          <cell r="E1012" t="str">
            <v>木质家具</v>
          </cell>
          <cell r="F1012" t="str">
            <v>指以天然木材和木质人造板为主要材料制作的家具，包括木质普通家具和木质工艺家具</v>
          </cell>
          <cell r="G1012" t="str">
            <v>家具制造业</v>
          </cell>
        </row>
        <row r="1013">
          <cell r="E1013" t="str">
            <v>竹家具</v>
          </cell>
          <cell r="F1013" t="str">
            <v>指以天然竹材和人造竹材为主要材料制作的家具，包括竹材普通家具和竹材工艺家具</v>
          </cell>
          <cell r="G1013" t="str">
            <v>家具制造业</v>
          </cell>
        </row>
        <row r="1014">
          <cell r="E1014" t="str">
            <v>藤家具</v>
          </cell>
          <cell r="F1014" t="str">
            <v>无说明</v>
          </cell>
          <cell r="G1014" t="str">
            <v>家具制造业</v>
          </cell>
        </row>
        <row r="1015">
          <cell r="E1015" t="str">
            <v>金属家具</v>
          </cell>
          <cell r="F1015" t="str">
            <v>指主要结构是金属的家具</v>
          </cell>
          <cell r="G1015" t="str">
            <v>家具制造业</v>
          </cell>
        </row>
        <row r="1016">
          <cell r="E1016" t="str">
            <v>塑料家具</v>
          </cell>
          <cell r="F1016" t="str">
            <v>指主要结构是塑料的家具</v>
          </cell>
          <cell r="G1016" t="str">
            <v>家具制造业</v>
          </cell>
        </row>
        <row r="1017">
          <cell r="E1017" t="str">
            <v>软体家具</v>
          </cell>
          <cell r="F1017" t="str">
            <v>指的是以海绵、织物为主体的家具。例如沙发、床等家具。</v>
          </cell>
          <cell r="G1017" t="str">
            <v>家具制造业</v>
          </cell>
        </row>
        <row r="1018">
          <cell r="E1018" t="str">
            <v>玻璃、玻璃纤维增强塑料家具</v>
          </cell>
          <cell r="F1018" t="str">
            <v>指主要结构是玻璃、玻璃纤维增强塑料的家具</v>
          </cell>
          <cell r="G1018" t="str">
            <v>家具制造业</v>
          </cell>
        </row>
        <row r="1019">
          <cell r="E1019" t="str">
            <v>石头、陶瓷制家具</v>
          </cell>
          <cell r="F1019" t="str">
            <v>指主要结构是石头、陶瓷的家具</v>
          </cell>
          <cell r="G1019" t="str">
            <v>家具制造业</v>
          </cell>
        </row>
        <row r="1020">
          <cell r="E1020" t="str">
            <v>其他家具</v>
          </cell>
          <cell r="F1020" t="str">
            <v>无说明</v>
          </cell>
          <cell r="G1020" t="str">
            <v>家具制造业</v>
          </cell>
        </row>
        <row r="1021">
          <cell r="E1021" t="str">
            <v>木质家具零配件</v>
          </cell>
          <cell r="F1021" t="str">
            <v>不包括坐具零配件（详见105020208）</v>
          </cell>
          <cell r="G1021" t="str">
            <v>家具制造业</v>
          </cell>
        </row>
        <row r="1022">
          <cell r="E1022" t="str">
            <v>竹家具零配件</v>
          </cell>
          <cell r="F1022" t="str">
            <v>不包括坐具零配件（详见105020208）</v>
          </cell>
          <cell r="G1022" t="str">
            <v>家具制造业</v>
          </cell>
        </row>
        <row r="1023">
          <cell r="E1023" t="str">
            <v>藤家具零配件</v>
          </cell>
          <cell r="F1023" t="str">
            <v>不包括坐具零配件（详见105020208）</v>
          </cell>
          <cell r="G1023" t="str">
            <v>家具制造业</v>
          </cell>
        </row>
        <row r="1024">
          <cell r="E1024" t="str">
            <v>金属家具零配件</v>
          </cell>
          <cell r="F1024" t="str">
            <v>不包括坐具零配件（详见105020208）</v>
          </cell>
          <cell r="G1024" t="str">
            <v>家具制造业</v>
          </cell>
        </row>
        <row r="1025">
          <cell r="E1025" t="str">
            <v>塑料家具零配件</v>
          </cell>
          <cell r="F1025" t="str">
            <v>不包括坐具零配件（详见105020208）</v>
          </cell>
          <cell r="G1025" t="str">
            <v>家具制造业</v>
          </cell>
        </row>
        <row r="1026">
          <cell r="E1026" t="str">
            <v>软体家具零配件</v>
          </cell>
          <cell r="F1026" t="str">
            <v>不包括坐具零配件（详见105020208）</v>
          </cell>
          <cell r="G1026" t="str">
            <v>家具制造业</v>
          </cell>
        </row>
        <row r="1027">
          <cell r="E1027" t="str">
            <v>玻璃家具零配件</v>
          </cell>
          <cell r="F1027" t="str">
            <v>不包括坐具零配件（详见105020208）</v>
          </cell>
          <cell r="G1027" t="str">
            <v>家具制造业</v>
          </cell>
        </row>
        <row r="1028">
          <cell r="E1028" t="str">
            <v>坐具零配件</v>
          </cell>
          <cell r="F1028" t="str">
            <v>无说明</v>
          </cell>
          <cell r="G1028" t="str">
            <v>家具制造业</v>
          </cell>
        </row>
        <row r="1029">
          <cell r="E1029" t="str">
            <v>其他家具配件</v>
          </cell>
          <cell r="F1029" t="str">
            <v>无说明</v>
          </cell>
          <cell r="G1029" t="str">
            <v>家具制造业</v>
          </cell>
        </row>
        <row r="1030">
          <cell r="E1030" t="str">
            <v>木浆</v>
          </cell>
          <cell r="F1030" t="str">
            <v>包括磨石磨木浆、木片磨木浆、漂白化学木浆、未漂白化学木浆、化学机械木浆等。</v>
          </cell>
          <cell r="G1030" t="str">
            <v>造纸及纸制品业</v>
          </cell>
        </row>
        <row r="1031">
          <cell r="E1031" t="str">
            <v>非木材纤维纸浆</v>
          </cell>
          <cell r="F1031" t="str">
            <v>不包括秸秆浆（详见106010105）。</v>
          </cell>
          <cell r="G1031" t="str">
            <v>造纸及纸制品业</v>
          </cell>
        </row>
        <row r="1032">
          <cell r="E1032" t="str">
            <v>废纸纸浆</v>
          </cell>
          <cell r="F1032" t="str">
            <v>指采用回收纸和纸制品制造的纸浆。</v>
          </cell>
          <cell r="G1032" t="str">
            <v>造纸及纸制品业</v>
          </cell>
        </row>
        <row r="1033">
          <cell r="E1033" t="str">
            <v>化学溶解浆</v>
          </cell>
          <cell r="F1033" t="str">
            <v>指在制浆过程中除去了木素和半纤维素,只保留纤维素的高纯度精制化学浆。</v>
          </cell>
          <cell r="G1033" t="str">
            <v>造纸及纸制品业</v>
          </cell>
        </row>
        <row r="1034">
          <cell r="E1034" t="str">
            <v>秸秆浆</v>
          </cell>
          <cell r="F1034" t="str">
            <v>含蔗渣浆、麦草浆、稻草浆（禾草浆）、麻浆。</v>
          </cell>
          <cell r="G1034" t="str">
            <v>造纸及纸制品业</v>
          </cell>
        </row>
        <row r="1035">
          <cell r="E1035" t="str">
            <v>再生纸浆</v>
          </cell>
          <cell r="F1035" t="str">
            <v>废铝塑（纸铝、纸塑）复合纸包装材料生产的纸浆。</v>
          </cell>
          <cell r="G1035" t="str">
            <v>造纸及纸制品业</v>
          </cell>
        </row>
        <row r="1036">
          <cell r="E1036" t="str">
            <v>其他纸浆</v>
          </cell>
          <cell r="F1036" t="str">
            <v>无说明</v>
          </cell>
          <cell r="G1036" t="str">
            <v>造纸及纸制品业</v>
          </cell>
        </row>
        <row r="1037">
          <cell r="E1037" t="str">
            <v>未涂布印刷书写用纸</v>
          </cell>
          <cell r="F1037" t="str">
            <v>包括新闻纸、书写印刷纸、其他未涂布印刷书写用纸，不包括外购原纸加工（详见1060103）。</v>
          </cell>
          <cell r="G1037" t="str">
            <v>造纸及纸制品业</v>
          </cell>
        </row>
        <row r="1038">
          <cell r="E1038" t="str">
            <v>涂布类印刷用纸</v>
          </cell>
          <cell r="F1038" t="str">
            <v>指涂有高岭土或其他无机物质的纸和纸板，包括铜版纸、轻量涂布纸、其他涂布类印刷用纸。</v>
          </cell>
          <cell r="G1038" t="str">
            <v>造纸及纸制品业</v>
          </cell>
        </row>
        <row r="1039">
          <cell r="E1039" t="str">
            <v>卫生用纸原纸</v>
          </cell>
          <cell r="F1039" t="str">
            <v>指成卷或成张的卫生纸、面巾纸、餐巾纸等卫生用纸的原纸，包括卫生纸原纸、面巾纸原纸、餐巾纸原纸、其他卫生用纸原纸。</v>
          </cell>
          <cell r="G1039" t="str">
            <v>造纸及纸制品业</v>
          </cell>
        </row>
        <row r="1040">
          <cell r="E1040" t="str">
            <v>包装用纸及纸板</v>
          </cell>
          <cell r="F1040" t="str">
            <v>包括包装纸、箱纸板、白纸板、瓦楞原纸、工业技术配套用纸、其他包装用纸及纸板，无论是否涂布均属此类。</v>
          </cell>
          <cell r="G1040" t="str">
            <v>造纸及纸制品业</v>
          </cell>
        </row>
        <row r="1041">
          <cell r="E1041" t="str">
            <v>感应纸及纸板</v>
          </cell>
          <cell r="F1041" t="str">
            <v>包括光敏、热敏、压敏及其他感应纸及纸板的原纸和原纸板。</v>
          </cell>
          <cell r="G1041" t="str">
            <v>造纸及纸制品业</v>
          </cell>
        </row>
        <row r="1042">
          <cell r="E1042" t="str">
            <v>纤维类过滤纸及纸板</v>
          </cell>
          <cell r="F1042" t="str">
            <v>包括油滤纸及纸板、空气过滤纸及纸板、液体过滤纸及纸板、其他纤维类过滤纸及纸板。</v>
          </cell>
          <cell r="G1042" t="str">
            <v>造纸及纸制品业</v>
          </cell>
        </row>
        <row r="1043">
          <cell r="E1043" t="str">
            <v>其他机制纸及纸板</v>
          </cell>
          <cell r="F1043" t="str">
            <v>无说明</v>
          </cell>
          <cell r="G1043" t="str">
            <v>造纸及纸制品业</v>
          </cell>
        </row>
        <row r="1044">
          <cell r="E1044" t="str">
            <v>美纹、穿孔纸及纸板</v>
          </cell>
          <cell r="F1044" t="str">
            <v>包括美纹纸及纸板、穿孔纸及纸板。</v>
          </cell>
          <cell r="G1044" t="str">
            <v>造纸及纸制品业</v>
          </cell>
        </row>
        <row r="1045">
          <cell r="E1045" t="str">
            <v>转印纸</v>
          </cell>
          <cell r="F1045" t="str">
            <v>包括静电复印纸、复写纸、热敏纸（即热成像纸）、工业转移印刷纸、其他转印纸。</v>
          </cell>
          <cell r="G1045" t="str">
            <v>造纸及纸制品业</v>
          </cell>
        </row>
        <row r="1046">
          <cell r="E1046" t="str">
            <v>油印蜡纸或胶印版纸</v>
          </cell>
          <cell r="F1046" t="str">
            <v>包括油印蜡纸、胶印版纸。</v>
          </cell>
          <cell r="G1046" t="str">
            <v>造纸及纸制品业</v>
          </cell>
        </row>
        <row r="1047">
          <cell r="E1047" t="str">
            <v>涂布浸渍覆盖纸</v>
          </cell>
          <cell r="F1047" t="str">
            <v>指涂有蜡、树脂、胶、塑料等涂布的成卷成张矩形涂布浸渍覆盖染面饰面或印花纸，包括焦油纸及纸板、沥青纸及纸板、胶粘纸及纸板、塑料涂布或浸渍或覆盖纸及纸板、用蜡或石蜡浸涂纸、用硬脂精或油或甘油浸涂纸、其他涂布浸渍覆盖纸。</v>
          </cell>
          <cell r="G1047" t="str">
            <v>造纸及纸制品业</v>
          </cell>
        </row>
        <row r="1048">
          <cell r="E1048" t="str">
            <v>瓦楞纸板</v>
          </cell>
          <cell r="F1048" t="str">
            <v>指由至少一层瓦楞纸和一层箱板纸(也叫箱纸板)粘合而成的纸板。</v>
          </cell>
          <cell r="G1048" t="str">
            <v>造纸及纸制品业</v>
          </cell>
        </row>
        <row r="1049">
          <cell r="E1049" t="str">
            <v>其他加工纸</v>
          </cell>
          <cell r="F1049" t="str">
            <v>无说明</v>
          </cell>
          <cell r="G1049" t="str">
            <v>造纸及纸制品业</v>
          </cell>
        </row>
        <row r="1050">
          <cell r="E1050" t="str">
            <v>手工纸</v>
          </cell>
          <cell r="F1050" t="str">
            <v>包括宣纸、国画纸、其他手工纸。</v>
          </cell>
          <cell r="G1050" t="str">
            <v>造纸及纸制品业</v>
          </cell>
        </row>
        <row r="1051">
          <cell r="E1051" t="str">
            <v>手工纸板</v>
          </cell>
          <cell r="F1051" t="str">
            <v>无说明</v>
          </cell>
          <cell r="G1051" t="str">
            <v>造纸及纸制品业</v>
          </cell>
        </row>
        <row r="1052">
          <cell r="E1052" t="str">
            <v>纸和纸板制容器</v>
          </cell>
          <cell r="F1052" t="str">
            <v>指用纸或纸板制的各种容器，包括瓦楞纸及纸板容器、非瓦楞纸及纸板容器、纸袋、纸制餐具、其他纸和纸板制容器。不包括纸制文具及办公用品（详见106010502）。</v>
          </cell>
          <cell r="G1052" t="str">
            <v>造纸及纸制品业</v>
          </cell>
        </row>
        <row r="1053">
          <cell r="E1053" t="str">
            <v>纸制文具及用品</v>
          </cell>
          <cell r="F1053" t="str">
            <v>指用纸或纸板为原料进一步加工而成的纸制文具及办公用品。包括纸制卷宗盒、信件盘、存储盒、文件袋（夹）、信封、明信片类制品等。不包括练习本、账册、集邮簿等本册（详见1060202）</v>
          </cell>
          <cell r="G1053" t="str">
            <v>造纸及纸制品业</v>
          </cell>
        </row>
        <row r="1054">
          <cell r="E1054" t="str">
            <v>纸浆模制品</v>
          </cell>
          <cell r="F1054" t="str">
            <v>指压制或模制纸浆制品，包括一次性纸浆模餐具、方便面碗、纸浆模制超市托盒（盘）、医用一次性托盘和用具、精密工业品包装纸浆模制品、其他纸浆模制品。</v>
          </cell>
          <cell r="G1054" t="str">
            <v>造纸及纸制品业</v>
          </cell>
        </row>
        <row r="1055">
          <cell r="E1055" t="str">
            <v>卫生用纸制品</v>
          </cell>
          <cell r="F1055" t="str">
            <v>指用成卷或成张的卫生用纸原纸为原料,进一步加工而成的卫生用纸制品（含一次性卫生制品），包括卫生纸、纸手帕及面巾纸、纸餐巾、纸台布、纸卫生巾、纸止血塞、纸尿布、尿布衬里、纸浆或纸或纤维素絮制服装、卫生用纸制品。</v>
          </cell>
          <cell r="G1055" t="str">
            <v>造纸及纸制品业</v>
          </cell>
        </row>
        <row r="1056">
          <cell r="E1056" t="str">
            <v>纸制壁纸、窗纸、铺地制品及类似品</v>
          </cell>
          <cell r="F1056" t="str">
            <v>包括壁纸及类似品、纸制窗纸及类似品、纸制铺地制品及类似品。</v>
          </cell>
          <cell r="G1056" t="str">
            <v>造纸及纸制品业</v>
          </cell>
        </row>
        <row r="1057">
          <cell r="E1057" t="str">
            <v>纸浆制滤块、滤板及滤片</v>
          </cell>
          <cell r="F1057" t="str">
            <v>包括纸浆制滤块、纸浆制滤板及滤片。</v>
          </cell>
          <cell r="G1057" t="str">
            <v>造纸及纸制品业</v>
          </cell>
        </row>
        <row r="1058">
          <cell r="E1058" t="str">
            <v>纸或纸板制标签</v>
          </cell>
          <cell r="F1058" t="str">
            <v>包括印有文字图画纸制标签、未印文字图画纸制标签，不论是否印制均属此项。</v>
          </cell>
          <cell r="G1058" t="str">
            <v>造纸及纸制品业</v>
          </cell>
        </row>
        <row r="1059">
          <cell r="E1059" t="str">
            <v>纸制筒管、卷轴、纡子及类似品</v>
          </cell>
          <cell r="F1059" t="str">
            <v>指纸浆、纸或纸板制的筒管、卷轴、纡子等物品，包括纸制纺织纱线用筒管、纸制纺织纱线用卷轴、其他纸制纡子及类似品。</v>
          </cell>
          <cell r="G1059" t="str">
            <v>造纸及纸制品业</v>
          </cell>
        </row>
        <row r="1060">
          <cell r="E1060" t="str">
            <v>神纸及类似用品</v>
          </cell>
          <cell r="F1060" t="str">
            <v>指祭祀用纸及类似品。</v>
          </cell>
          <cell r="G1060" t="str">
            <v>造纸及纸制品业</v>
          </cell>
        </row>
        <row r="1061">
          <cell r="E1061" t="str">
            <v>纸扇</v>
          </cell>
          <cell r="F1061" t="str">
            <v>无说明</v>
          </cell>
          <cell r="G1061" t="str">
            <v>造纸及纸制品业</v>
          </cell>
        </row>
        <row r="1062">
          <cell r="E1062" t="str">
            <v>箱板纸</v>
          </cell>
          <cell r="F1062" t="str">
            <v>指纸箱用纸，又称牛皮纸、牛卡纸。</v>
          </cell>
          <cell r="G1062" t="str">
            <v>造纸及纸制品业</v>
          </cell>
        </row>
        <row r="1063">
          <cell r="E1063" t="str">
            <v>其他纸制品</v>
          </cell>
          <cell r="F1063" t="str">
            <v>无说明</v>
          </cell>
          <cell r="G1063" t="str">
            <v>造纸及纸制品业</v>
          </cell>
        </row>
        <row r="1064">
          <cell r="E1064" t="str">
            <v>党报</v>
          </cell>
          <cell r="F1064" t="str">
            <v>包括单色、多色，不包括邮政部门报刊发行服务（详见3020103）</v>
          </cell>
          <cell r="G1064" t="str">
            <v>印刷业、记录媒介复制业</v>
          </cell>
        </row>
        <row r="1065">
          <cell r="E1065" t="str">
            <v>党刊</v>
          </cell>
          <cell r="F1065" t="str">
            <v>包括单色、多色，不包括邮政部门报刊发行服务（详见3020103）</v>
          </cell>
          <cell r="G1065" t="str">
            <v>印刷业、记录媒介复制业</v>
          </cell>
        </row>
        <row r="1066">
          <cell r="E1066" t="str">
            <v>机关报刊、机关期刊</v>
          </cell>
          <cell r="F1066" t="str">
            <v>指中国共产党和各民主党派的各级组织的机关报纸和机关期刊，各级人大、政协、政府、工会、共青团、妇联、残联、科协的机关报纸和机关期刊，新华社的机关报纸和机关期刊，军事部门的机关报纸和机关期刊</v>
          </cell>
          <cell r="G1066" t="str">
            <v>印刷业、记录媒介复制业</v>
          </cell>
        </row>
        <row r="1067">
          <cell r="E1067" t="str">
            <v>盲文图书和盲文期刊</v>
          </cell>
          <cell r="F1067" t="str">
            <v>不包括党报（详见10602010101）、期刊（详见10602010102）</v>
          </cell>
          <cell r="G1067" t="str">
            <v>印刷业、记录媒介复制业</v>
          </cell>
        </row>
        <row r="1068">
          <cell r="E1068" t="str">
            <v>少数民族文字出版物</v>
          </cell>
          <cell r="F1068" t="str">
            <v>无说明</v>
          </cell>
          <cell r="G1068" t="str">
            <v>印刷业、记录媒介复制业</v>
          </cell>
        </row>
        <row r="1069">
          <cell r="E1069" t="str">
            <v>特定地区出版物</v>
          </cell>
          <cell r="F1069" t="str">
            <v>指经批准在内蒙古、广西、西藏、宁夏、新疆五个自治区内注册的出版单位出版的出版物。</v>
          </cell>
          <cell r="G1069" t="str">
            <v>印刷业、记录媒介复制业</v>
          </cell>
        </row>
        <row r="1070">
          <cell r="E1070" t="str">
            <v>特定图书、报纸和期刊</v>
          </cell>
          <cell r="F1070" t="str">
            <v>指《财政部国家税务总局关于延续宣传文化增值税和营业税优惠政策的通知》（财税〔2013〕87号）附件1所列图书、报纸和期刊</v>
          </cell>
          <cell r="G1070" t="str">
            <v>印刷业、记录媒介复制业</v>
          </cell>
        </row>
        <row r="1071">
          <cell r="E1071" t="str">
            <v>少年儿童报刊及课本</v>
          </cell>
          <cell r="F1071" t="str">
            <v>指专为初中及初中以下少年儿童出版发行的报纸和期刊，普通中小学学生课本和中等职业教育课本。</v>
          </cell>
          <cell r="G1071" t="str">
            <v>印刷业、记录媒介复制业</v>
          </cell>
        </row>
        <row r="1072">
          <cell r="E1072" t="str">
            <v>老年报刊</v>
          </cell>
          <cell r="F1072" t="str">
            <v>指专为老年人出版发行的报纸和期刊</v>
          </cell>
          <cell r="G1072" t="str">
            <v>印刷业、记录媒介复制业</v>
          </cell>
        </row>
        <row r="1073">
          <cell r="E1073" t="str">
            <v>其他有刊号图书、报纸、期刊类印刷品</v>
          </cell>
          <cell r="F1073" t="str">
            <v>无说明</v>
          </cell>
          <cell r="G1073" t="str">
            <v>印刷业、记录媒介复制业</v>
          </cell>
        </row>
        <row r="1074">
          <cell r="E1074" t="str">
            <v>无刊号图书、报纸、期刊类印刷品</v>
          </cell>
          <cell r="F1074" t="str">
            <v>无说明</v>
          </cell>
          <cell r="G1074" t="str">
            <v>印刷业、记录媒介复制业</v>
          </cell>
        </row>
        <row r="1075">
          <cell r="E1075" t="str">
            <v>广告宣传印刷品</v>
          </cell>
          <cell r="F1075" t="str">
            <v>无说明</v>
          </cell>
          <cell r="G1075" t="str">
            <v>印刷业、记录媒介复制业</v>
          </cell>
        </row>
        <row r="1076">
          <cell r="E1076" t="str">
            <v>地图、地图册</v>
          </cell>
          <cell r="F1076" t="str">
            <v>无说明</v>
          </cell>
          <cell r="G1076" t="str">
            <v>印刷业、记录媒介复制业</v>
          </cell>
        </row>
        <row r="1077">
          <cell r="E1077" t="str">
            <v>图片、设计图样及照片</v>
          </cell>
          <cell r="F1077" t="str">
            <v>无说明</v>
          </cell>
          <cell r="G1077" t="str">
            <v>印刷业、记录媒介复制业</v>
          </cell>
        </row>
        <row r="1078">
          <cell r="E1078" t="str">
            <v>票证</v>
          </cell>
          <cell r="F1078" t="str">
            <v>无说明</v>
          </cell>
          <cell r="G1078" t="str">
            <v>印刷业、记录媒介复制业</v>
          </cell>
        </row>
        <row r="1079">
          <cell r="E1079" t="str">
            <v>明信片、卡片、日历、挂历</v>
          </cell>
          <cell r="F1079" t="str">
            <v>无说明</v>
          </cell>
          <cell r="G1079" t="str">
            <v>印刷业、记录媒介复制业</v>
          </cell>
        </row>
        <row r="1080">
          <cell r="E1080" t="str">
            <v>其他印刷品</v>
          </cell>
          <cell r="F1080" t="str">
            <v>无说明</v>
          </cell>
          <cell r="G1080" t="str">
            <v>印刷业、记录媒介复制业</v>
          </cell>
        </row>
        <row r="1081">
          <cell r="E1081" t="str">
            <v>用于书写本册</v>
          </cell>
          <cell r="F1081" t="str">
            <v>包括练习簿、学生簿（课业簿册）、笔记簿、日记簿、效率手册、螺旋本、收据本</v>
          </cell>
          <cell r="G1081" t="str">
            <v>印刷业、记录媒介复制业</v>
          </cell>
        </row>
        <row r="1082">
          <cell r="E1082" t="str">
            <v>其他本册</v>
          </cell>
          <cell r="F1082" t="str">
            <v>无说明</v>
          </cell>
          <cell r="G1082" t="str">
            <v>印刷业、记录媒介复制业</v>
          </cell>
        </row>
        <row r="1083">
          <cell r="E1083" t="str">
            <v>印刷用附件</v>
          </cell>
          <cell r="F1083" t="str">
            <v>包括排版用活字、印版、滚筒</v>
          </cell>
          <cell r="G1083" t="str">
            <v>印刷业、记录媒介复制业</v>
          </cell>
        </row>
        <row r="1084">
          <cell r="E1084" t="str">
            <v>录音带复制品</v>
          </cell>
          <cell r="F1084" t="str">
            <v>包括已录制录音带，宽≤4mm、已录制教学用录音带、已录制非教学用录音带、已录制录音带，4mm＜宽≤6.5mm、已录制教学用录音带、已录制非教学用录音带、已录制录音带，宽＞6.5mm、已录制教学用录音带、已录制非教学用录音带</v>
          </cell>
          <cell r="G1084" t="str">
            <v>文教体育用品制造业</v>
          </cell>
        </row>
        <row r="1085">
          <cell r="E1085" t="str">
            <v>录像带复制品</v>
          </cell>
          <cell r="F1085" t="str">
            <v>包括已录制录像带，宽≤4mm、已录制教学用录像带、已录制非教学用录像、已录制录像带，4mm＜宽≤6.5mm、已录制教学用录像带、已录制非教学用录像带、已录制录像带，宽＞6.5mm、已录制教学用录像带、已录制非教学用录像带</v>
          </cell>
          <cell r="G1085" t="str">
            <v>文教体育用品制造业</v>
          </cell>
        </row>
        <row r="1086">
          <cell r="E1086" t="str">
            <v>软磁盘复制品</v>
          </cell>
          <cell r="F1086" t="str">
            <v>包括教学用磁盘、非教学用磁盘</v>
          </cell>
          <cell r="G1086" t="str">
            <v>文教体育用品制造业</v>
          </cell>
        </row>
        <row r="1087">
          <cell r="E1087" t="str">
            <v>其他磁介质复制品</v>
          </cell>
          <cell r="F1087" t="str">
            <v>无说明</v>
          </cell>
          <cell r="G1087" t="str">
            <v>文教体育用品制造业</v>
          </cell>
        </row>
        <row r="1088">
          <cell r="E1088" t="str">
            <v>唱片复制品</v>
          </cell>
          <cell r="F1088" t="str">
            <v>指已灌（录）信息的唱片，不包括电子出版物（详见1060302）</v>
          </cell>
          <cell r="G1088" t="str">
            <v>文教体育用品制造业</v>
          </cell>
        </row>
        <row r="1089">
          <cell r="E1089" t="str">
            <v>光盘复制品</v>
          </cell>
          <cell r="F1089" t="str">
            <v>指已灌（录）音的光盘，不包括电子出版物（详见1060302）</v>
          </cell>
          <cell r="G1089" t="str">
            <v>文教体育用品制造业</v>
          </cell>
        </row>
        <row r="1090">
          <cell r="E1090" t="str">
            <v>非音像复制品</v>
          </cell>
          <cell r="F1090" t="str">
            <v>指已录制声音或图像以外信息的其他媒体不包括电子出版物（详见1060302）</v>
          </cell>
          <cell r="G1090" t="str">
            <v>文教体育用品制造业</v>
          </cell>
        </row>
        <row r="1091">
          <cell r="E1091" t="str">
            <v>电影胶片拷贝</v>
          </cell>
          <cell r="F1091" t="str">
            <v>无说明</v>
          </cell>
          <cell r="G1091" t="str">
            <v>文教体育用品制造业</v>
          </cell>
        </row>
        <row r="1092">
          <cell r="E1092" t="str">
            <v>其他非磁介质复制品</v>
          </cell>
          <cell r="F1092" t="str">
            <v>指其他记录媒介复制品</v>
          </cell>
          <cell r="G1092" t="str">
            <v>文教体育用品制造业</v>
          </cell>
        </row>
        <row r="1093">
          <cell r="E1093" t="str">
            <v>系统软件产品</v>
          </cell>
          <cell r="F1093" t="str">
            <v>指属于独立完成一项应用的软件系统</v>
          </cell>
          <cell r="G1093" t="str">
            <v>文教体育用品制造业</v>
          </cell>
        </row>
        <row r="1094">
          <cell r="E1094" t="str">
            <v>数据库软件产品</v>
          </cell>
          <cell r="F1094" t="str">
            <v>无说明</v>
          </cell>
          <cell r="G1094" t="str">
            <v>文教体育用品制造业</v>
          </cell>
        </row>
        <row r="1095">
          <cell r="E1095" t="str">
            <v>中间件软件产品</v>
          </cell>
          <cell r="F1095" t="str">
            <v>无说明</v>
          </cell>
          <cell r="G1095" t="str">
            <v>文教体育用品制造业</v>
          </cell>
        </row>
        <row r="1096">
          <cell r="E1096" t="str">
            <v>其他基础软件产品</v>
          </cell>
          <cell r="F1096" t="str">
            <v>无说明</v>
          </cell>
          <cell r="G1096" t="str">
            <v>文教体育用品制造业</v>
          </cell>
        </row>
        <row r="1097">
          <cell r="E1097" t="str">
            <v>通用应用软件</v>
          </cell>
          <cell r="F1097" t="str">
            <v>无说明</v>
          </cell>
          <cell r="G1097" t="str">
            <v>文教体育用品制造业</v>
          </cell>
        </row>
        <row r="1098">
          <cell r="E1098" t="str">
            <v>行业应用软件产品</v>
          </cell>
          <cell r="F1098" t="str">
            <v>无说明</v>
          </cell>
          <cell r="G1098" t="str">
            <v>文教体育用品制造业</v>
          </cell>
        </row>
        <row r="1099">
          <cell r="E1099" t="str">
            <v>游戏软件产品</v>
          </cell>
          <cell r="F1099" t="str">
            <v>无说明</v>
          </cell>
          <cell r="G1099" t="str">
            <v>文教体育用品制造业</v>
          </cell>
        </row>
        <row r="1100">
          <cell r="E1100" t="str">
            <v>动漫软件产品</v>
          </cell>
          <cell r="F1100" t="str">
            <v>无说明</v>
          </cell>
          <cell r="G1100" t="str">
            <v>文教体育用品制造业</v>
          </cell>
        </row>
        <row r="1101">
          <cell r="E1101" t="str">
            <v>地理信息软件产品</v>
          </cell>
          <cell r="F1101" t="str">
            <v>无说明</v>
          </cell>
          <cell r="G1101" t="str">
            <v>文教体育用品制造业</v>
          </cell>
        </row>
        <row r="1102">
          <cell r="E1102" t="str">
            <v>语言处理软件产品</v>
          </cell>
          <cell r="F1102" t="str">
            <v>无说明</v>
          </cell>
          <cell r="G1102" t="str">
            <v>文教体育用品制造业</v>
          </cell>
        </row>
        <row r="1103">
          <cell r="E1103" t="str">
            <v>其他应用软件产品</v>
          </cell>
          <cell r="F1103" t="str">
            <v>无说明</v>
          </cell>
          <cell r="G1103" t="str">
            <v>文教体育用品制造业</v>
          </cell>
        </row>
        <row r="1104">
          <cell r="E1104" t="str">
            <v>通信设备嵌入式软件</v>
          </cell>
          <cell r="F1104" t="str">
            <v>无说明</v>
          </cell>
          <cell r="G1104" t="str">
            <v>文教体育用品制造业</v>
          </cell>
        </row>
        <row r="1105">
          <cell r="E1105" t="str">
            <v>网络设备嵌入式软件</v>
          </cell>
          <cell r="F1105" t="str">
            <v>无说明</v>
          </cell>
          <cell r="G1105" t="str">
            <v>文教体育用品制造业</v>
          </cell>
        </row>
        <row r="1106">
          <cell r="E1106" t="str">
            <v>数字装备设备嵌入式软件</v>
          </cell>
          <cell r="F1106" t="str">
            <v>包括智能识别装置、安全防卫系统嵌入式软件</v>
          </cell>
          <cell r="G1106" t="str">
            <v>文教体育用品制造业</v>
          </cell>
        </row>
        <row r="1107">
          <cell r="E1107" t="str">
            <v>数字视频产品嵌入式软件</v>
          </cell>
          <cell r="F1107" t="str">
            <v>包括数字电视机顶盒、其他数字视频产品嵌入式软件</v>
          </cell>
          <cell r="G1107" t="str">
            <v>文教体育用品制造业</v>
          </cell>
        </row>
        <row r="1108">
          <cell r="E1108" t="str">
            <v>自动控制产品嵌入式软件</v>
          </cell>
          <cell r="F1108" t="str">
            <v>包括集散控制系统、过程控制系统、智能传感器智能机器人嵌入式软件</v>
          </cell>
          <cell r="G1108" t="str">
            <v>文教体育用品制造业</v>
          </cell>
        </row>
        <row r="1109">
          <cell r="E1109" t="str">
            <v>汽车电子嵌入式软件</v>
          </cell>
          <cell r="F1109" t="str">
            <v>包括通信系统、自动控制系统嵌入式软件</v>
          </cell>
          <cell r="G1109" t="str">
            <v>文教体育用品制造业</v>
          </cell>
        </row>
        <row r="1110">
          <cell r="E1110" t="str">
            <v>其他嵌入式软件</v>
          </cell>
          <cell r="F1110" t="str">
            <v>无说明</v>
          </cell>
          <cell r="G1110" t="str">
            <v>文教体育用品制造业</v>
          </cell>
        </row>
        <row r="1111">
          <cell r="E1111" t="str">
            <v>电子出版物</v>
          </cell>
          <cell r="F1111" t="str">
            <v>是指以数字代码方式，使用计算机应用程序，将图文声像等内容信息编辑加工后存储在具有确定的物理形态的磁、光、电等介质上，通过内嵌在计算机、手机、电子阅读设备、电子显示设备、数字音／视频播放设备、电子游戏机、导航仪以及其他具有类似功能的设备上读取使用，具有交互功能，用以表达思想、普及知识和积累文化的大众传播媒体。</v>
          </cell>
          <cell r="G1111" t="str">
            <v>文教体育用品制造业</v>
          </cell>
        </row>
        <row r="1112">
          <cell r="E1112" t="str">
            <v>文具盒（袋）</v>
          </cell>
          <cell r="F1112" t="str">
            <v>包括塑料、金属以及其他材质制的文具盒（铅笔盒）和文具袋（即笔袋）</v>
          </cell>
          <cell r="G1112" t="str">
            <v>文教体育用品制造业</v>
          </cell>
        </row>
        <row r="1113">
          <cell r="E1113" t="str">
            <v>文件夹</v>
          </cell>
          <cell r="F1113" t="str">
            <v>包括非纸制的资料册、管理夹、整理夹、文件袋（套）、文件盒、文件包等文件夹类文具；不包括纸制文件夹（详见106010502），塑料磁带盒（详见107060109）。</v>
          </cell>
          <cell r="G1113" t="str">
            <v>文教体育用品制造业</v>
          </cell>
        </row>
        <row r="1114">
          <cell r="E1114" t="str">
            <v>文件架</v>
          </cell>
          <cell r="F1114" t="str">
            <v>指主要用于存放文件等文化办公用品的架、柜、筐类物品，包括金属或塑料制成的。</v>
          </cell>
          <cell r="G1114" t="str">
            <v>文教体育用品制造业</v>
          </cell>
        </row>
        <row r="1115">
          <cell r="E1115" t="str">
            <v>装订类文具</v>
          </cell>
          <cell r="F1115" t="str">
            <v>无说明</v>
          </cell>
          <cell r="G1115" t="str">
            <v>文教体育用品制造业</v>
          </cell>
        </row>
        <row r="1116">
          <cell r="E1116" t="str">
            <v>夹具类文具</v>
          </cell>
          <cell r="F1116" t="str">
            <v>无说明</v>
          </cell>
          <cell r="G1116" t="str">
            <v>文教体育用品制造业</v>
          </cell>
        </row>
        <row r="1117">
          <cell r="E1117" t="str">
            <v>修正液</v>
          </cell>
          <cell r="F1117" t="str">
            <v>修正液（又称涂改液、立可白、改写液）是一种普通文具。内含白色不透明颜料，涂在纸上以遮盖错字，干涸后可于其上重新书写。</v>
          </cell>
          <cell r="G1117" t="str">
            <v>文教体育用品制造业</v>
          </cell>
        </row>
        <row r="1118">
          <cell r="E1118" t="str">
            <v>橡皮</v>
          </cell>
          <cell r="F1118" t="str">
            <v>包括橡皮擦、绘图橡皮等</v>
          </cell>
          <cell r="G1118" t="str">
            <v>文教体育用品制造业</v>
          </cell>
        </row>
        <row r="1119">
          <cell r="E1119" t="str">
            <v>浆糊</v>
          </cell>
          <cell r="F1119" t="str">
            <v>将面粉或淀粉加水熬制为糊状。</v>
          </cell>
          <cell r="G1119" t="str">
            <v>文教体育用品制造业</v>
          </cell>
        </row>
        <row r="1120">
          <cell r="E1120" t="str">
            <v>胶水</v>
          </cell>
          <cell r="F1120" t="str">
            <v>连接两种材料的中间体，多以水剂出现，属精细化工类，种类繁多，主要以粘料、物理形态、硬化方法和被粘物材质的分类方法。</v>
          </cell>
          <cell r="G1120" t="str">
            <v>文教体育用品制造业</v>
          </cell>
        </row>
        <row r="1121">
          <cell r="E1121" t="str">
            <v>固体胶</v>
          </cell>
          <cell r="F1121" t="str">
            <v>固体胶又称固体胶棒、固体浆糊、唇膏式浆糊等。系以胶料、香精和水等为原料，经合理配制而成。</v>
          </cell>
          <cell r="G1121" t="str">
            <v>文教体育用品制造业</v>
          </cell>
        </row>
        <row r="1122">
          <cell r="E1122" t="str">
            <v>文印类用品</v>
          </cell>
          <cell r="F1122" t="str">
            <v>包括印泥、印油、印章、印台</v>
          </cell>
          <cell r="G1122" t="str">
            <v>文教体育用品制造业</v>
          </cell>
        </row>
        <row r="1123">
          <cell r="E1123" t="str">
            <v>画具及类似用品</v>
          </cell>
          <cell r="F1123" t="str">
            <v>不包括油画布（详见104011006）</v>
          </cell>
          <cell r="G1123" t="str">
            <v>文教体育用品制造业</v>
          </cell>
        </row>
        <row r="1124">
          <cell r="E1124" t="str">
            <v>其他文具及类似用品</v>
          </cell>
          <cell r="F1124" t="str">
            <v>包括学生书袋及类似品（按照学生的使用需求设计的书袋及类似品）和其他文具</v>
          </cell>
          <cell r="G1124" t="str">
            <v>文教体育用品制造业</v>
          </cell>
        </row>
        <row r="1125">
          <cell r="E1125" t="str">
            <v>自来水笔</v>
          </cell>
          <cell r="F1125" t="str">
            <v>无说明</v>
          </cell>
          <cell r="G1125" t="str">
            <v>文教体育用品制造业</v>
          </cell>
        </row>
        <row r="1126">
          <cell r="E1126" t="str">
            <v>圆珠笔</v>
          </cell>
          <cell r="F1126" t="str">
            <v>包括中性圆珠笔、水性圆珠笔（滚珠笔）、油性圆珠笔、中油圆珠笔、可擦圆珠笔、其他圆珠笔</v>
          </cell>
          <cell r="G1126" t="str">
            <v>文教体育用品制造业</v>
          </cell>
        </row>
        <row r="1127">
          <cell r="E1127" t="str">
            <v>铅笔</v>
          </cell>
          <cell r="F1127" t="str">
            <v>包括木杆铅笔、活动铅笔、纸杆铅笔、塑料铅笔、其他铅笔</v>
          </cell>
          <cell r="G1127" t="str">
            <v>文教体育用品制造业</v>
          </cell>
        </row>
        <row r="1128">
          <cell r="E1128" t="str">
            <v>绘画笔</v>
          </cell>
          <cell r="F1128" t="str">
            <v>包括毛笔、油画笔、油画棒、粉笔、木炭笔、蜡笔、其他绘画用笔</v>
          </cell>
          <cell r="G1128" t="str">
            <v>文教体育用品制造业</v>
          </cell>
        </row>
        <row r="1129">
          <cell r="E1129" t="str">
            <v>记号笔</v>
          </cell>
          <cell r="F1129" t="str">
            <v>彩色水笔、荧光笔、荧光笔、白板笔、微孔墨水笔（签字笔）、油性记号笔、其他记号笔</v>
          </cell>
          <cell r="G1129" t="str">
            <v>文教体育用品制造业</v>
          </cell>
        </row>
        <row r="1130">
          <cell r="E1130" t="str">
            <v>专业用笔</v>
          </cell>
          <cell r="F1130" t="str">
            <v>机器用笔、仪器用笔、蜡纸铁笔、其他专业用笔、其他笔</v>
          </cell>
          <cell r="G1130" t="str">
            <v>文教体育用品制造业</v>
          </cell>
        </row>
        <row r="1131">
          <cell r="E1131" t="str">
            <v>笔配件和零件</v>
          </cell>
          <cell r="F1131" t="str">
            <v>铅笔芯、圆珠笔芯、自来水笔笔尖、笔杆、圆珠笔笔头、纤维笔笔头、其他笔配件和零件</v>
          </cell>
          <cell r="G1131" t="str">
            <v>文教体育用品制造业</v>
          </cell>
        </row>
        <row r="1132">
          <cell r="E1132" t="str">
            <v>教学用模型</v>
          </cell>
          <cell r="F1132" t="str">
            <v>包括数学用模型、液压机模型、化学化工用模型、动物模型、植物模型、微生物模型、人体模型、医学模型、语文教学用模型、历史教学用模型、人物模型、地理模型、天文模型、气象模型、美术模型、交通模型、建筑模型、制图模型、机械模型、电器模型、输变电模型、其他教学用模型</v>
          </cell>
          <cell r="G1132" t="str">
            <v>文教体育用品制造业</v>
          </cell>
        </row>
        <row r="1133">
          <cell r="E1133" t="str">
            <v>教学用标本</v>
          </cell>
          <cell r="F1133" t="str">
            <v>包括人体解剖浸制标本、人体干制标本、塑化标本、全身骨骼标本、人体封埋标本、人体组织显微标本、动物整体浸制标本、动物解剖浸制标本、动物干制标本、动物骨骼标本、动物封埋标本（化石）、动物表皮细胞装片、动物解剖（塑化）干制标本、植物浸制标本、植物干制标本、植物封埋覆膜标本（化石）、植物根尖纵切、黑根霉装片、岩石标本、结晶矿物标本、土壤实物标本、玻璃标本、原材料标本（金相）、石油、化工、煤炭产品标本、机械产品标本、其他教学用标本</v>
          </cell>
          <cell r="G1133" t="str">
            <v>文教体育用品制造业</v>
          </cell>
        </row>
        <row r="1134">
          <cell r="E1134" t="str">
            <v>具有书写或绘画面板类教具</v>
          </cell>
          <cell r="F1134" t="str">
            <v>包括可书写石板、黑板、白板、电子白板、其他具有书写或绘画面板类教具</v>
          </cell>
          <cell r="G1134" t="str">
            <v>文教体育用品制造业</v>
          </cell>
        </row>
        <row r="1135">
          <cell r="E1135" t="str">
            <v>教学或学生绘图用具、量具及类似器具</v>
          </cell>
          <cell r="F1135" t="str">
            <v>包括教学或学生绘图用具、学生圆规、分规、其他教学或学生用绘图用具</v>
          </cell>
          <cell r="G1135" t="str">
            <v>文教体育用品制造业</v>
          </cell>
        </row>
        <row r="1136">
          <cell r="E1136" t="str">
            <v>其他教具及类似用具</v>
          </cell>
          <cell r="F1136" t="str">
            <v>无说明</v>
          </cell>
          <cell r="G1136" t="str">
            <v>文教体育用品制造业</v>
          </cell>
        </row>
        <row r="1137">
          <cell r="E1137" t="str">
            <v>普通墨水</v>
          </cell>
          <cell r="F1137" t="str">
            <v>普通用于书写的墨水</v>
          </cell>
          <cell r="G1137" t="str">
            <v>文教体育用品制造业</v>
          </cell>
        </row>
        <row r="1138">
          <cell r="E1138" t="str">
            <v>专用墨水</v>
          </cell>
          <cell r="F1138" t="str">
            <v>无说明</v>
          </cell>
          <cell r="G1138" t="str">
            <v>文教体育用品制造业</v>
          </cell>
        </row>
        <row r="1139">
          <cell r="E1139" t="str">
            <v>墨汁</v>
          </cell>
          <cell r="F1139" t="str">
            <v>包括瓶装墨汁、其他墨汁、</v>
          </cell>
          <cell r="G1139" t="str">
            <v>文教体育用品制造业</v>
          </cell>
        </row>
        <row r="1140">
          <cell r="E1140" t="str">
            <v>墨汁类似品</v>
          </cell>
          <cell r="F1140" t="str">
            <v>包括方便墨、其他墨汁类似品</v>
          </cell>
          <cell r="G1140" t="str">
            <v>文教体育用品制造业</v>
          </cell>
        </row>
        <row r="1141">
          <cell r="E1141" t="str">
            <v>运动用球</v>
          </cell>
          <cell r="F1141" t="str">
            <v>包括可充气或不可充气运动用球以及其他运动用球；不包括高尔夫球（详见10604060208），艺术体操用球、台球、沙狐球、保龄球等休闲娱乐活动用球(详见106040608)。</v>
          </cell>
          <cell r="G1141" t="str">
            <v>文教体育用品制造业</v>
          </cell>
        </row>
        <row r="1142">
          <cell r="E1142" t="str">
            <v>乒乓球拍</v>
          </cell>
          <cell r="F1142" t="str">
            <v>无说明</v>
          </cell>
          <cell r="G1142" t="str">
            <v>文教体育用品制造业</v>
          </cell>
        </row>
        <row r="1143">
          <cell r="E1143" t="str">
            <v>网球拍</v>
          </cell>
          <cell r="F1143" t="str">
            <v>包括软式网球拍</v>
          </cell>
          <cell r="G1143" t="str">
            <v>文教体育用品制造业</v>
          </cell>
        </row>
        <row r="1144">
          <cell r="E1144" t="str">
            <v>羽毛球拍</v>
          </cell>
          <cell r="F1144" t="str">
            <v>无说明</v>
          </cell>
          <cell r="G1144" t="str">
            <v>文教体育用品制造业</v>
          </cell>
        </row>
        <row r="1145">
          <cell r="E1145" t="str">
            <v>球棒</v>
          </cell>
          <cell r="F1145" t="str">
            <v>包括棒、垒球球棒</v>
          </cell>
          <cell r="G1145" t="str">
            <v>文教体育用品制造业</v>
          </cell>
        </row>
        <row r="1146">
          <cell r="E1146" t="str">
            <v>壁球拍</v>
          </cell>
          <cell r="F1146" t="str">
            <v>无说明</v>
          </cell>
          <cell r="G1146" t="str">
            <v>文教体育用品制造业</v>
          </cell>
        </row>
        <row r="1147">
          <cell r="E1147" t="str">
            <v>柔力球拍</v>
          </cell>
          <cell r="F1147" t="str">
            <v>无说明</v>
          </cell>
          <cell r="G1147" t="str">
            <v>文教体育用品制造业</v>
          </cell>
        </row>
        <row r="1148">
          <cell r="E1148" t="str">
            <v>高尔夫球杆</v>
          </cell>
          <cell r="F1148" t="str">
            <v>指完整的高尔夫球杆</v>
          </cell>
          <cell r="G1148" t="str">
            <v>文教体育用品制造业</v>
          </cell>
        </row>
        <row r="1149">
          <cell r="E1149" t="str">
            <v>高尔夫球</v>
          </cell>
          <cell r="F1149" t="str">
            <v>无说明</v>
          </cell>
          <cell r="G1149" t="str">
            <v>文教体育用品制造业</v>
          </cell>
        </row>
        <row r="1150">
          <cell r="E1150" t="str">
            <v>高尔夫球包</v>
          </cell>
          <cell r="F1150" t="str">
            <v>无说明</v>
          </cell>
          <cell r="G1150" t="str">
            <v>文教体育用品制造业</v>
          </cell>
        </row>
        <row r="1151">
          <cell r="E1151" t="str">
            <v>其他高尔夫球器械及配件</v>
          </cell>
          <cell r="F1151" t="str">
            <v>包括高尔夫球球座（支架）、沙耙、果岭叉、球道补沙机、开洞机、高尔夫球模拟器等</v>
          </cell>
          <cell r="G1151" t="str">
            <v>文教体育用品制造业</v>
          </cell>
        </row>
        <row r="1152">
          <cell r="E1152" t="str">
            <v>其他球拍、棍</v>
          </cell>
          <cell r="F1152" t="str">
            <v>包括曲棍球、板球、长曲棍球、冰球等球类使用的棍和拍、柳条勺、回力球勺</v>
          </cell>
          <cell r="G1152" t="str">
            <v>文教体育用品制造业</v>
          </cell>
        </row>
        <row r="1153">
          <cell r="E1153" t="str">
            <v>体育器材及配件</v>
          </cell>
          <cell r="F1153" t="str">
            <v>包括体操及蹦床器械、田径器械、举重、拳击及摔跤器械、冰雪运动用器械和用品、运动用船、水上运动器械和用品、射击器械及器材、射箭器材、击剑器材及零件、武术器械和用品、登山器材、龙狮运动器材及配件、拔河器材及配件、风筝器材及配件、</v>
          </cell>
          <cell r="G1153" t="str">
            <v>文教体育用品制造业</v>
          </cell>
        </row>
        <row r="1154">
          <cell r="E1154" t="str">
            <v>室内训练健身器材</v>
          </cell>
          <cell r="F1154" t="str">
            <v>包括力量型训练器材、力量型举重训练床、健身车、跑步机、划船训练器、椭圆训练器材、踏步机、阶梯机、攀登机、带固定轮或无飞轮健身车、一般体疗康复健身器材、其他室内训练健身器材。</v>
          </cell>
          <cell r="G1154" t="str">
            <v>文教体育用品制造业</v>
          </cell>
        </row>
        <row r="1155">
          <cell r="E1155" t="str">
            <v>室外健身器材</v>
          </cell>
          <cell r="F1155" t="str">
            <v>无说明</v>
          </cell>
          <cell r="G1155" t="str">
            <v>文教体育用品制造业</v>
          </cell>
        </row>
        <row r="1156">
          <cell r="E1156" t="str">
            <v>运动防护用具</v>
          </cell>
          <cell r="F1156" t="str">
            <v>包括运动专用手套、运动专用帽、运动专用鞋靴、运动专用护具。</v>
          </cell>
          <cell r="G1156" t="str">
            <v>文教体育用品制造业</v>
          </cell>
        </row>
        <row r="1157">
          <cell r="E1157" t="str">
            <v>钓鱼用品和器材</v>
          </cell>
          <cell r="F1157" t="str">
            <v>包括钓鱼竿、钓鱼钩（不论有无系钩丝，包括带有单倒钩或多倒钩的鱼钩）、鱼线轮（包括绕线架）、钓鱼线、钓鱼饵（不论是金属、非金属、高分子化合物拟饵、鱼漂）、其他钓鱼用品和器材（包括鱼护、抄网、架竿、轮座；装好的线及投掷器、钓鱼浮子、装配好的钓鱼环、坠子及钓杆铃）等。</v>
          </cell>
          <cell r="G1157" t="str">
            <v>文教体育用品制造业</v>
          </cell>
        </row>
        <row r="1158">
          <cell r="E1158" t="str">
            <v>休闲运动器材和用品</v>
          </cell>
          <cell r="F1158" t="str">
            <v>包括狩猎休闲用品、狩猎专用防护用品及用具（包括专业狩猎服、喷雾剂、防护靴、导航设备等）、狩猎工具及装备（包括狩猎专用驽、弓、陷井、捕兽器、爬树架、隐蔽篷等）、狩猎培训设备（包括狩猎培训专用靶场等、其他狩猎休闲用品）、马术休闲用品、马附具（包括马护胸、马护肘、马护腿、马被、马汗垫、马刺等）、马术骑手用品（包括骑士服、骑士帽、骑士附具等、其他马术休闲用品）、艺术体操用球、台球、台球桌、沙狐球、保龄球、其他休闲运动器材和用品。</v>
          </cell>
          <cell r="G1158" t="str">
            <v>文教体育用品制造业</v>
          </cell>
        </row>
        <row r="1159">
          <cell r="E1159" t="str">
            <v>其他体育用品</v>
          </cell>
          <cell r="F1159" t="str">
            <v>无说明</v>
          </cell>
          <cell r="G1159" t="str">
            <v>文教体育用品制造业</v>
          </cell>
        </row>
        <row r="1160">
          <cell r="E1160" t="str">
            <v>中乐器</v>
          </cell>
          <cell r="F1160" t="str">
            <v>包括中乐器、中乐弦乐器、二胡、京胡、板胡、其他中乐弦乐器、中乐弹拨乐器、古筝、三弦、琵琶、月琴、柳琴、其他中乐弹拨乐、中乐吹管乐器、竹笛、箫笙、唢呐、其他中乐吹管乐器、中乐打击乐器、扬琴、鼓（中乐）、锣、响板、响铜乐器、其他中乐打击乐器、其他中乐器</v>
          </cell>
          <cell r="G1160" t="str">
            <v>文教体育用品制造业</v>
          </cell>
        </row>
        <row r="1161">
          <cell r="E1161" t="str">
            <v>西乐器</v>
          </cell>
          <cell r="F1161" t="str">
            <v>小提琴、大提琴、竖琴、吉他、其他西弦乐器、号、笛、双簧管、单簧管（黑管）、萨克斯、其他西管乐器、鼓（西乐）、镲、木琴、沙槌、其他西乐打击乐器、钢琴、手风琴、其他西乐键盘乐器、口琴、其他西乐器。</v>
          </cell>
          <cell r="G1161" t="str">
            <v>文教体育用品制造业</v>
          </cell>
        </row>
        <row r="1162">
          <cell r="E1162" t="str">
            <v>电子乐器</v>
          </cell>
          <cell r="F1162" t="str">
            <v>指通过电产生或扩大声音的乐器</v>
          </cell>
          <cell r="G1162" t="str">
            <v>文教体育用品制造业</v>
          </cell>
        </row>
        <row r="1163">
          <cell r="E1163" t="str">
            <v>媒诱音响器，相关乐器</v>
          </cell>
          <cell r="F1163" t="str">
            <v>包括百音盒、哨子、其他相关乐器</v>
          </cell>
          <cell r="G1163" t="str">
            <v>文教体育用品制造业</v>
          </cell>
        </row>
        <row r="1164">
          <cell r="E1164" t="str">
            <v>乐器辅助用品及零件</v>
          </cell>
          <cell r="F1164" t="str">
            <v>包括节拍器、音叉、定音管、百音盒机械装置、乐器用弦、其他乐器零件</v>
          </cell>
          <cell r="G1164" t="str">
            <v>文教体育用品制造业</v>
          </cell>
        </row>
        <row r="1165">
          <cell r="E1165" t="str">
            <v>供儿童乘骑带轮玩具</v>
          </cell>
          <cell r="F1165" t="str">
            <v>不包括拖拉类带轮玩具和玩偶车（详见106040899）</v>
          </cell>
          <cell r="G1165" t="str">
            <v>文教体育用品制造业</v>
          </cell>
        </row>
        <row r="1166">
          <cell r="E1166" t="str">
            <v>填充类玩具</v>
          </cell>
          <cell r="F1166" t="str">
            <v>包括PP棉填充的布绒玩具和其他填充类的布绒玩具及其附属品</v>
          </cell>
          <cell r="G1166" t="str">
            <v>文教体育用品制造业</v>
          </cell>
        </row>
        <row r="1167">
          <cell r="E1167" t="str">
            <v>玩偶及其零配件和装饰品</v>
          </cell>
          <cell r="F1167" t="str">
            <v>不包括填充类玩具（详见106040802）</v>
          </cell>
          <cell r="G1167" t="str">
            <v>文教体育用品制造业</v>
          </cell>
        </row>
        <row r="1168">
          <cell r="E1168" t="str">
            <v>仿真模型及其附件</v>
          </cell>
          <cell r="F1168" t="str">
            <v>指缩小（按比例缩小）的无动力装置或带动力装置的全套仿真模型组件及其附件</v>
          </cell>
          <cell r="G1168" t="str">
            <v>文教体育用品制造业</v>
          </cell>
        </row>
        <row r="1169">
          <cell r="E1169" t="str">
            <v>木制玩具</v>
          </cell>
          <cell r="F1169" t="str">
            <v>指木制的各类玩具；不包括供儿童乘骑的带轮玩具玩偶（详见106040801），仿真模型（详见106040804）。</v>
          </cell>
          <cell r="G1169" t="str">
            <v>文教体育用品制造业</v>
          </cell>
        </row>
        <row r="1170">
          <cell r="E1170" t="str">
            <v>塑胶玩具</v>
          </cell>
          <cell r="F1170" t="str">
            <v>指塑胶制的各类玩具；不包括供儿童乘骑的带轮玩具（详见106040801），填充类玩具玩偶（详见106040802），仿真模型（详见106040804）。</v>
          </cell>
          <cell r="G1170" t="str">
            <v>文教体育用品制造业</v>
          </cell>
        </row>
        <row r="1171">
          <cell r="E1171" t="str">
            <v>玩具乐器</v>
          </cell>
          <cell r="F1171" t="str">
            <v>包括玩具电子琴、喇叭、鼓等</v>
          </cell>
          <cell r="G1171" t="str">
            <v>文教体育用品制造业</v>
          </cell>
        </row>
        <row r="1172">
          <cell r="E1172" t="str">
            <v>儿童娱乐塑形用膏、泥</v>
          </cell>
          <cell r="F1172" t="str">
            <v>无说明</v>
          </cell>
          <cell r="G1172" t="str">
            <v>文教体育用品制造业</v>
          </cell>
        </row>
        <row r="1173">
          <cell r="E1173" t="str">
            <v>其他玩具</v>
          </cell>
          <cell r="F1173" t="str">
            <v>包括玩偶车</v>
          </cell>
          <cell r="G1173" t="str">
            <v>文教体育用品制造业</v>
          </cell>
        </row>
        <row r="1174">
          <cell r="E1174" t="str">
            <v>电动游乐设备</v>
          </cell>
          <cell r="F1174" t="str">
            <v>包括大型电动游乐设备，如观缆车、过山车、电动小飞船、电动转车、碰碰车、卡丁车、转伞、旋转木马</v>
          </cell>
          <cell r="G1174" t="str">
            <v>文教体育用品制造业</v>
          </cell>
        </row>
        <row r="1175">
          <cell r="E1175" t="str">
            <v>非电动游乐设备</v>
          </cell>
          <cell r="F1175" t="str">
            <v>包括转椅、滑轮车、滑梯、秋千、秋千船、压板、悬梯、幸运转轮机</v>
          </cell>
          <cell r="G1175" t="str">
            <v>文教体育用品制造业</v>
          </cell>
        </row>
        <row r="1176">
          <cell r="E1176" t="str">
            <v>其他游乐场设备</v>
          </cell>
          <cell r="F1176" t="str">
            <v>无说明</v>
          </cell>
          <cell r="G1176" t="str">
            <v>文教体育用品制造业</v>
          </cell>
        </row>
        <row r="1177">
          <cell r="E1177" t="str">
            <v>电子游戏机</v>
          </cell>
          <cell r="F1177" t="str">
            <v>包括自身装荧光屏电子游戏机、投币式电子游戏机</v>
          </cell>
          <cell r="G1177" t="str">
            <v>文教体育用品制造业</v>
          </cell>
        </row>
        <row r="1178">
          <cell r="E1178" t="str">
            <v>投币式游戏机</v>
          </cell>
          <cell r="F1178" t="str">
            <v>指使用硬币、钞票及类似品的游戏用品，如弹球机、旋转机</v>
          </cell>
          <cell r="G1178" t="str">
            <v>文教体育用品制造业</v>
          </cell>
        </row>
        <row r="1179">
          <cell r="E1179" t="str">
            <v>台球器材及配件</v>
          </cell>
          <cell r="F1179" t="str">
            <v>包括8球台球、9球台球、斯诺克台球、开伦台球、比利台球用球、台球杆、球杆盒、球杆皮头、擦粉、摆球器、定位器、开杆器</v>
          </cell>
          <cell r="G1179" t="str">
            <v>文教体育用品制造业</v>
          </cell>
        </row>
        <row r="1180">
          <cell r="E1180" t="str">
            <v>保龄球设备及器材</v>
          </cell>
          <cell r="F1180" t="str">
            <v>包括保龄球自动分瓶机、保龄球、保龄球瓶、保龄球自动球道设备、指套、指贴、下油机及配件、测油机、球检仪、球秤</v>
          </cell>
          <cell r="G1180" t="str">
            <v>文教体育用品制造业</v>
          </cell>
        </row>
        <row r="1181">
          <cell r="E1181" t="str">
            <v>沙狐球桌及其配套器材</v>
          </cell>
          <cell r="F1181" t="str">
            <v>无说明</v>
          </cell>
          <cell r="G1181" t="str">
            <v>文教体育用品制造业</v>
          </cell>
        </row>
        <row r="1182">
          <cell r="E1182" t="str">
            <v>桌式足球器材及配件</v>
          </cell>
          <cell r="F1182" t="str">
            <v>无说明</v>
          </cell>
          <cell r="G1182" t="str">
            <v>文教体育用品制造业</v>
          </cell>
        </row>
        <row r="1183">
          <cell r="E1183" t="str">
            <v>飞镖器材及配件</v>
          </cell>
          <cell r="F1183" t="str">
            <v>无说明</v>
          </cell>
          <cell r="G1183" t="str">
            <v>文教体育用品制造业</v>
          </cell>
        </row>
        <row r="1184">
          <cell r="E1184" t="str">
            <v>棋类娱乐用品</v>
          </cell>
          <cell r="F1184" t="str">
            <v>无说明</v>
          </cell>
          <cell r="G1184" t="str">
            <v>文教体育用品制造业</v>
          </cell>
        </row>
        <row r="1185">
          <cell r="E1185" t="str">
            <v>牌类娱乐用品</v>
          </cell>
          <cell r="F1185" t="str">
            <v>无说明</v>
          </cell>
          <cell r="G1185" t="str">
            <v>文教体育用品制造业</v>
          </cell>
        </row>
        <row r="1186">
          <cell r="E1186" t="str">
            <v>专供游戏用家具式桌子</v>
          </cell>
          <cell r="F1186" t="str">
            <v>包括麻将桌</v>
          </cell>
          <cell r="G1186" t="str">
            <v>文教体育用品制造业</v>
          </cell>
        </row>
        <row r="1187">
          <cell r="E1187" t="str">
            <v>其他游艺用品及室内游艺器材</v>
          </cell>
          <cell r="F1187" t="str">
            <v>包括桌上游戏用品，如骰子、骰子盘、计数器、纸牌花色显示器、专供游戏用的特制布等</v>
          </cell>
          <cell r="G1187" t="str">
            <v>文教体育用品制造业</v>
          </cell>
        </row>
        <row r="1188">
          <cell r="E1188" t="str">
            <v>雕刻工艺品</v>
          </cell>
          <cell r="F1188" t="str">
            <v>指用玉石、宝石、彩石、象牙、角、骨、贝壳等天然或人造硬质材料，以及木、竹、果壳（核）等天然植物材料为原料，经雕、刻、琢、磨等艺术加工而制成的各种供欣赏和实用的工艺品</v>
          </cell>
          <cell r="G1188" t="str">
            <v>文教体育用品制造业</v>
          </cell>
        </row>
        <row r="1189">
          <cell r="E1189" t="str">
            <v>塑造工艺品</v>
          </cell>
          <cell r="F1189" t="str">
            <v>指用石膏、泥、面、蜡、树脂、糖、酥油、塑料等可塑性材料为原料，经捏或塑等艺术加工而制成的各种供欣赏和实用的工艺品（包括庭园用喷泉等装饰品）</v>
          </cell>
          <cell r="G1189" t="str">
            <v>文教体育用品制造业</v>
          </cell>
        </row>
        <row r="1190">
          <cell r="E1190" t="str">
            <v>其他雕塑工艺品</v>
          </cell>
          <cell r="F1190" t="str">
            <v>无说明</v>
          </cell>
          <cell r="G1190" t="str">
            <v>文教体育用品制造业</v>
          </cell>
        </row>
        <row r="1191">
          <cell r="E1191" t="str">
            <v>景泰蓝工艺品</v>
          </cell>
          <cell r="F1191" t="str">
            <v>亦称铜胎掐丝珐琅，包括铜胎掐丝珐琅、掐丝景泰蓝、机制景泰蓝、画珐琅（烧瓷）</v>
          </cell>
          <cell r="G1191" t="str">
            <v>文教体育用品制造业</v>
          </cell>
        </row>
        <row r="1192">
          <cell r="E1192" t="str">
            <v>珐琅珀晶工艺品</v>
          </cell>
          <cell r="F1192" t="str">
            <v>指借鉴景泰蓝工艺，在胎上掐丝、点蓝，经涂饰后制成的金属工艺品</v>
          </cell>
          <cell r="G1192" t="str">
            <v>文教体育用品制造业</v>
          </cell>
        </row>
        <row r="1193">
          <cell r="E1193" t="str">
            <v>银蓝工艺品</v>
          </cell>
          <cell r="F1193" t="str">
            <v>无说明</v>
          </cell>
          <cell r="G1193" t="str">
            <v>文教体育用品制造业</v>
          </cell>
        </row>
        <row r="1194">
          <cell r="E1194" t="str">
            <v>贵金属摆件</v>
          </cell>
          <cell r="F1194" t="str">
            <v>指用金、铂、银、钯等贵金属及其合金，经镶嵌或未镶嵌工艺而制成的盘、碗、碟等各类器皿及工艺陈设摆件</v>
          </cell>
          <cell r="G1194" t="str">
            <v>文教体育用品制造业</v>
          </cell>
        </row>
        <row r="1195">
          <cell r="E1195" t="str">
            <v>铜制工艺品</v>
          </cell>
          <cell r="F1195" t="str">
            <v>包括斑铜工艺品、仿古铜工艺品、铸铜、镀铜、煅铜工艺品等；不包括铜制刀剑工艺品（详见106050208）</v>
          </cell>
          <cell r="G1195" t="str">
            <v>文教体育用品制造业</v>
          </cell>
        </row>
        <row r="1196">
          <cell r="E1196" t="str">
            <v>铁制工艺品</v>
          </cell>
          <cell r="F1196" t="str">
            <v>包括铁制的各种室内外陈列工艺品包括铁画、藤铁制品；不包括铸铁的艺术门窗（详见108040201），铁制刀剑工艺品（详见106050206）。</v>
          </cell>
          <cell r="G1196" t="str">
            <v>文教体育用品制造业</v>
          </cell>
        </row>
        <row r="1197">
          <cell r="E1197" t="str">
            <v>锡制工艺品</v>
          </cell>
          <cell r="F1197" t="str">
            <v>包括锡烛台，不包括锡制刀剑工艺品（详见106050207）</v>
          </cell>
          <cell r="G1197" t="str">
            <v>文教体育用品制造业</v>
          </cell>
        </row>
        <row r="1198">
          <cell r="E1198" t="str">
            <v>金属制民间刀剑工艺品</v>
          </cell>
          <cell r="F1198" t="str">
            <v>包括用各种金属材料制作的民族工艺刀剑（如龙泉宝剑、蒙古刀、藏刀等）</v>
          </cell>
          <cell r="G1198" t="str">
            <v>文教体育用品制造业</v>
          </cell>
        </row>
        <row r="1199">
          <cell r="E1199" t="str">
            <v>金属丝编织工艺品</v>
          </cell>
          <cell r="F1199" t="str">
            <v>无说明</v>
          </cell>
          <cell r="G1199" t="str">
            <v>文教体育用品制造业</v>
          </cell>
        </row>
        <row r="1200">
          <cell r="E1200" t="str">
            <v>金属制艺术标牌及类似品</v>
          </cell>
          <cell r="F1200" t="str">
            <v>包括用各种金属材料制作的艺术徽章、纪念章、标牌、挂牌、奖杯、奖章及类似品</v>
          </cell>
          <cell r="G1200" t="str">
            <v>文教体育用品制造业</v>
          </cell>
        </row>
        <row r="1201">
          <cell r="E1201" t="str">
            <v>蒙镶工艺品</v>
          </cell>
          <cell r="F1201" t="str">
            <v>包括蒙镶炉、鼎等和蒙镶动物等</v>
          </cell>
          <cell r="G1201" t="str">
            <v>文教体育用品制造业</v>
          </cell>
        </row>
        <row r="1202">
          <cell r="E1202" t="str">
            <v>金属制工艺框架类制品</v>
          </cell>
          <cell r="F1202" t="str">
            <v>包括金属制工艺画框、相框等</v>
          </cell>
          <cell r="G1202" t="str">
            <v>文教体育用品制造业</v>
          </cell>
        </row>
        <row r="1203">
          <cell r="E1203" t="str">
            <v>其他金属工艺品</v>
          </cell>
          <cell r="F1203" t="str">
            <v>包括用于家居、商业空间及类似场所的金属装饰品</v>
          </cell>
          <cell r="G1203" t="str">
            <v>文教体育用品制造业</v>
          </cell>
        </row>
        <row r="1204">
          <cell r="E1204" t="str">
            <v>镶嵌漆器工艺品</v>
          </cell>
          <cell r="F1204" t="str">
            <v>包括牙玉镶嵌漆器、骨石镶嵌漆器（金漆镶嵌）、螺钿镶嵌漆器、点螺镶嵌漆器</v>
          </cell>
          <cell r="G1204" t="str">
            <v>文教体育用品制造业</v>
          </cell>
        </row>
        <row r="1205">
          <cell r="E1205" t="str">
            <v>雕漆漆器工艺品</v>
          </cell>
          <cell r="F1205" t="str">
            <v>无说明</v>
          </cell>
          <cell r="G1205" t="str">
            <v>文教体育用品制造业</v>
          </cell>
        </row>
        <row r="1206">
          <cell r="E1206" t="str">
            <v>脱胎漆器工艺品</v>
          </cell>
          <cell r="F1206" t="str">
            <v>无说明</v>
          </cell>
          <cell r="G1206" t="str">
            <v>文教体育用品制造业</v>
          </cell>
        </row>
        <row r="1207">
          <cell r="E1207" t="str">
            <v>彩绘雕填漆器工艺品</v>
          </cell>
          <cell r="F1207" t="str">
            <v>无说明</v>
          </cell>
          <cell r="G1207" t="str">
            <v>文教体育用品制造业</v>
          </cell>
        </row>
        <row r="1208">
          <cell r="E1208" t="str">
            <v>漆线雕工艺品</v>
          </cell>
          <cell r="F1208" t="str">
            <v>无说明</v>
          </cell>
          <cell r="G1208" t="str">
            <v>文教体育用品制造业</v>
          </cell>
        </row>
        <row r="1209">
          <cell r="E1209" t="str">
            <v>刻灰漆器工艺品</v>
          </cell>
          <cell r="F1209" t="str">
            <v>无说明</v>
          </cell>
          <cell r="G1209" t="str">
            <v>文教体育用品制造业</v>
          </cell>
        </row>
        <row r="1210">
          <cell r="E1210" t="str">
            <v>漆画工艺品</v>
          </cell>
          <cell r="F1210" t="str">
            <v>无说明</v>
          </cell>
          <cell r="G1210" t="str">
            <v>文教体育用品制造业</v>
          </cell>
        </row>
        <row r="1211">
          <cell r="E1211" t="str">
            <v>漆器工艺框架类制品</v>
          </cell>
          <cell r="F1211" t="str">
            <v>包括漆器工艺画框、相框等</v>
          </cell>
          <cell r="G1211" t="str">
            <v>文教体育用品制造业</v>
          </cell>
        </row>
        <row r="1212">
          <cell r="E1212" t="str">
            <v>其他漆器工艺品</v>
          </cell>
          <cell r="F1212" t="str">
            <v>无说明</v>
          </cell>
          <cell r="G1212" t="str">
            <v>文教体育用品制造业</v>
          </cell>
        </row>
        <row r="1213">
          <cell r="E1213" t="str">
            <v>人造花类工艺品</v>
          </cell>
          <cell r="F1213" t="str">
            <v>指以绢、丝、绒、纸、涤纶、塑料、羽毛、通草以及鲜花草等为原料，经造型设计、压模、剪贴、干燥等工艺制成的人造植物、叶、花、果实、盆景等花类艺术制品（包括人造花类工艺品的零件）</v>
          </cell>
          <cell r="G1213" t="str">
            <v>文教体育用品制造业</v>
          </cell>
        </row>
        <row r="1214">
          <cell r="E1214" t="str">
            <v>画类工艺品</v>
          </cell>
          <cell r="F1214" t="str">
            <v>指以画面出现、可以挂或摆的具有欣赏性、装饰性的画，包括国画、西洋画、皮革画、油画、粉画、手绘画、雕版画、印制画、石印画、拼贴画及类似装饰板、版画、邮票画等画类工艺品</v>
          </cell>
          <cell r="G1214" t="str">
            <v>文教体育用品制造业</v>
          </cell>
        </row>
        <row r="1215">
          <cell r="E1215" t="str">
            <v>天然植物纤维编织工艺品</v>
          </cell>
          <cell r="F1215" t="str">
            <v>指以竹、藤、棕、草、柳、葵、麻等天然植物纤维为材料，经编织或镶嵌而成具有造型艺术或图案花纹，以欣赏为主的工艺陈列品以及实用工艺品</v>
          </cell>
          <cell r="G1215" t="str">
            <v>文教体育用品制造业</v>
          </cell>
        </row>
        <row r="1216">
          <cell r="E1216" t="str">
            <v>人造纤维编织工艺品</v>
          </cell>
          <cell r="F1216" t="str">
            <v>指以人造纤维为材料，经编织或镶嵌而成，具有造型艺术或图案花纹，以欣赏为主的工艺陈列品以及实用工艺品</v>
          </cell>
          <cell r="G1216" t="str">
            <v>文教体育用品制造业</v>
          </cell>
        </row>
        <row r="1217">
          <cell r="E1217" t="str">
            <v>刺绣工艺品</v>
          </cell>
          <cell r="F1217" t="str">
            <v>指以绣针引彩线（丝、绒线），按设计的花样在织物（丝绸、布帛）上刺缀运针，以绣迹构成纹样或文字而制成的工艺品</v>
          </cell>
          <cell r="G1217" t="str">
            <v>文教体育用品制造业</v>
          </cell>
        </row>
        <row r="1218">
          <cell r="E1218" t="str">
            <v>抽纱工艺品</v>
          </cell>
          <cell r="F1218" t="str">
            <v>指根据图案设计，将花纹部分的经线或纬线抽去后加以连缀，形成透空的装饰花纹的日用工艺品；或运用雕平绣、彩平绣、十字花绣、挑花绣、补花绣等工艺手法制成的各种日用工艺品</v>
          </cell>
          <cell r="G1218" t="str">
            <v>文教体育用品制造业</v>
          </cell>
        </row>
        <row r="1219">
          <cell r="E1219" t="str">
            <v>手工编结工艺品</v>
          </cell>
          <cell r="F1219" t="str">
            <v>包括万缕丝、万缕丝镶边、镶拼制品、网扣、花边等</v>
          </cell>
          <cell r="G1219" t="str">
            <v>文教体育用品制造业</v>
          </cell>
        </row>
        <row r="1220">
          <cell r="E1220" t="str">
            <v>手工染织工艺品及机织工艺品</v>
          </cell>
          <cell r="F1220" t="str">
            <v>指手工印花布，如蜡染、扎染、拔染、手绘、烧花制品、缂丝</v>
          </cell>
          <cell r="G1220" t="str">
            <v>文教体育用品制造业</v>
          </cell>
        </row>
        <row r="1221">
          <cell r="E1221" t="str">
            <v>工艺织锦</v>
          </cell>
          <cell r="F1221" t="str">
            <v>包括云锦、宋锦、蜀锦以及其他民族织锦和工艺织锦</v>
          </cell>
          <cell r="G1221" t="str">
            <v>文教体育用品制造业</v>
          </cell>
        </row>
        <row r="1222">
          <cell r="E1222" t="str">
            <v>其他抽纱刺绣工艺品</v>
          </cell>
          <cell r="F1222" t="str">
            <v>无说明</v>
          </cell>
          <cell r="G1222" t="str">
            <v>文教体育用品制造业</v>
          </cell>
        </row>
        <row r="1223">
          <cell r="E1223" t="str">
            <v>手工地毯、挂毯</v>
          </cell>
          <cell r="F1223" t="str">
            <v>无说明</v>
          </cell>
          <cell r="G1223" t="str">
            <v>文教体育用品制造业</v>
          </cell>
        </row>
        <row r="1224">
          <cell r="E1224" t="str">
            <v>机制地毯、挂毯</v>
          </cell>
          <cell r="F1224" t="str">
            <v>包括威尔顿地毯或挂毯、阿克明斯地毯或挂毯、机制簇绒地毯或挂毯、羊毛簇绒地毯或挂毯、化纤簇绒地毯或挂毯、混纺簇绒地毯或挂毯、机织地毯或挂毯、机制地毯或挂毯、针刺地毯或挂毯、化纤针刺地毯或挂毯、羊毛针刺地毯或挂毯、化纤浴室毯、化纤浴室垫、化纤门前毯、化纤门前垫、羊毛浴室毯、羊毛浴室垫、羊毛门前毯、羊毛门前垫、棉浴室毯、棉浴室垫、人造草坪毯、运动草坪毯、休闲草坪毯</v>
          </cell>
          <cell r="G1224" t="str">
            <v>文教体育用品制造业</v>
          </cell>
        </row>
        <row r="1225">
          <cell r="E1225" t="str">
            <v>室内陈设艺术陶瓷制品</v>
          </cell>
          <cell r="F1225" t="str">
            <v>包括陶瓷制人物、动物、静物等的摆件或挂件，艺术花瓶、茶具、酒具等</v>
          </cell>
          <cell r="G1225" t="str">
            <v>文教体育用品制造业</v>
          </cell>
        </row>
        <row r="1226">
          <cell r="E1226" t="str">
            <v>工艺陶瓷制品</v>
          </cell>
          <cell r="F1226" t="str">
            <v>包括陶瓷制人物、动物小雕塑、圣诞节小礼品，各类陶瓷饰物等</v>
          </cell>
          <cell r="G1226" t="str">
            <v>文教体育用品制造业</v>
          </cell>
        </row>
        <row r="1227">
          <cell r="E1227" t="str">
            <v>陶瓷壁画</v>
          </cell>
          <cell r="F1227" t="str">
            <v>包括室内壁画和户外壁画</v>
          </cell>
          <cell r="G1227" t="str">
            <v>文教体育用品制造业</v>
          </cell>
        </row>
        <row r="1228">
          <cell r="E1228" t="str">
            <v>陶瓷制塑像</v>
          </cell>
          <cell r="F1228" t="str">
            <v>包括瓷质、陶质及类似材料制作的人物、动物等塑像（不论建在园林或类似场所的室内或室外）</v>
          </cell>
          <cell r="G1228" t="str">
            <v>文教体育用品制造业</v>
          </cell>
        </row>
        <row r="1229">
          <cell r="E1229" t="str">
            <v>其他陈设艺术陶瓷制品</v>
          </cell>
          <cell r="F1229" t="str">
            <v>无说明</v>
          </cell>
          <cell r="G1229" t="str">
            <v>文教体育用品制造业</v>
          </cell>
        </row>
        <row r="1230">
          <cell r="E1230" t="str">
            <v>金银珠宝首饰</v>
          </cell>
          <cell r="F1230" t="str">
            <v>以金、银、白金、宝石、珍珠、钻石、翡翠、珊瑚、玛瑙等高贵稀有物质以及其他金属、人造宝石等制作的各种纯金银首饰及镶嵌首饰，包括铂首饰。</v>
          </cell>
          <cell r="G1230" t="str">
            <v>文教体育用品制造业</v>
          </cell>
        </row>
        <row r="1231">
          <cell r="E1231" t="str">
            <v>已加工钻石</v>
          </cell>
          <cell r="F1231" t="str">
            <v>成品钻</v>
          </cell>
          <cell r="G1231" t="str">
            <v>文教体育用品制造业</v>
          </cell>
        </row>
        <row r="1232">
          <cell r="E1232" t="str">
            <v>未加工钻石</v>
          </cell>
          <cell r="F1232" t="str">
            <v>毛钻</v>
          </cell>
          <cell r="G1232" t="str">
            <v>文教体育用品制造业</v>
          </cell>
        </row>
        <row r="1233">
          <cell r="E1233" t="str">
            <v>其他珠宝玉石</v>
          </cell>
          <cell r="F1233" t="str">
            <v>无说明</v>
          </cell>
          <cell r="G1233" t="str">
            <v>文教体育用品制造业</v>
          </cell>
        </row>
        <row r="1234">
          <cell r="E1234" t="str">
            <v>其他珠宝首饰</v>
          </cell>
          <cell r="F1234" t="str">
            <v>无说明</v>
          </cell>
          <cell r="G1234" t="str">
            <v>文教体育用品制造业</v>
          </cell>
        </row>
        <row r="1235">
          <cell r="E1235" t="str">
            <v>剧装、道具</v>
          </cell>
          <cell r="F1235" t="str">
            <v>无说明</v>
          </cell>
          <cell r="G1235" t="str">
            <v>文教体育用品制造业</v>
          </cell>
        </row>
        <row r="1236">
          <cell r="E1236" t="str">
            <v>合成纺织材料制假发</v>
          </cell>
          <cell r="F1236" t="str">
            <v>包括合成纺织材料制整头假发</v>
          </cell>
          <cell r="G1236" t="str">
            <v>文教体育用品制造业</v>
          </cell>
        </row>
        <row r="1237">
          <cell r="E1237" t="str">
            <v>档发</v>
          </cell>
          <cell r="F1237" t="str">
            <v>假发的一种，由辫发或削发加工而成，两端处理的较平整，多个人的头发，同样的长度整理在一起。档发分为单档，双档，双拐档。</v>
          </cell>
          <cell r="G1237" t="str">
            <v>文教体育用品制造业</v>
          </cell>
        </row>
        <row r="1238">
          <cell r="E1238" t="str">
            <v>人发制假发</v>
          </cell>
          <cell r="F1238" t="str">
            <v>无说明</v>
          </cell>
          <cell r="G1238" t="str">
            <v>文教体育用品制造业</v>
          </cell>
        </row>
        <row r="1239">
          <cell r="E1239" t="str">
            <v>人体毛发装饰用品</v>
          </cell>
          <cell r="F1239" t="str">
            <v>不包括合成纺织材料制假发（详见10605100201）、档发（详见10605100202）、人发制假发（详见10605100203）</v>
          </cell>
          <cell r="G1239" t="str">
            <v>文教体育用品制造业</v>
          </cell>
        </row>
        <row r="1240">
          <cell r="E1240" t="str">
            <v>发制品及类似品专用原料</v>
          </cell>
          <cell r="F1240" t="str">
            <v>包括经梳理等加工的人发，以及制作假发用的纺织材料、羊毛原料等</v>
          </cell>
          <cell r="G1240" t="str">
            <v>文教体育用品制造业</v>
          </cell>
        </row>
        <row r="1241">
          <cell r="E1241" t="str">
            <v>民间工艺品</v>
          </cell>
          <cell r="F1241" t="str">
            <v>包括风筝、皮影、剪纸、鼻烟壶等</v>
          </cell>
          <cell r="G1241" t="str">
            <v>文教体育用品制造业</v>
          </cell>
        </row>
        <row r="1242">
          <cell r="E1242" t="str">
            <v>工艺扇</v>
          </cell>
          <cell r="F1242" t="str">
            <v>包括象牙扇、檀香扇、羽毛扇、绢折扇等</v>
          </cell>
          <cell r="G1242" t="str">
            <v>文教体育用品制造业</v>
          </cell>
        </row>
        <row r="1243">
          <cell r="E1243" t="str">
            <v>工艺伞</v>
          </cell>
          <cell r="F1243" t="str">
            <v>包括绢伞、绸伞等</v>
          </cell>
          <cell r="G1243" t="str">
            <v>文教体育用品制造业</v>
          </cell>
        </row>
        <row r="1244">
          <cell r="E1244" t="str">
            <v>灯彩</v>
          </cell>
          <cell r="F1244" t="str">
            <v>包括木雕工艺灯、宫灯、纱灯、走马灯、彩灯等</v>
          </cell>
          <cell r="G1244" t="str">
            <v>文教体育用品制造业</v>
          </cell>
        </row>
        <row r="1245">
          <cell r="E1245" t="str">
            <v>料器</v>
          </cell>
          <cell r="F1245" t="str">
            <v>指用加颜料的玻璃原料制成的器皿或手工艺品</v>
          </cell>
          <cell r="G1245" t="str">
            <v>文教体育用品制造业</v>
          </cell>
        </row>
        <row r="1246">
          <cell r="E1246" t="str">
            <v>美术人形</v>
          </cell>
          <cell r="F1246" t="str">
            <v>包括美术人偶</v>
          </cell>
          <cell r="G1246" t="str">
            <v>文教体育用品制造业</v>
          </cell>
        </row>
        <row r="1247">
          <cell r="E1247" t="str">
            <v>节庆庆典用品及相关娱乐用品</v>
          </cell>
          <cell r="F1247" t="str">
            <v>包括中西式节庆庆典娱乐活动用品，如魔术道具、花彩、花环等，以及用纸、金属箔、玻璃纤维等制成的人造雪、彩球、铃，化装舞会或中式节庆用面具及服装等各种节日用品</v>
          </cell>
          <cell r="G1247" t="str">
            <v>文教体育用品制造业</v>
          </cell>
        </row>
        <row r="1248">
          <cell r="E1248" t="str">
            <v>其他相关工艺美术品</v>
          </cell>
          <cell r="F1248" t="str">
            <v>无说明</v>
          </cell>
          <cell r="G1248" t="str">
            <v>文教体育用品制造业</v>
          </cell>
        </row>
        <row r="1249">
          <cell r="E1249" t="str">
            <v>桑拿浴箱</v>
          </cell>
          <cell r="F1249" t="str">
            <v>无说明</v>
          </cell>
          <cell r="G1249" t="str">
            <v>文教体育用品制造业</v>
          </cell>
        </row>
        <row r="1250">
          <cell r="E1250" t="str">
            <v>排汗活动机</v>
          </cell>
          <cell r="F1250" t="str">
            <v>无说明</v>
          </cell>
          <cell r="G1250" t="str">
            <v>文教体育用品制造业</v>
          </cell>
        </row>
        <row r="1251">
          <cell r="E1251" t="str">
            <v>熏蒸足道机</v>
          </cell>
          <cell r="F1251" t="str">
            <v>无说明</v>
          </cell>
          <cell r="G1251" t="str">
            <v>文教体育用品制造业</v>
          </cell>
        </row>
        <row r="1252">
          <cell r="E1252" t="str">
            <v>养生桑拿蒸汽机</v>
          </cell>
          <cell r="F1252" t="str">
            <v>无说明</v>
          </cell>
          <cell r="G1252" t="str">
            <v>文教体育用品制造业</v>
          </cell>
        </row>
        <row r="1253">
          <cell r="E1253" t="str">
            <v>养生美体美容仪</v>
          </cell>
          <cell r="F1253" t="str">
            <v>无说明</v>
          </cell>
          <cell r="G1253" t="str">
            <v>文教体育用品制造业</v>
          </cell>
        </row>
        <row r="1254">
          <cell r="E1254" t="str">
            <v>养生理疗枕</v>
          </cell>
          <cell r="F1254" t="str">
            <v>无说明</v>
          </cell>
          <cell r="G1254" t="str">
            <v>文教体育用品制造业</v>
          </cell>
        </row>
        <row r="1255">
          <cell r="E1255" t="str">
            <v>养生塑身机</v>
          </cell>
          <cell r="F1255" t="str">
            <v>无说明</v>
          </cell>
          <cell r="G1255" t="str">
            <v>文教体育用品制造业</v>
          </cell>
        </row>
        <row r="1256">
          <cell r="E1256" t="str">
            <v>养生制氧机</v>
          </cell>
          <cell r="F1256" t="str">
            <v>无说明</v>
          </cell>
          <cell r="G1256" t="str">
            <v>文教体育用品制造业</v>
          </cell>
        </row>
        <row r="1257">
          <cell r="E1257" t="str">
            <v>养生水氧吧</v>
          </cell>
          <cell r="F1257" t="str">
            <v>无说明</v>
          </cell>
          <cell r="G1257" t="str">
            <v>文教体育用品制造业</v>
          </cell>
        </row>
        <row r="1258">
          <cell r="E1258" t="str">
            <v>Spa水疗机</v>
          </cell>
          <cell r="F1258" t="str">
            <v>无说明</v>
          </cell>
          <cell r="G1258" t="str">
            <v>文教体育用品制造业</v>
          </cell>
        </row>
        <row r="1259">
          <cell r="E1259" t="str">
            <v>Spa气泡按摩机</v>
          </cell>
          <cell r="F1259" t="str">
            <v>无说明</v>
          </cell>
          <cell r="G1259" t="str">
            <v>文教体育用品制造业</v>
          </cell>
        </row>
        <row r="1260">
          <cell r="E1260" t="str">
            <v>Spa精油温灸仪</v>
          </cell>
          <cell r="F1260" t="str">
            <v>无说明</v>
          </cell>
          <cell r="G1260" t="str">
            <v>文教体育用品制造业</v>
          </cell>
        </row>
        <row r="1261">
          <cell r="E1261" t="str">
            <v>高温竹炭制品</v>
          </cell>
          <cell r="F1261" t="str">
            <v>包括可食用竹炭、净化竹炭、养生竹炭、家居竹炭、杀菌竹炭、美容竹炭、高温竹炭等</v>
          </cell>
          <cell r="G1261" t="str">
            <v>文教体育用品制造业</v>
          </cell>
        </row>
        <row r="1262">
          <cell r="E1262" t="str">
            <v>其他保健休闲用品</v>
          </cell>
          <cell r="F1262" t="str">
            <v>无说明</v>
          </cell>
          <cell r="G1262" t="str">
            <v>文教体育用品制造业</v>
          </cell>
        </row>
        <row r="1263">
          <cell r="E1263" t="str">
            <v>镜子类制品及零配件</v>
          </cell>
          <cell r="F1263" t="str">
            <v>包括民用镜、专用镜及其他镜类制品和配件</v>
          </cell>
          <cell r="G1263" t="str">
            <v>文教体育用品制造业</v>
          </cell>
        </row>
        <row r="1264">
          <cell r="E1264" t="str">
            <v>刷子类制品</v>
          </cell>
          <cell r="F1264" t="str">
            <v>包括用原毛、成品毛、棕、金属丝、塑料丝等材料制成的各种用途的刷子及类似品，如牙刷、发刷、剔须刷、指甲刷、睫毛刷、眉笔刷、施敷化妆品用刷、衣刷、鞋刷、洗涤用刷、漆刷、金属丝刷、非金属丝刷、油漆块垫、滚筒</v>
          </cell>
          <cell r="G1264" t="str">
            <v>文教体育用品制造业</v>
          </cell>
        </row>
        <row r="1265">
          <cell r="E1265" t="str">
            <v>已加工刷类制品材料</v>
          </cell>
          <cell r="F1265" t="str">
            <v>指用原毛、棕、金属丝、塑料丝等加工的，用于制作各种刷子的专用材料或半成品</v>
          </cell>
          <cell r="G1265" t="str">
            <v>文教体育用品制造业</v>
          </cell>
        </row>
        <row r="1266">
          <cell r="E1266" t="str">
            <v>清洁清扫类工具及其已加工材料</v>
          </cell>
          <cell r="F1266" t="str">
            <v>除刷子类制品(详见106051202)和已加工的刷类制品（详见106051203）以外的清洁清扫类工具及其已加工材料。</v>
          </cell>
          <cell r="G1266" t="str">
            <v>文教体育用品制造业</v>
          </cell>
        </row>
        <row r="1267">
          <cell r="E1267" t="str">
            <v>伞、手杖、鞭子、马鞭及其零件</v>
          </cell>
          <cell r="F1267" t="str">
            <v>包括手杖、鞭子、马鞭、晴雨伞、太阳伞、带座手杖、助步杖、登山杖、鞭子、鞭、把柄、伞骨，及其零件</v>
          </cell>
          <cell r="G1267" t="str">
            <v>文教体育用品制造业</v>
          </cell>
        </row>
        <row r="1268">
          <cell r="E1268" t="str">
            <v>拉链及其零件</v>
          </cell>
          <cell r="F1268" t="str">
            <v>包括金属齿拉链、尼龙齿拉链、树脂齿拉链、拉链零件</v>
          </cell>
          <cell r="G1268" t="str">
            <v>文教体育用品制造业</v>
          </cell>
        </row>
        <row r="1269">
          <cell r="E1269" t="str">
            <v>扣类制品及其零件</v>
          </cell>
          <cell r="F1269" t="str">
            <v>无说明</v>
          </cell>
          <cell r="G1269" t="str">
            <v>文教体育用品制造业</v>
          </cell>
        </row>
        <row r="1270">
          <cell r="E1270" t="str">
            <v>打火机及其零件</v>
          </cell>
          <cell r="F1270" t="str">
            <v>无说明</v>
          </cell>
          <cell r="G1270" t="str">
            <v>文教体育用品制造业</v>
          </cell>
        </row>
        <row r="1271">
          <cell r="E1271" t="str">
            <v>烟具</v>
          </cell>
          <cell r="F1271" t="str">
            <v>包括烟斗、烟斗头、烟嘴</v>
          </cell>
          <cell r="G1271" t="str">
            <v>文教体育用品制造业</v>
          </cell>
        </row>
        <row r="1272">
          <cell r="E1272" t="str">
            <v>头发装饰用物品</v>
          </cell>
          <cell r="F1272" t="str">
            <v>包括梳子、橡胶梳、塑料梳、金属梳、牛角梳、木梳、发夹</v>
          </cell>
          <cell r="G1272" t="str">
            <v>文教体育用品制造业</v>
          </cell>
        </row>
        <row r="1273">
          <cell r="E1273" t="str">
            <v>香水喷射器、粉扑及粉拍</v>
          </cell>
          <cell r="F1273" t="str">
            <v>无说明</v>
          </cell>
          <cell r="G1273" t="str">
            <v>文教体育用品制造业</v>
          </cell>
        </row>
        <row r="1274">
          <cell r="E1274" t="str">
            <v>礼仪电子用品</v>
          </cell>
          <cell r="F1274" t="str">
            <v>指带有半导体和播放功能的礼仪用品，包括电子画框、电子相框、电子问候卡、电子广告卡</v>
          </cell>
          <cell r="G1274" t="str">
            <v>文教体育用品制造业</v>
          </cell>
        </row>
        <row r="1275">
          <cell r="E1275" t="str">
            <v>棉胎</v>
          </cell>
          <cell r="F1275" t="str">
            <v>指纺织材料与胎料组合制被褥状纺织品，通常用于生产绗缝外套、被褥、床罩、褥垫、衣服、窗帘、座垫、台布内垫等</v>
          </cell>
          <cell r="G1275" t="str">
            <v>文教体育用品制造业</v>
          </cell>
        </row>
        <row r="1276">
          <cell r="E1276" t="str">
            <v>居民用煤制品</v>
          </cell>
          <cell r="F1276" t="str">
            <v>包括型煤、蜂窝煤、煤砖、煤球、煤饼、引火炭</v>
          </cell>
          <cell r="G1276" t="str">
            <v>文教体育用品制造业</v>
          </cell>
        </row>
        <row r="1277">
          <cell r="E1277" t="str">
            <v>其他日用杂品</v>
          </cell>
          <cell r="F1277" t="str">
            <v>无说明</v>
          </cell>
          <cell r="G1277" t="str">
            <v>文教体育用品制造业</v>
          </cell>
        </row>
        <row r="1278">
          <cell r="E1278" t="str">
            <v>宠物玩具</v>
          </cell>
          <cell r="F1278" t="str">
            <v>无说明</v>
          </cell>
          <cell r="G1278" t="str">
            <v>文教体育用品制造业</v>
          </cell>
        </row>
        <row r="1279">
          <cell r="E1279" t="str">
            <v>宠物服装</v>
          </cell>
          <cell r="F1279" t="str">
            <v>无说明</v>
          </cell>
          <cell r="G1279" t="str">
            <v>文教体育用品制造业</v>
          </cell>
        </row>
        <row r="1280">
          <cell r="E1280" t="str">
            <v>宠物消毒用品</v>
          </cell>
          <cell r="F1280" t="str">
            <v>无说明</v>
          </cell>
          <cell r="G1280" t="str">
            <v>文教体育用品制造业</v>
          </cell>
        </row>
        <row r="1281">
          <cell r="E1281" t="str">
            <v>宠物专用品</v>
          </cell>
          <cell r="F1281" t="str">
            <v>包括窝垫、笼、牵绳、项圈、咬胶、猫砂、食具、美容用具、亚克利水族缸、水族缸过滤器、水族缸潜水泵、水族缸灯、水族景观水处理、底沙、水族装饰品、喂食器、饮水器、沙杠、笼、窝、宠物护栏、宠物护网、宠物训练器材及工具、跟踪器、防丢器，及其附属装置和零件</v>
          </cell>
          <cell r="G1281" t="str">
            <v>文教体育用品制造业</v>
          </cell>
        </row>
        <row r="1282">
          <cell r="E1282" t="str">
            <v>液体石蜡</v>
          </cell>
          <cell r="F1282" t="str">
            <v>包括重质液体石蜡；是从原油分馏所得到的无色无味的混合物；它可以分成轻质矿物油及一般矿物油两种；可用作软膏、搽剂和化妆品的基质</v>
          </cell>
          <cell r="G1282" t="str">
            <v>化学原料及化学制品制造业</v>
          </cell>
        </row>
        <row r="1283">
          <cell r="E1283" t="str">
            <v>液化石油气</v>
          </cell>
          <cell r="F1283" t="str">
            <v>主要指以石油在提炼汽油、煤油、柴油、重油等油品过程中剩下的石油尾气为原料，经分离、脱硫精制而成的气体。</v>
          </cell>
          <cell r="G1283" t="str">
            <v>化学原料及化学制品制造业</v>
          </cell>
        </row>
        <row r="1284">
          <cell r="E1284" t="str">
            <v>其他石油气和相关烃类气</v>
          </cell>
          <cell r="F1284" t="str">
            <v>无说明</v>
          </cell>
          <cell r="G1284" t="str">
            <v>化学原料及化学制品制造业</v>
          </cell>
        </row>
        <row r="1285">
          <cell r="E1285" t="str">
            <v>矿物蜡及合成法制类似产品</v>
          </cell>
          <cell r="F1285" t="str">
            <v>包括凡士林、石蜡和其他合成方法制类似产品</v>
          </cell>
          <cell r="G1285" t="str">
            <v>化学原料及化学制品制造业</v>
          </cell>
        </row>
        <row r="1286">
          <cell r="E1286" t="str">
            <v>石油沥青</v>
          </cell>
          <cell r="F1286" t="str">
            <v>符合国家标准或石油化工行业标准的沥青产品。</v>
          </cell>
          <cell r="G1286" t="str">
            <v>化学原料及化学制品制造业</v>
          </cell>
        </row>
        <row r="1287">
          <cell r="E1287" t="str">
            <v>其他石油制品</v>
          </cell>
          <cell r="F1287" t="str">
            <v>无说明</v>
          </cell>
          <cell r="G1287" t="str">
            <v>化学原料及化学制品制造业</v>
          </cell>
        </row>
        <row r="1288">
          <cell r="E1288" t="str">
            <v>绝缘油</v>
          </cell>
          <cell r="F1288" t="str">
            <v>无说明</v>
          </cell>
          <cell r="G1288" t="str">
            <v>化学原料及化学制品制造业</v>
          </cell>
        </row>
        <row r="1289">
          <cell r="E1289" t="str">
            <v>废矿物油</v>
          </cell>
          <cell r="F1289" t="str">
            <v>工业生产领域机械设备及汽车、船舶等交通运输设备使用后失去或降低功效更换下来的废润滑油</v>
          </cell>
          <cell r="G1289" t="str">
            <v>化学原料及化学制品制造业</v>
          </cell>
        </row>
        <row r="1290">
          <cell r="E1290" t="str">
            <v>页岩原油</v>
          </cell>
          <cell r="F1290" t="str">
            <v>亦称油母页岩原油；指以油母页岩为原料生产的一种人造原油；</v>
          </cell>
          <cell r="G1290" t="str">
            <v>化学原料及化学制品制造业</v>
          </cell>
        </row>
        <row r="1291">
          <cell r="E1291" t="str">
            <v>沼气</v>
          </cell>
          <cell r="F1291" t="str">
            <v>是有机物质在厌氧条件下，经过微生物的发酵作用而生成的一种混合气体</v>
          </cell>
          <cell r="G1291" t="str">
            <v>化学原料及化学制品制造业</v>
          </cell>
        </row>
        <row r="1292">
          <cell r="E1292" t="str">
            <v>生物氢气</v>
          </cell>
          <cell r="F1292" t="str">
            <v>无说明</v>
          </cell>
          <cell r="G1292" t="str">
            <v>化学原料及化学制品制造业</v>
          </cell>
        </row>
        <row r="1293">
          <cell r="E1293" t="str">
            <v>生物质致密成型燃料</v>
          </cell>
          <cell r="F1293" t="str">
            <v>无说明</v>
          </cell>
          <cell r="G1293" t="str">
            <v>化学原料及化学制品制造业</v>
          </cell>
        </row>
        <row r="1294">
          <cell r="E1294" t="str">
            <v>生物炭</v>
          </cell>
          <cell r="F1294" t="str">
            <v>是生物有机材料（生物质）在缺氧或绝氧环境中，经高温热裂解后生成的固态产物</v>
          </cell>
          <cell r="G1294" t="str">
            <v>化学原料及化学制品制造业</v>
          </cell>
        </row>
        <row r="1295">
          <cell r="E1295" t="str">
            <v>变性燃料乙醇</v>
          </cell>
          <cell r="F1295" t="str">
            <v>无说明</v>
          </cell>
          <cell r="G1295" t="str">
            <v>化学原料及化学制品制造业</v>
          </cell>
        </row>
        <row r="1296">
          <cell r="E1296" t="str">
            <v>焦炭</v>
          </cell>
          <cell r="F1296" t="str">
            <v>煤炭等原料在隔绝空气的条件下，加热到950℃～1050℃，经过干燥、热解、熔融、粘结、固化、收缩等阶段最终制成焦炭，用于高炉冶炼、铸造和气化；净化后的焦炉煤气既是高热值的燃料，又是重要的有机合成工业原料</v>
          </cell>
          <cell r="G1296" t="str">
            <v>石油加工及炼焦业</v>
          </cell>
        </row>
        <row r="1297">
          <cell r="E1297" t="str">
            <v>矿物焦油</v>
          </cell>
          <cell r="F1297" t="str">
            <v>从煤、褐煤或泥煤干馏所得的焦油等矿物焦油</v>
          </cell>
          <cell r="G1297" t="str">
            <v>化学原料及化学制品制造业</v>
          </cell>
        </row>
        <row r="1298">
          <cell r="E1298" t="str">
            <v>石油焦、碳黑</v>
          </cell>
          <cell r="F1298" t="str">
            <v>无说明</v>
          </cell>
          <cell r="G1298" t="str">
            <v>化学原料及化学制品制造业</v>
          </cell>
        </row>
        <row r="1299">
          <cell r="E1299" t="str">
            <v>硫酸类</v>
          </cell>
          <cell r="F1299" t="str">
            <v>包括硫酸、发烟硫酸等</v>
          </cell>
          <cell r="G1299" t="str">
            <v>化学原料及化学制品制造业</v>
          </cell>
        </row>
        <row r="1300">
          <cell r="E1300" t="str">
            <v>其他无机酸</v>
          </cell>
          <cell r="F1300" t="str">
            <v>包括硝酸类、盐酸、氯磺酸、磷酸、多磷酸、硼酸、氢氰酸（氰化氢）、氟酸、氯化酸、碘酸、氢硫酸、氢溴酸、钨酸、硅酸、硒酸、砷酸、钼酸、偏钛酸、氯铀酸、偏锡酸、溴酸、辛酸亚锡、其他无机酸</v>
          </cell>
          <cell r="G1300" t="str">
            <v>化学原料及化学制品制造业</v>
          </cell>
        </row>
        <row r="1301">
          <cell r="E1301" t="str">
            <v>粉煤灰</v>
          </cell>
          <cell r="F1301" t="str">
            <v>指从煤燃烧后的烟气中收捕下来的细灰，是燃煤电厂排出的主要固体废物。是从煤燃烧后的烟气中收捕下来的细灰，粉煤灰是燃煤电厂排出的主要固体废物。</v>
          </cell>
          <cell r="G1301" t="str">
            <v>化学原料及化学制品制造业</v>
          </cell>
        </row>
        <row r="1302">
          <cell r="E1302" t="str">
            <v>其他非金属无机氧化物</v>
          </cell>
          <cell r="F1302" t="str">
            <v>无说明</v>
          </cell>
          <cell r="G1302" t="str">
            <v>化学原料及化学制品制造业</v>
          </cell>
        </row>
        <row r="1303">
          <cell r="E1303" t="str">
            <v>过氧化氢（双氧水）</v>
          </cell>
          <cell r="F1303" t="str">
            <v>由硫酸作用于过氧化钡，或由电解氧化硫酸成过硫酸或硫酸盐成过硫酸盐再经水解，或由2-乙基蒽醌经氢化再经氧化而制得过氧化氢电解制取</v>
          </cell>
          <cell r="G1303" t="str">
            <v>化学原料及化学制品制造业</v>
          </cell>
        </row>
        <row r="1304">
          <cell r="E1304" t="str">
            <v>非金属卤化物及硫化物</v>
          </cell>
          <cell r="F1304" t="str">
            <v>包括非金属卤化物、非金属氯氧化物、非金属硫化物</v>
          </cell>
          <cell r="G1304" t="str">
            <v>化学原料及化学制品制造业</v>
          </cell>
        </row>
        <row r="1305">
          <cell r="E1305" t="str">
            <v>烧碱</v>
          </cell>
          <cell r="F1305" t="str">
            <v>包括由盐水电解法或由纯碱（或天然碱）苛化法等方法生产的固体和液体的氢氧化钠</v>
          </cell>
          <cell r="G1305" t="str">
            <v>化学原料及化学制品制造业</v>
          </cell>
        </row>
        <row r="1306">
          <cell r="E1306" t="str">
            <v>纯碱类</v>
          </cell>
          <cell r="F1306" t="str">
            <v>包括纯碱（碳酸钠）、碳酸氢钠（小苏打）、碳酸钾、碳酸氢钾（重碳酸钾）等</v>
          </cell>
          <cell r="G1306" t="str">
            <v>化学原料及化学制品制造业</v>
          </cell>
        </row>
        <row r="1307">
          <cell r="E1307" t="str">
            <v>金属氢氧化物</v>
          </cell>
          <cell r="F1307" t="str">
            <v>包括氢氧化钾（苛性钾）、氢氧化铝、氢氧化镁、氢氧化锶、氢氧化钡、氢氧化铬、氢氧化铁、氢氧化钴、氢氧化锂、氢氧化镍、氢氧化铜、氢氧化钼、氢氧化钨、氢氧化钙、氢氧化锌、氢氧化锆、氢氧化铵、其他金属氢氧化物，不包括镍钴锰氢氧化物（详见107020233）</v>
          </cell>
          <cell r="G1307" t="str">
            <v>化学原料及化学制品制造业</v>
          </cell>
        </row>
        <row r="1308">
          <cell r="E1308" t="str">
            <v>金属氧化物</v>
          </cell>
          <cell r="F1308" t="str">
            <v>包括氧化锌、氧化锶、氧化钡、铬氧化物、锰氧化物、氧化钽、钴氧化物、钛氧化物、铅氧化物、氧化锂、钒氧化物、镍氧化物、氧化铜、锗氧化物、钼氧化物、锑氧化物、氧化钨、锡氧化物、其他金属氧化物，不包括氧化铝（详见108030601）、氧化铁（详见107020123）</v>
          </cell>
          <cell r="G1308" t="str">
            <v>化学原料及化学制品制造业</v>
          </cell>
        </row>
        <row r="1309">
          <cell r="E1309" t="str">
            <v>金属过氧化物、超氧化物</v>
          </cell>
          <cell r="F1309" t="str">
            <v>包括过氧化钠、过氧化钾、过氧化镁、过氧化锶、过氧化钡、过氧化锌、过氧化钙、超氧化钠、超氧化钾、其他金属超氧化物、其他金属过氧化物</v>
          </cell>
          <cell r="G1309" t="str">
            <v>化学原料及化学制品制造业</v>
          </cell>
        </row>
        <row r="1310">
          <cell r="E1310" t="str">
            <v>金属硫化物及硫酸盐</v>
          </cell>
          <cell r="F1310" t="str">
            <v>包括金属硫化物、金属多硫化物、金属硫酸盐、金属亚硫酸盐、次亚硫酸钠、硫代硫酸盐、过硫酸盐等</v>
          </cell>
          <cell r="G1310" t="str">
            <v>化学原料及化学制品制造业</v>
          </cell>
        </row>
        <row r="1311">
          <cell r="E1311" t="str">
            <v>金属硝酸盐、亚硝酸盐</v>
          </cell>
          <cell r="F1311" t="str">
            <v>包括硝酸盐、亚硝酸盐</v>
          </cell>
          <cell r="G1311" t="str">
            <v>化学原料及化学制品制造业</v>
          </cell>
        </row>
        <row r="1312">
          <cell r="E1312" t="str">
            <v>金属氧化物酸盐、金属过氧化物酸盐</v>
          </cell>
          <cell r="F1312" t="str">
            <v>包括铝酸盐、铬酸盐及重铬酸盐、锰酸盐、高锰酸盐、钼酸盐、钨酸盐、钛酸盐、钒酸盐、高铁酸盐及铁酸盐、锌酸盐、锡酸盐、锑酸盐、锆酸盐、铼酸盐、高铅酸盐、其他金属氧化物酸盐、其他金属过氧化物酸盐，不包括铝酸钠（详见107020124）、铝酸三钙（详见107020125）。</v>
          </cell>
          <cell r="G1312" t="str">
            <v>化学原料及化学制品制造业</v>
          </cell>
        </row>
        <row r="1313">
          <cell r="E1313" t="str">
            <v>磷化物、金属磷酸盐</v>
          </cell>
          <cell r="F1313" t="str">
            <v>包括磷化物、次磷酸盐及亚磷酸盐、磷酸盐、焦磷酸盐、偏磷酸盐、缩聚磷酸盐、磷酸复盐等</v>
          </cell>
          <cell r="G1313" t="str">
            <v>化学原料及化学制品制造业</v>
          </cell>
        </row>
        <row r="1314">
          <cell r="E1314" t="str">
            <v>氟化物及其盐</v>
          </cell>
          <cell r="F1314" t="str">
            <v>包括氟化物、氟硅酸盐、氟铝酸盐及相关复合氟盐等</v>
          </cell>
          <cell r="G1314" t="str">
            <v>化学原料及化学制品制造业</v>
          </cell>
        </row>
        <row r="1315">
          <cell r="E1315" t="str">
            <v>氯化物及其盐</v>
          </cell>
          <cell r="F1315" t="str">
            <v>包括氯化物、氯酸盐、高氯酸盐、亚氯酸盐、次氯酸盐、其他亚氯酸盐、其他次氯酸盐，不包括氯化钴（详见107020236）</v>
          </cell>
          <cell r="G1315" t="str">
            <v>化学原料及化学制品制造业</v>
          </cell>
        </row>
        <row r="1316">
          <cell r="E1316" t="str">
            <v>氯氧化物及氢氧基氯化物</v>
          </cell>
          <cell r="F1316" t="str">
            <v>包括氯氧化铜、氢氧基氯化铜、氢氧基氯化铝、氯氧化锆、氯氧化铬、氯氧化锡、氯氧化锑、氯氧化铅、氢氧基氯化铅、其他氯氧化物及氢氧基氯化物</v>
          </cell>
          <cell r="G1316" t="str">
            <v>化学原料及化学制品制造业</v>
          </cell>
        </row>
        <row r="1317">
          <cell r="E1317" t="str">
            <v>溴化物及其盐</v>
          </cell>
          <cell r="F1317" t="str">
            <v>包括溴化物及溴氧化物、溴酸盐及过溴酸盐</v>
          </cell>
          <cell r="G1317" t="str">
            <v>化学原料及化学制品制造业</v>
          </cell>
        </row>
        <row r="1318">
          <cell r="E1318" t="str">
            <v>碘化物及其盐</v>
          </cell>
          <cell r="F1318" t="str">
            <v>包括碘化物、碘酸盐</v>
          </cell>
          <cell r="G1318" t="str">
            <v>化学原料及化学制品制造业</v>
          </cell>
        </row>
        <row r="1319">
          <cell r="E1319" t="str">
            <v>氰化物、氧氰化物及氰络合物</v>
          </cell>
          <cell r="F1319" t="str">
            <v>包括氰化物、氰氧化物及氰络合物</v>
          </cell>
          <cell r="G1319" t="str">
            <v>化学原料及化学制品制造业</v>
          </cell>
        </row>
        <row r="1320">
          <cell r="E1320" t="str">
            <v>硅化物及硅酸盐</v>
          </cell>
          <cell r="F1320" t="str">
            <v>包括硅化物、硅酸盐</v>
          </cell>
          <cell r="G1320" t="str">
            <v>化学原料及化学制品制造业</v>
          </cell>
        </row>
        <row r="1321">
          <cell r="E1321" t="str">
            <v>硼化物、硼酸盐和过硼酸盐</v>
          </cell>
          <cell r="F1321" t="str">
            <v>包括硼化物、硼酸盐、过硼酸盐</v>
          </cell>
          <cell r="G1321" t="str">
            <v>化学原料及化学制品制造业</v>
          </cell>
        </row>
        <row r="1322">
          <cell r="E1322" t="str">
            <v>碳化物及碳酸盐</v>
          </cell>
          <cell r="F1322" t="str">
            <v>包括碳化物、碳酸盐、过碳酸盐</v>
          </cell>
          <cell r="G1322" t="str">
            <v>化学原料及化学制品制造业</v>
          </cell>
        </row>
        <row r="1323">
          <cell r="E1323" t="str">
            <v>氧化铁</v>
          </cell>
          <cell r="F1323" t="str">
            <v>无说明</v>
          </cell>
          <cell r="G1323" t="str">
            <v>化学原料及化学制品制造业</v>
          </cell>
        </row>
        <row r="1324">
          <cell r="E1324" t="str">
            <v>铝酸钠</v>
          </cell>
          <cell r="F1324" t="str">
            <v>无说明</v>
          </cell>
          <cell r="G1324" t="str">
            <v>化学原料及化学制品制造业</v>
          </cell>
        </row>
        <row r="1325">
          <cell r="E1325" t="str">
            <v>铝酸三钙</v>
          </cell>
          <cell r="F1325" t="str">
            <v>无说明</v>
          </cell>
          <cell r="G1325" t="str">
            <v>化学原料及化学制品制造业</v>
          </cell>
        </row>
        <row r="1326">
          <cell r="E1326" t="str">
            <v>甲烷</v>
          </cell>
          <cell r="F1326" t="str">
            <v>是最简单的有机化合物，也是最简单的脂肪族烷烃</v>
          </cell>
          <cell r="G1326" t="str">
            <v>化学原料及化学制品制造业</v>
          </cell>
        </row>
        <row r="1327">
          <cell r="E1327" t="str">
            <v>乙烯</v>
          </cell>
          <cell r="F1327" t="str">
            <v>乙烯产品通常以液态形态在压力下储存于乙烯厂内，纯度可达到99.95%</v>
          </cell>
          <cell r="G1327" t="str">
            <v>化学原料及化学制品制造业</v>
          </cell>
        </row>
        <row r="1328">
          <cell r="E1328" t="str">
            <v>丙烯</v>
          </cell>
          <cell r="F1328" t="str">
            <v>无说明</v>
          </cell>
          <cell r="G1328" t="str">
            <v>化学原料及化学制品制造业</v>
          </cell>
        </row>
        <row r="1329">
          <cell r="E1329" t="str">
            <v>丁二烯</v>
          </cell>
          <cell r="F1329" t="str">
            <v>无说明</v>
          </cell>
          <cell r="G1329" t="str">
            <v>化学原料及化学制品制造业</v>
          </cell>
        </row>
        <row r="1330">
          <cell r="E1330" t="str">
            <v>其他无环烃</v>
          </cell>
          <cell r="F1330" t="str">
            <v>无说明</v>
          </cell>
          <cell r="G1330" t="str">
            <v>化学原料及化学制品制造业</v>
          </cell>
        </row>
        <row r="1331">
          <cell r="E1331" t="str">
            <v>芳香烃</v>
          </cell>
          <cell r="F1331" t="str">
            <v>包括粗苯、纯苯、粗甲苯、甲苯、粗二甲苯、邻二甲苯、间二甲苯、对二甲苯、混合二甲苯、苯乙烯、乙苯（乙基苯）、异丙基苯、联苯、三甲苯、重质苯、二乙苯、甲基苯乙烯、二乙烯苯、烷基苯、重烷基苯、甲基萘、二甲基萘、四氢萘、萘、十二烷基苯、粗蒽、精蒽、其他芳香烃</v>
          </cell>
          <cell r="G1331" t="str">
            <v>化学原料及化学制品制造业</v>
          </cell>
        </row>
        <row r="1332">
          <cell r="E1332" t="str">
            <v>纯苯</v>
          </cell>
          <cell r="F1332" t="str">
            <v>无说明</v>
          </cell>
          <cell r="G1332" t="str">
            <v>化学原料及化学制品制造业</v>
          </cell>
        </row>
        <row r="1333">
          <cell r="E1333" t="str">
            <v>甲苯</v>
          </cell>
          <cell r="F1333" t="str">
            <v>符合国家标准的甲苯</v>
          </cell>
          <cell r="G1333" t="str">
            <v>化学原料及化学制品制造业</v>
          </cell>
        </row>
        <row r="1334">
          <cell r="E1334" t="str">
            <v>邻二甲苯、间二甲苯、对二甲苯、混合二甲苯</v>
          </cell>
          <cell r="F1334" t="str">
            <v>符合国家标准的二甲苯、间二甲苯、对二甲苯、混合二甲苯</v>
          </cell>
          <cell r="G1334" t="str">
            <v>化学原料及化学制品制造业</v>
          </cell>
        </row>
        <row r="1335">
          <cell r="E1335" t="str">
            <v>其他芳香烃</v>
          </cell>
          <cell r="F1335" t="str">
            <v>无说明</v>
          </cell>
          <cell r="G1335" t="str">
            <v>化学原料及化学制品制造业</v>
          </cell>
        </row>
        <row r="1336">
          <cell r="E1336" t="str">
            <v>其他环烃</v>
          </cell>
          <cell r="F1336" t="str">
            <v>包括环氧乙烷、环氧丁烷、环氧丙烷、环丙烷、环戊烷、环己烷、环十二烷、环戊烯、环己烯、二聚环戊二烯、茨烯等</v>
          </cell>
          <cell r="G1336" t="str">
            <v>化学原料及化学制品制造业</v>
          </cell>
        </row>
        <row r="1337">
          <cell r="E1337" t="str">
            <v>无环烃饱和氯化衍生物</v>
          </cell>
          <cell r="F1337" t="str">
            <v>包括一氯甲烷、二氯甲烷、三氯甲烷（氯仿）、四氯化碳、氯乙烷、二氯乙烷、三氯乙烷、四氯乙烷、六氯乙烷、其他无环烃饱和氯化衍生物</v>
          </cell>
          <cell r="G1337" t="str">
            <v>化学原料及化学制品制造业</v>
          </cell>
        </row>
        <row r="1338">
          <cell r="E1338" t="str">
            <v>无环烃不饱和氯化衍生物</v>
          </cell>
          <cell r="F1338" t="str">
            <v>包括氯乙烯、三氯乙烯、四氯乙烯、二氯乙烯、氯丙烯、三氯丙烯、其他无环烃不饱和氯化衍生物</v>
          </cell>
          <cell r="G1338" t="str">
            <v>化学原料及化学制品制造业</v>
          </cell>
        </row>
        <row r="1339">
          <cell r="E1339" t="str">
            <v>无环烃氟化、溴化或碘化衍生物</v>
          </cell>
          <cell r="F1339" t="str">
            <v>包括溴甲烷（甲基溴）、溴乙烷、溴丙烷、碘乙烷、三氟溴甲烷、四氟乙烯、1-氯丁烷、1-溴丁烷、四溴丁烷、二溴戊烷、二碘代甲烷、三碘代甲烷、其他无环烃氟化、溴化或碘化衍生物</v>
          </cell>
          <cell r="G1339" t="str">
            <v>化学原料及化学制品制造业</v>
          </cell>
        </row>
        <row r="1340">
          <cell r="E1340" t="str">
            <v>含不同卤素无环烃卤化衍生物</v>
          </cell>
          <cell r="F1340" t="str">
            <v>含两种不同卤素的无环烃卤化衍生物，包括三氯氟甲烷、二氯二氟甲烷、三氯三氟乙烷、二氯四氟乙烷、二氯五氟乙烷、氯三氟甲烷、五氯氟乙烷、四氯二氟乙烷、七氯氟丙烷、六氯二氟丙烷、五氯三氟丙烷、四氯四氟丙烷、三氯五氟丙烷、二氯六氟丙烷、二氯七氟丙烷、一氟三氯甲烷、二氟一氯甲烷（氟利昂-22）、二氟一氯乙烷（氟利昂-142）、其他含不同卤素无环烃卤化衍生物</v>
          </cell>
          <cell r="G1340" t="str">
            <v>化学原料及化学制品制造业</v>
          </cell>
        </row>
        <row r="1341">
          <cell r="E1341" t="str">
            <v>芳香烃卤化衍生物</v>
          </cell>
          <cell r="F1341" t="str">
            <v>包括氯化苯、邻二氯苯、对二氯苯、六氯苯、对氯甲苯、3，4-二氯三氟甲苯、三氯乙醛、其他芳香烃卤化衍生物</v>
          </cell>
          <cell r="G1341" t="str">
            <v>化学原料及化学制品制造业</v>
          </cell>
        </row>
        <row r="1342">
          <cell r="E1342" t="str">
            <v>烃磺化、硝化或亚硝化衍生物</v>
          </cell>
          <cell r="F1342" t="str">
            <v>包括苯磺酸、苯磺酰氯、烷基苯磺酸、对氨基苯磺酰氯、甲苯磺酸、二甲苯磺酸、苯二磺酸、萘磺酸、硝基苯、硝基甲苯、二硝基甲苯、三硝基甲苯（TNT）、硝基氯化苯、二硝基氯化苯、三氯硝基甲烷（氯化苦；硝基氯仿）、一硝基甲烷、邻硝基甲苯、对硝基甲苯、邻硝基氯苯、对硝基氯苯、二硝基氯苯、硝化棉、其他烃磺化、硝化或亚硝化衍生物</v>
          </cell>
          <cell r="G1342" t="str">
            <v>化学原料及化学制品制造业</v>
          </cell>
        </row>
        <row r="1343">
          <cell r="E1343" t="str">
            <v>无环醇及其衍生物</v>
          </cell>
          <cell r="F1343" t="str">
            <v>包括无环醇及其卤化、磺化、硝化或亚硝化衍生物</v>
          </cell>
          <cell r="G1343" t="str">
            <v>化学原料及化学制品制造业</v>
          </cell>
        </row>
        <row r="1344">
          <cell r="E1344" t="str">
            <v>环醇</v>
          </cell>
          <cell r="F1344" t="str">
            <v>包括环醇、芳香醇</v>
          </cell>
          <cell r="G1344" t="str">
            <v>化学原料及化学制品制造业</v>
          </cell>
        </row>
        <row r="1345">
          <cell r="E1345" t="str">
            <v>酚</v>
          </cell>
          <cell r="F1345" t="str">
            <v>包括一元酚、多元酚、酚醇</v>
          </cell>
          <cell r="G1345" t="str">
            <v>化学原料及化学制品制造业</v>
          </cell>
        </row>
        <row r="1346">
          <cell r="E1346" t="str">
            <v>酚及酚醇衍生物</v>
          </cell>
          <cell r="F1346" t="str">
            <v>包括酚及酚醇的卤化、磺化、硝化或亚硝化衍生物</v>
          </cell>
          <cell r="G1346" t="str">
            <v>化学原料及化学制品制造业</v>
          </cell>
        </row>
        <row r="1347">
          <cell r="E1347" t="str">
            <v>羧酸及其衍生物</v>
          </cell>
          <cell r="F1347" t="str">
            <v>包括甲酸及甲酸盐、甲酸酯、乙酸及乙酸盐、乙酸酯、氯乙酸及其盐和酯、丙酸及其盐和酯、丁酸及其盐和酯、戊酸及其盐和酯、硬脂酸及其盐、棕榈酸及其盐、丙烯酸及其盐和酯、甲基丙烯酸及其盐和酯、油酸及其盐和酯、亚油酸及其盐和酯、亚麻酸及其盐和酯、苯甲酸及其盐和酯、苯甲酸衍生物、苯乙酸及其盐和酯、草酸及其盐和酯、己二酸及其盐和酯、癸二酸及其盐和酯、壬二酸及其盐和酯、邻苯二甲酸酯、邻苯二甲酸酐、对苯二甲酸及其盐、乳酸及其盐和酯、酒石酸及其盐和酯、葡糖酸及其盐和酯、苯乙醇酸及其盐和酯、环烷酸及其水不溶性盐和酯</v>
          </cell>
          <cell r="G1347" t="str">
            <v>化学原料及化学制品制造业</v>
          </cell>
        </row>
        <row r="1348">
          <cell r="E1348" t="str">
            <v>氨基化合物</v>
          </cell>
          <cell r="F1348" t="str">
            <v>包括无环单胺、无环多胺、环单胺或多胺及其衍生物、环芳香单胺、芳香多胺、含氧基氨基化合物、腈基化合物、重氮、偶氮或氧化偶氮化合物、肼或胲有机衍生物</v>
          </cell>
          <cell r="G1348" t="str">
            <v>化学原料及化学制品制造业</v>
          </cell>
        </row>
        <row r="1349">
          <cell r="E1349" t="str">
            <v>含氮基化合物</v>
          </cell>
          <cell r="F1349" t="str">
            <v>包括异氰酸酯、环己基氨基磺酸钠（甜蜜素）、其他含氮基化合物</v>
          </cell>
          <cell r="G1349" t="str">
            <v>化学原料及化学制品制造业</v>
          </cell>
        </row>
        <row r="1350">
          <cell r="E1350" t="str">
            <v>醚</v>
          </cell>
          <cell r="F1350" t="str">
            <v>包括乙醚、二氯乙醚、二异丙醚、二丁醚、二戊醚、甲乙醚、乙基异丙基醚、乙基丁基醚、乙基戊基醚、环醚、多元醇缩水甘油醚、甘油醚、环萜烯醚、茴香醚、苯乙醚、二苯醚、1，2-二苯氧基乙烷（乙二醇二苯基醚）、茴香脑（对丙烯基茴香醚）、二苄醚、硝基苯乙醚、硝基茴香醚、2-叔丁基-5-甲基-4，6-二硝基茴香醚、β-萘甲醚、β-萘基乙醚、间甲酚甲醚、丁基间甲酚甲醚、苯基甲苯基醚、二甲苯基醚、苄基乙基醚、甲基叔丁基醚、间甲基二苯醚、其他醚，不包括二甲醚（甲醚）（详见107020240）</v>
          </cell>
          <cell r="G1350" t="str">
            <v>化学原料及化学制品制造业</v>
          </cell>
        </row>
        <row r="1351">
          <cell r="E1351" t="str">
            <v>醚醇</v>
          </cell>
          <cell r="F1351" t="str">
            <v>包括醚醇及其卤、磺、硝或亚硝化衍生物</v>
          </cell>
          <cell r="G1351" t="str">
            <v>化学原料及化学制品制造业</v>
          </cell>
        </row>
        <row r="1352">
          <cell r="E1352" t="str">
            <v>醚酚及醚醇酚</v>
          </cell>
          <cell r="F1352" t="str">
            <v>包括醚酚、醚醇酚及其卤、磺、硝或亚硝化衍生物</v>
          </cell>
          <cell r="G1352" t="str">
            <v>化学原料及化学制品制造业</v>
          </cell>
        </row>
        <row r="1353">
          <cell r="E1353" t="str">
            <v>过氧化醇、过氧化醚及过氧化酮</v>
          </cell>
          <cell r="F1353" t="str">
            <v>包括乙过醇（乙基过氧化氢）、过氧化二乙基、过氧醚、其他过氧化醇、过氧化醚及过氧化酮</v>
          </cell>
          <cell r="G1353" t="str">
            <v>化学原料及化学制品制造业</v>
          </cell>
        </row>
        <row r="1354">
          <cell r="E1354" t="str">
            <v>醛</v>
          </cell>
          <cell r="F1354" t="str">
            <v>指不含其他含氧基的无环醛</v>
          </cell>
          <cell r="G1354" t="str">
            <v>化学原料及化学制品制造业</v>
          </cell>
        </row>
        <row r="1355">
          <cell r="E1355" t="str">
            <v>醛醇</v>
          </cell>
          <cell r="F1355" t="str">
            <v>包括乙醇醛、3-羟基丁醛、羟基香茅醛、其他醛醇</v>
          </cell>
          <cell r="G1355" t="str">
            <v>化学原料及化学制品制造业</v>
          </cell>
        </row>
        <row r="1356">
          <cell r="E1356" t="str">
            <v>醛醚、醛酚及含有相关含氧基醛</v>
          </cell>
          <cell r="F1356" t="str">
            <v>包括香草醛（3-甲氧基-4-羟基苯甲醛）、乙基香草醛（3-乙氧基-4-羟基苯甲醛）、水杨醛（邻羟基苯甲醛）、3，4-二羟基苯甲醛（原儿茶醛）、茴香醛（对甲氧基苯甲醛）、其他醛醚、醛酚及含有相关含氧基醛</v>
          </cell>
          <cell r="G1356" t="str">
            <v>化学原料及化学制品制造业</v>
          </cell>
        </row>
        <row r="1357">
          <cell r="E1357" t="str">
            <v>环聚醛</v>
          </cell>
          <cell r="F1357" t="str">
            <v>包括三聚甲醛（三恶烷）、三聚乙醛（仲乙醛）、四聚乙醛、其他环聚醛</v>
          </cell>
          <cell r="G1357" t="str">
            <v>化学原料及化学制品制造业</v>
          </cell>
        </row>
        <row r="1358">
          <cell r="E1358" t="str">
            <v>多聚甲醛</v>
          </cell>
          <cell r="F1358" t="str">
            <v>包括仲甲醛、其他多聚甲醛</v>
          </cell>
          <cell r="G1358" t="str">
            <v>化学原料及化学制品制造业</v>
          </cell>
        </row>
        <row r="1359">
          <cell r="E1359" t="str">
            <v>酮</v>
          </cell>
          <cell r="F1359" t="str">
            <v>无说明</v>
          </cell>
          <cell r="G1359" t="str">
            <v>化学原料及化学制品制造业</v>
          </cell>
        </row>
        <row r="1360">
          <cell r="E1360" t="str">
            <v>酮醇、酮醛及酮酚</v>
          </cell>
          <cell r="F1360" t="str">
            <v>包括酮醇、酮醛、酮酚、其他酮醇、其他酮醛、其他酮酚</v>
          </cell>
          <cell r="G1360" t="str">
            <v>化学原料及化学制品制造业</v>
          </cell>
        </row>
        <row r="1361">
          <cell r="E1361" t="str">
            <v>醌基化合物</v>
          </cell>
          <cell r="F1361" t="str">
            <v>包括蒽醌、对苯醌、1，4-萘醌、2-甲基蒽醌、二氢苊醌、菲醌、α-羟基蒽醌、醌茜、柯嗪、1-氨基蒽醌、酞菁铜、其他醌基化合物</v>
          </cell>
          <cell r="G1361" t="str">
            <v>化学原料及化学制品制造业</v>
          </cell>
        </row>
        <row r="1362">
          <cell r="E1362" t="str">
            <v>无机酸酯及其盐</v>
          </cell>
          <cell r="F1362" t="str">
            <v>包括磷酸酯及其盐、硫代磷酸酯及其盐、硫酸酯及其盐</v>
          </cell>
          <cell r="G1362" t="str">
            <v>化学原料及化学制品制造业</v>
          </cell>
        </row>
        <row r="1363">
          <cell r="E1363" t="str">
            <v>亚磷酸酯</v>
          </cell>
          <cell r="F1363" t="str">
            <v>包括亚磷酸三甲酯、亚磷酸三乙酯、亚磷酸二甲酯、亚磷酸二乙酯、其他亚磷酸酯</v>
          </cell>
          <cell r="G1363" t="str">
            <v>化学原料及化学制品制造业</v>
          </cell>
        </row>
        <row r="1364">
          <cell r="E1364" t="str">
            <v>亚硝酸酯及硝酸酯</v>
          </cell>
          <cell r="F1364" t="str">
            <v>包括亚硝酸酯、硝酸酯</v>
          </cell>
          <cell r="G1364" t="str">
            <v>化学原料及化学制品制造业</v>
          </cell>
        </row>
        <row r="1365">
          <cell r="E1365" t="str">
            <v>碳酸酯、过碳酸酯及其盐</v>
          </cell>
          <cell r="F1365" t="str">
            <v>包括碳酸二乙酯、碳酸二愈创木酯、碳酸丙烯酯、碳酸二苯酯、二甘醇双烯丙基碳酸酯、原碳酸四乙酯、过氧化二碳酸双（4-叔丁基环己）酯、其他碳酸酯、过碳酸酯及其盐</v>
          </cell>
          <cell r="G1365" t="str">
            <v>化学原料及化学制品制造业</v>
          </cell>
        </row>
        <row r="1366">
          <cell r="E1366" t="str">
            <v>硅酸酯及其盐</v>
          </cell>
          <cell r="F1366" t="str">
            <v>包括硅酸乙酯（四乙氧基硅或硅酸四乙酯）、其他硅酸酯及其盐</v>
          </cell>
          <cell r="G1366" t="str">
            <v>化学原料及化学制品制造业</v>
          </cell>
        </row>
        <row r="1367">
          <cell r="E1367" t="str">
            <v>镍钴锰氢氧化物</v>
          </cell>
          <cell r="F1367" t="str">
            <v>无说明</v>
          </cell>
          <cell r="G1367" t="str">
            <v>化学原料及化学制品制造业</v>
          </cell>
        </row>
        <row r="1368">
          <cell r="E1368" t="str">
            <v>镍钴锰酸锂</v>
          </cell>
          <cell r="F1368" t="str">
            <v>无说明</v>
          </cell>
          <cell r="G1368" t="str">
            <v>化学原料及化学制品制造业</v>
          </cell>
        </row>
        <row r="1369">
          <cell r="E1369" t="str">
            <v>硫酸铵</v>
          </cell>
          <cell r="F1369" t="str">
            <v>无说明</v>
          </cell>
          <cell r="G1369" t="str">
            <v>化学原料及化学制品制造业</v>
          </cell>
        </row>
        <row r="1370">
          <cell r="E1370" t="str">
            <v>氯化钴</v>
          </cell>
          <cell r="F1370" t="str">
            <v>无说明</v>
          </cell>
          <cell r="G1370" t="str">
            <v>化学原料及化学制品制造业</v>
          </cell>
        </row>
        <row r="1371">
          <cell r="E1371" t="str">
            <v>活性硅酸钙</v>
          </cell>
          <cell r="F1371" t="str">
            <v>无说明</v>
          </cell>
          <cell r="G1371" t="str">
            <v>化学原料及化学制品制造业</v>
          </cell>
        </row>
        <row r="1372">
          <cell r="E1372" t="str">
            <v>环氧环己烷</v>
          </cell>
          <cell r="F1372" t="str">
            <v>无说明</v>
          </cell>
          <cell r="G1372" t="str">
            <v>化学原料及化学制品制造业</v>
          </cell>
        </row>
        <row r="1373">
          <cell r="E1373" t="str">
            <v>正戊醇</v>
          </cell>
          <cell r="F1373" t="str">
            <v>无说明</v>
          </cell>
          <cell r="G1373" t="str">
            <v>化学原料及化学制品制造业</v>
          </cell>
        </row>
        <row r="1374">
          <cell r="E1374" t="str">
            <v>二甲醚</v>
          </cell>
          <cell r="F1374" t="str">
            <v>又称甲醚，指化学分子式为CH3OCH3，常温常压下为具有轻微醚香味，易燃、无毒、无腐蚀性的气体</v>
          </cell>
          <cell r="G1374" t="str">
            <v>化学原料及化学制品制造业</v>
          </cell>
        </row>
        <row r="1375">
          <cell r="E1375" t="str">
            <v>活性炭</v>
          </cell>
          <cell r="F1375" t="str">
            <v>有多孔结构和对气体、蒸汽或胶态固体有强大吸附本领的炭；木、竹、果壳、兽骨、兽血、泥煤、褐煤等都可作为制造活性炭的原料；可将炭质用过热蒸汽、氯、氨或空气共同加热至高温活化，或将未碳化原料用氯化锌、氯化铵、氯化钙、硫酸、磷等浸渍后在低温碳化，再灼烧活化而得；主要用于脱色净化、溶剂的回收、气体的吸收、分离和提纯，化学合成的催化剂和催化剂载体等</v>
          </cell>
          <cell r="G1375" t="str">
            <v>化学原料及化学制品制造业</v>
          </cell>
        </row>
        <row r="1376">
          <cell r="E1376" t="str">
            <v>硫磺</v>
          </cell>
          <cell r="F1376" t="str">
            <v>硫磺别名硫、胶体硫、硫黄块，外观为淡黄色脆性结晶或粉末，有特殊气味。主要用于制造染料、农药、火药等。</v>
          </cell>
          <cell r="G1376" t="str">
            <v>化学原料及化学制品制造业</v>
          </cell>
        </row>
        <row r="1377">
          <cell r="E1377" t="str">
            <v>磷</v>
          </cell>
          <cell r="F1377" t="str">
            <v>一种非金属元素，包括：黄磷、赤磷、其他磷</v>
          </cell>
          <cell r="G1377" t="str">
            <v>化学原料及化学制品制造业</v>
          </cell>
        </row>
        <row r="1378">
          <cell r="E1378" t="str">
            <v>非金属基础化学品</v>
          </cell>
          <cell r="F1378" t="str">
            <v>包含硅、精硅、硒、砷、硼、碲等</v>
          </cell>
          <cell r="G1378" t="str">
            <v>化学原料及化学制品制造业</v>
          </cell>
        </row>
        <row r="1379">
          <cell r="E1379" t="str">
            <v>贵金属化合物</v>
          </cell>
          <cell r="F1379" t="str">
            <v>由贵金属元素与其他一种或一种以上元素形成的化合物。包含银化合物、金化合物、胶态贵金属、其他贵金属化合物等。</v>
          </cell>
          <cell r="G1379" t="str">
            <v>化学原料及化学制品制造业</v>
          </cell>
        </row>
        <row r="1380">
          <cell r="E1380" t="str">
            <v>氢化物、氮化物、叠氮化物</v>
          </cell>
          <cell r="F1380" t="str">
            <v>氢化物是氢与其他元素形成的二元化合物。氮化物是一类氮的化合物，包括金属氮化物、非金属氮化物等。</v>
          </cell>
          <cell r="G1380" t="str">
            <v>化学原料及化学制品制造业</v>
          </cell>
        </row>
        <row r="1381">
          <cell r="E1381" t="str">
            <v>气体及稀有气体</v>
          </cell>
          <cell r="F1381" t="str">
            <v>无说明</v>
          </cell>
          <cell r="G1381" t="str">
            <v>化学原料及化学制品制造业</v>
          </cell>
        </row>
        <row r="1382">
          <cell r="E1382" t="str">
            <v>有机－无机化合物</v>
          </cell>
          <cell r="F1382" t="str">
            <v>无说明</v>
          </cell>
          <cell r="G1382" t="str">
            <v>化学原料及化学制品制造业</v>
          </cell>
        </row>
        <row r="1383">
          <cell r="E1383" t="str">
            <v>氨及氨水</v>
          </cell>
          <cell r="F1383" t="str">
            <v>无说明</v>
          </cell>
          <cell r="G1383" t="str">
            <v>化学原料及化学制品制造业</v>
          </cell>
        </row>
        <row r="1384">
          <cell r="E1384" t="str">
            <v>氮肥</v>
          </cell>
          <cell r="F1384" t="str">
            <v>以氮为主要养分的肥料，肥效的大小决定于其氮含量。主要品种有尿素和硫酸铵、硝酸铵、碳酸氢铵、氯化铵、石灰氨、硝酸钠等。</v>
          </cell>
          <cell r="G1384" t="str">
            <v>化学原料及化学制品制造业</v>
          </cell>
        </row>
        <row r="1385">
          <cell r="E1385" t="str">
            <v>磷肥</v>
          </cell>
          <cell r="F1385" t="str">
            <v>是指以磷矿石为主要原料，用化学方法制成的含有作物营养元素磷的化肥。包括磷矿粉、过磷酸钙（普通过磷酸钙和重过磷酸钙两种）、钙镁磷肥、钢渣磷肥等。</v>
          </cell>
          <cell r="G1385" t="str">
            <v>化学原料及化学制品制造业</v>
          </cell>
        </row>
        <row r="1386">
          <cell r="E1386" t="str">
            <v>钾肥</v>
          </cell>
          <cell r="F1386" t="str">
            <v>用天然钾盐矿经富集精加工制成的含有作物营养元素钾的化肥。主要品种有硫酸钾、氯化钾等。</v>
          </cell>
          <cell r="G1386" t="str">
            <v>化学原料及化学制品制造业</v>
          </cell>
        </row>
        <row r="1387">
          <cell r="E1387" t="str">
            <v>中量元素肥料</v>
          </cell>
          <cell r="F1387" t="str">
            <v>中量元素肥料包括非水溶钙、镁产品和水溶硅元素等产品。</v>
          </cell>
          <cell r="G1387" t="str">
            <v>化学原料及化学制品制造业</v>
          </cell>
        </row>
        <row r="1388">
          <cell r="E1388" t="str">
            <v>微量元素肥料</v>
          </cell>
          <cell r="F1388" t="str">
            <v>指含有一种或多种植物生长所必需的，但需要量又极少的营养元素的肥料，如硼肥、锰肥、锌肥、铜肥、钼肥等。</v>
          </cell>
          <cell r="G1388" t="str">
            <v>化学原料及化学制品制造业</v>
          </cell>
        </row>
        <row r="1389">
          <cell r="E1389" t="str">
            <v>复合肥、复混合肥</v>
          </cell>
          <cell r="F1389" t="str">
            <v>是用化学方法合成或混配制成含有氮、磷、钾中的两种或两种以上的营养元素的肥料。含有两种的称二元复合肥，含有三种的称三元复合肥料，也有含三种元素和某些其他元素的叫多元复合肥料。包括硝酸磷肥、磷酸铵、磷酸二氢钾肥、钙镁磷钾肥、磷酸一铵、磷粉二铵、氮磷钾复合肥等。</v>
          </cell>
          <cell r="G1389" t="str">
            <v>化学原料及化学制品制造业</v>
          </cell>
        </row>
        <row r="1390">
          <cell r="E1390" t="str">
            <v>有机肥料</v>
          </cell>
          <cell r="F1390" t="str">
            <v>指来源于植物、动物，施于土壤以提供植物养分为其主要功效的含碳物料，包括有机-无机混合肥料</v>
          </cell>
          <cell r="G1390" t="str">
            <v>化学原料及化学制品制造业</v>
          </cell>
        </row>
        <row r="1391">
          <cell r="E1391" t="str">
            <v>微生物肥料</v>
          </cell>
          <cell r="F1391" t="str">
            <v>指含有特定微生物活体的制品，通过其中所含微生物增加植物养分或者促进植物生长、改善农产品品质及农业生态环境的肥料</v>
          </cell>
          <cell r="G1391" t="str">
            <v>化学原料及化学制品制造业</v>
          </cell>
        </row>
        <row r="1392">
          <cell r="E1392" t="str">
            <v>动物、植物肥料</v>
          </cell>
          <cell r="F1392" t="str">
            <v>无说明</v>
          </cell>
          <cell r="G1392" t="str">
            <v>化学原料及化学制品制造业</v>
          </cell>
        </row>
        <row r="1393">
          <cell r="E1393" t="str">
            <v>化学农药原药</v>
          </cell>
          <cell r="F1393" t="str">
            <v>指经化学合成而生产的，未经过配制、稀释加工的化学农药原料药（原药）；化学农药（原药）包括用于防治农作物病虫草害的杀虫剂、杀菌剂、除草剂以及植物生长调节剂等</v>
          </cell>
          <cell r="G1393" t="str">
            <v>化学原料及化学制品制造业</v>
          </cell>
        </row>
        <row r="1394">
          <cell r="E1394" t="str">
            <v>化学农药制剂</v>
          </cell>
          <cell r="F1394" t="str">
            <v>指用外购农药原药生产的农药制剂</v>
          </cell>
          <cell r="G1394" t="str">
            <v>化学原料及化学制品制造业</v>
          </cell>
        </row>
        <row r="1395">
          <cell r="E1395" t="str">
            <v>生物农药制剂</v>
          </cell>
          <cell r="F1395" t="str">
            <v>是指利用生物活体（真菌，细菌，昆虫病毒，转基因生物，天敌等）或其代谢产物（信息素，生长素，萘乙酸，2，4-D等）针对农业有害生物进行杀灭或抑制的制剂。包括生物除草剂制剂、生物杀虫剂制剂、生物杀菌剂制剂、生物植物生长调节剂制剂。</v>
          </cell>
          <cell r="G1395" t="str">
            <v>化学原料及化学制品制造业</v>
          </cell>
        </row>
        <row r="1396">
          <cell r="E1396" t="str">
            <v>微生物农药</v>
          </cell>
          <cell r="F1396" t="str">
            <v>包括农用抗生素和活体微生物农药。</v>
          </cell>
          <cell r="G1396" t="str">
            <v>化学原料及化学制品制造业</v>
          </cell>
        </row>
        <row r="1397">
          <cell r="E1397" t="str">
            <v>VOC含量低于420克/升（含）的涂料</v>
          </cell>
          <cell r="F1397" t="str">
            <v>对施工状态下挥发性有机物（VOC）含量低于420克/升(含)的涂料免征消费税</v>
          </cell>
          <cell r="G1397" t="str">
            <v>化学原料及化学制品制造业</v>
          </cell>
        </row>
        <row r="1398">
          <cell r="E1398" t="str">
            <v>VOC含量高于420克/升的涂料</v>
          </cell>
          <cell r="F1398" t="str">
            <v>无说明</v>
          </cell>
          <cell r="G1398" t="str">
            <v>化学原料及化学制品制造业</v>
          </cell>
        </row>
        <row r="1399">
          <cell r="E1399" t="str">
            <v>油墨</v>
          </cell>
          <cell r="F1399" t="str">
            <v>指用于印刷的有色胶状物质；由颜料微粒均匀地分散在联结料中而成；联结料用植物油、矿物油、合成树脂和挥发性溶剂等配制；分为印刷油墨和专用油墨</v>
          </cell>
          <cell r="G1399" t="str">
            <v>化学原料及化学制品制造业</v>
          </cell>
        </row>
        <row r="1400">
          <cell r="E1400" t="str">
            <v>印刷用助剂和油</v>
          </cell>
          <cell r="F1400" t="str">
            <v>在印刷中或油墨配方中为改善油墨性能而附加的一些材料。又称辅助剂、附加剂。常用的油墨助剂有催干剂、冲淡剂、减粘剂、稀薄剂、抗氧化剂、反胶化剂、消泡剂、表面活性剂、防针孔剂、爽滑剂、增塑剂、防腐剂和香料等。</v>
          </cell>
          <cell r="G1400" t="str">
            <v>化学原料及化学制品制造业</v>
          </cell>
        </row>
        <row r="1401">
          <cell r="E1401" t="str">
            <v>无机颜料</v>
          </cell>
          <cell r="F1401" t="str">
            <v>无机颜料的化学组成为无机物，即由各种纯金属或单一元素及各种金属氧化物、金属盐（正盐、碱式盐、复盐）类等组成，不溶于水或其他介质</v>
          </cell>
          <cell r="G1401" t="str">
            <v>化学原料及化学制品制造业</v>
          </cell>
        </row>
        <row r="1402">
          <cell r="E1402" t="str">
            <v>有机颜料</v>
          </cell>
          <cell r="F1402" t="str">
            <v>指沉淀色料等有机颜料和以其为基本成分的配制品；有机颜料属于不溶性的有机化合物，一般不溶于水，也不溶于被着色物质；有机颜料常以高度分散状态加入到被着色物质中，以达到着色的目的</v>
          </cell>
          <cell r="G1402" t="str">
            <v>化学原料及化学制品制造业</v>
          </cell>
        </row>
        <row r="1403">
          <cell r="E1403" t="str">
            <v>矿物颜料</v>
          </cell>
          <cell r="F1403" t="str">
            <v>矿物颜料即是无机颜料，是无机物的一类，属于无机性质的有色颜料，它的来源主要有两类：一类是用天然矿石经选矿，粉碎，研磨，分级，精制而成，主要用于绘画，工艺品，仿古，文物修复等。无机颜料的另一个来源是有天然矿产品经过一系列化学处理加工而制成的化工合成颜料。</v>
          </cell>
          <cell r="G1403" t="str">
            <v>化学原料及化学制品制造业</v>
          </cell>
        </row>
        <row r="1404">
          <cell r="E1404" t="str">
            <v>植物性着色料</v>
          </cell>
          <cell r="F1404" t="str">
            <v>提炼自植物，耐久不退色的有色物质</v>
          </cell>
          <cell r="G1404" t="str">
            <v>化学原料及化学制品制造业</v>
          </cell>
        </row>
        <row r="1405">
          <cell r="E1405" t="str">
            <v>工业用调制颜料、遮光剂和着色剂及类似颜料</v>
          </cell>
          <cell r="F1405" t="str">
            <v>用于陶瓷、搪瓷、玻璃等工业的调制颜料、遮光剂和着色剂及其他类似颜料</v>
          </cell>
          <cell r="G1405" t="str">
            <v>化学原料及化学制品制造业</v>
          </cell>
        </row>
        <row r="1406">
          <cell r="E1406" t="str">
            <v>艺术、美工用颜料、调色料</v>
          </cell>
          <cell r="F1406" t="str">
            <v>包括艺术家、学生或美工广告用的制成色料、颜料，以及调色料、文娱颜料及类似品（水彩、树胶水彩画颜料、油涂料等），但它们必呈片状或制成管装、小罐装、瓶装、扁盒装及类似形状或包装</v>
          </cell>
          <cell r="G1406" t="str">
            <v>化学原料及化学制品制造业</v>
          </cell>
        </row>
        <row r="1407">
          <cell r="E1407" t="str">
            <v>美工塑型用膏</v>
          </cell>
          <cell r="F1407" t="str">
            <v>包括供美工、金工用以造模塑型用膏，但不包括儿童娱乐塑型用膏（详见106040806）。</v>
          </cell>
          <cell r="G1407" t="str">
            <v>化学原料及化学制品制造业</v>
          </cell>
        </row>
        <row r="1408">
          <cell r="E1408" t="str">
            <v>染料</v>
          </cell>
          <cell r="F1408" t="str">
            <v>指能将纤维或其他被染物染成各种颜色的有机化合物；染料均按最终成品、指商品化拼混后的成品染料、实物量计算产量，而不按原染料计算产量；为避免染料总计算数量重复，企业外购染料进行拼混的混合染料，一律不计算产量</v>
          </cell>
          <cell r="G1408" t="str">
            <v>化学原料及化学制品制造业</v>
          </cell>
        </row>
        <row r="1409">
          <cell r="E1409" t="str">
            <v>用作发光体有机、无机产品</v>
          </cell>
          <cell r="F1409" t="str">
            <v>指用作荧光增白剂的有机合成产品</v>
          </cell>
          <cell r="G1409" t="str">
            <v>化学原料及化学制品制造业</v>
          </cell>
        </row>
        <row r="1410">
          <cell r="E1410" t="str">
            <v>非定型密封材料</v>
          </cell>
          <cell r="F1410" t="str">
            <v>建筑防水嵌缝密封材料</v>
          </cell>
          <cell r="G1410" t="str">
            <v>化学原料及化学制品制造业</v>
          </cell>
        </row>
        <row r="1411">
          <cell r="E1411" t="str">
            <v>定形密封材料</v>
          </cell>
          <cell r="F1411" t="str">
            <v>具有一定形状和尺寸的密封材料</v>
          </cell>
          <cell r="G1411" t="str">
            <v>化学原料及化学制品制造业</v>
          </cell>
        </row>
        <row r="1412">
          <cell r="E1412" t="str">
            <v>密封用粘胶品</v>
          </cell>
          <cell r="F1412" t="str">
            <v>无说明</v>
          </cell>
          <cell r="G1412" t="str">
            <v>化学原料及化学制品制造业</v>
          </cell>
        </row>
        <row r="1413">
          <cell r="E1413" t="str">
            <v>聚对苯二甲酸乙二醇酯、PET、树脂</v>
          </cell>
          <cell r="F1413" t="str">
            <v>聚对苯二甲酸乙二醇酯化学式为-OCH2-CH2OCOC6H4CO-英文名：polyethyleneterephthalate，简称PET，为高聚合物，由对苯二甲酸乙二醇酯发生脱水缩合反应而来。</v>
          </cell>
          <cell r="G1413" t="str">
            <v>化学原料及化学制品制造业</v>
          </cell>
        </row>
        <row r="1414">
          <cell r="E1414" t="str">
            <v>其他初级形态塑料</v>
          </cell>
          <cell r="F1414" t="str">
            <v>无说明</v>
          </cell>
          <cell r="G1414" t="str">
            <v>化学原料及化学制品制造业</v>
          </cell>
        </row>
        <row r="1415">
          <cell r="E1415" t="str">
            <v>合成橡胶</v>
          </cell>
          <cell r="F1415" t="str">
            <v>是合成的高分子弹性体，又称人造橡胶；根据化学结构的不同，分为烯烃类、二烯烃类和元素有机类等；主要品种有：丁苯橡胶、丁腈橡胶、顺丁橡胶、丁基橡胶、氯丁橡胶、SBS热塑弹性体、乙丙橡胶、氯磺化聚乙烯、聚氨酯弹性体、聚硫橡胶、硅橡胶、氟橡胶等</v>
          </cell>
          <cell r="G1415" t="str">
            <v>化学原料及化学制品制造业</v>
          </cell>
        </row>
        <row r="1416">
          <cell r="E1416" t="str">
            <v>合成纤维单体</v>
          </cell>
          <cell r="F1416" t="str">
            <v>一部分可直接生产合成纤维，一部分要聚合后生产合成纤维；主要有：己内酰胺、丙烯腈、精对苯二甲酸、PTA、对苯二甲酸二甲酯、DMT、纤维级聚丙烯、尼龙66盐、乙二醇等</v>
          </cell>
          <cell r="G1416" t="str">
            <v>化学原料及化学制品制造业</v>
          </cell>
        </row>
        <row r="1417">
          <cell r="E1417" t="str">
            <v>合成纤维聚合物</v>
          </cell>
          <cell r="F1417" t="str">
            <v>包括聚酯、半消光涤纶切片、聚乙烯醇、聚酰胺等</v>
          </cell>
          <cell r="G1417" t="str">
            <v>化学原料及化学制品制造业</v>
          </cell>
        </row>
        <row r="1418">
          <cell r="E1418" t="str">
            <v>离子交换树脂</v>
          </cell>
          <cell r="F1418" t="str">
            <v>即离子交换剂</v>
          </cell>
          <cell r="G1418" t="str">
            <v>化学原料及化学制品制造业</v>
          </cell>
        </row>
        <row r="1419">
          <cell r="E1419" t="str">
            <v>油脂类高分子聚合物</v>
          </cell>
          <cell r="F1419" t="str">
            <v>包括硅油和硅脂</v>
          </cell>
          <cell r="G1419" t="str">
            <v>化学原料及化学制品制造业</v>
          </cell>
        </row>
        <row r="1420">
          <cell r="E1420" t="str">
            <v>调制粘合剂</v>
          </cell>
          <cell r="F1420" t="str">
            <v>包括调制胶及其他调制粘合剂</v>
          </cell>
          <cell r="G1420" t="str">
            <v>化学原料及化学制品制造业</v>
          </cell>
        </row>
        <row r="1421">
          <cell r="E1421" t="str">
            <v>功能高分子材料</v>
          </cell>
          <cell r="F1421" t="str">
            <v>功能高分子材料一般指具有传递、转换或贮存物质、能量和信息作用的高分子及其复合材料，或具体地指在原有力学性能的基础上，还具有化学反应活性、光敏性、导电性、催化性、生物相容性、药理性、选择分离性、能量转换性、磁性等功能的高分子及其复合材料。</v>
          </cell>
          <cell r="G1421" t="str">
            <v>化学原料及化学制品制造业</v>
          </cell>
        </row>
        <row r="1422">
          <cell r="E1422" t="str">
            <v>其他橡胶</v>
          </cell>
          <cell r="F1422" t="str">
            <v>包括复合橡胶等</v>
          </cell>
          <cell r="G1422" t="str">
            <v>化学原料及化学制品制造业</v>
          </cell>
        </row>
        <row r="1423">
          <cell r="E1423" t="str">
            <v>化学试剂</v>
          </cell>
          <cell r="F1423" t="str">
            <v>指化学分析中为测定物质的成分或组成而使用的纯粹化学药品；化学试剂包括：通用试剂、高纯试剂及高纯物质、分析试剂、仪器分析用试剂及制品、生化试剂、临床诊断检查用试剂、稳定性同位素及其标记化合物、高纯气体、新兴工业用特种化学品、有机合成研究用试剂及其他化学试剂</v>
          </cell>
          <cell r="G1423" t="str">
            <v>化学原料及化学制品制造业</v>
          </cell>
        </row>
        <row r="1424">
          <cell r="E1424" t="str">
            <v>催化剂</v>
          </cell>
          <cell r="F1424" t="str">
            <v>指化学反应中能改变反应速度，而本身的组成和重量在反应后保持不变的物质；催化剂中包括石油精制催化剂、石油化工用催化剂、无机化工用催化剂、硫酸用、合成氨用、有机化工催化剂及防治公害用催化剂</v>
          </cell>
          <cell r="G1424" t="str">
            <v>化学原料及化学制品制造业</v>
          </cell>
        </row>
        <row r="1425">
          <cell r="E1425" t="str">
            <v>橡胶助剂</v>
          </cell>
          <cell r="F1425" t="str">
            <v>为提高橡胶制品的耐磨性、弹性，使其经久耐用、不老化；橡胶制品在加工过程中，需要加入各种助剂；橡胶助剂主要有橡胶促进剂、防老剂、防焦剂及增粘剂等</v>
          </cell>
          <cell r="G1425" t="str">
            <v>化学原料及化学制品制造业</v>
          </cell>
        </row>
        <row r="1426">
          <cell r="E1426" t="str">
            <v>塑料助剂</v>
          </cell>
          <cell r="F1426" t="str">
            <v>在塑料生产和加工过程中必须使用的助剂，以利充分发挥塑料的优良性能并便于加工成型；主要的助剂有：增塑剂、热稳定剂、抗紫外线剂、抗氧化剂、阻燃剂、发泡剂、固化剂、补强剂和填充剂、润滑剂等</v>
          </cell>
          <cell r="G1426" t="str">
            <v>化学原料及化学制品制造业</v>
          </cell>
        </row>
        <row r="1427">
          <cell r="E1427" t="str">
            <v>农药乳化剂</v>
          </cell>
          <cell r="F1427" t="str">
            <v>乳化剂是能够改善乳浊液中各种构成相之间的表面张力，使之形成均匀稳定的分散体系或乳浊液的物质。农药乳化剂就是是用于农药的乳化剂。</v>
          </cell>
          <cell r="G1427" t="str">
            <v>化学原料及化学制品制造业</v>
          </cell>
        </row>
        <row r="1428">
          <cell r="E1428" t="str">
            <v>纺织工业用整理剂、助剂</v>
          </cell>
          <cell r="F1428" t="str">
            <v>包括纺织及类似工业用整理剂、助剂；纺织工业用整理剂，由醚化脲醛、醚化氰醛、醚化糠醛符合制得</v>
          </cell>
          <cell r="G1428" t="str">
            <v>化学原料及化学制品制造业</v>
          </cell>
        </row>
        <row r="1429">
          <cell r="E1429" t="str">
            <v>造纸工业用整理剂、助剂</v>
          </cell>
          <cell r="F1429" t="str">
            <v>包括造纸及类似工业用整理剂、助剂</v>
          </cell>
          <cell r="G1429" t="str">
            <v>化学原料及化学制品制造业</v>
          </cell>
        </row>
        <row r="1430">
          <cell r="E1430" t="str">
            <v>制革工业用整理剂、助剂</v>
          </cell>
          <cell r="F1430" t="str">
            <v>包括制革及类似工业用整理剂、助剂</v>
          </cell>
          <cell r="G1430" t="str">
            <v>化学原料及化学制品制造业</v>
          </cell>
        </row>
        <row r="1431">
          <cell r="E1431" t="str">
            <v>润滑剂及类似制品</v>
          </cell>
          <cell r="F1431" t="str">
            <v>包括润滑剂及纺织材料、皮革等材料的油脂处理剂</v>
          </cell>
          <cell r="G1431" t="str">
            <v>化学原料及化学制品制造业</v>
          </cell>
        </row>
        <row r="1432">
          <cell r="E1432" t="str">
            <v>钻井用助剂</v>
          </cell>
          <cell r="F1432" t="str">
            <v>无说明</v>
          </cell>
          <cell r="G1432" t="str">
            <v>化学原料及化学制品制造业</v>
          </cell>
        </row>
        <row r="1433">
          <cell r="E1433" t="str">
            <v>建工建材用化学助剂</v>
          </cell>
          <cell r="F1433" t="str">
            <v>包括建筑防水剂、水泥、灰泥及混凝土用添加剂、建工建材用交联剂、快速堵漏剂</v>
          </cell>
          <cell r="G1433" t="str">
            <v>化学原料及化学制品制造业</v>
          </cell>
        </row>
        <row r="1434">
          <cell r="E1434" t="str">
            <v>生物化学制剂</v>
          </cell>
          <cell r="F1434" t="str">
            <v>包括黄腐酸制剂和其他生物化学制剂</v>
          </cell>
          <cell r="G1434" t="str">
            <v>化学原料及化学制品制造业</v>
          </cell>
        </row>
        <row r="1435">
          <cell r="E1435" t="str">
            <v>炭黑</v>
          </cell>
          <cell r="F1435" t="str">
            <v>又称炉黑，包括天然气槽法炭黑、天然气半补强炭黑、混气碳黑；是轻松而极细的无定形炭粉末；是由有机物质经不完全燃烧或经热分解而成的不纯产品；广泛用作橡胶的补强剂；炭黑种类很多；可作黑色颜料，用于中国墨、油墨、油漆等工业</v>
          </cell>
          <cell r="G1435" t="str">
            <v>化学原料及化学制品制造业</v>
          </cell>
        </row>
        <row r="1436">
          <cell r="E1436" t="str">
            <v>增炭剂</v>
          </cell>
          <cell r="F1436" t="str">
            <v>以石墨化焦、电极石黑碎、煅后石油焦、煤焦为基本原料，通过选料，电炉煅烧、烘干、破碎、整料、筛分、包装等一整套工艺过程，生产出各种品质和粒级的增炭剂</v>
          </cell>
          <cell r="G1436" t="str">
            <v>化学原料及化学制品制造业</v>
          </cell>
        </row>
        <row r="1437">
          <cell r="E1437" t="str">
            <v>脱硫剂</v>
          </cell>
          <cell r="F1437" t="str">
            <v>一般指脱除燃料、原料或其他物料中的游离硫或硫化合物的药剂；在污染物的控制和处理中主要指能去除废气中硫氧化物（包括SO2和SO3）所用的药剂。</v>
          </cell>
          <cell r="G1437" t="str">
            <v>化学原料及化学制品制造业</v>
          </cell>
        </row>
        <row r="1438">
          <cell r="E1438" t="str">
            <v>石墨增碳剂</v>
          </cell>
          <cell r="F1438" t="str">
            <v>无说明</v>
          </cell>
          <cell r="G1438" t="str">
            <v>化学原料及化学制品制造业</v>
          </cell>
        </row>
        <row r="1439">
          <cell r="E1439" t="str">
            <v>油田用化学制剂</v>
          </cell>
          <cell r="F1439" t="str">
            <v>供油田使用的化学制剂</v>
          </cell>
          <cell r="G1439" t="str">
            <v>化学原料及化学制品制造业</v>
          </cell>
        </row>
        <row r="1440">
          <cell r="E1440" t="str">
            <v>矿物油用配制添加剂</v>
          </cell>
          <cell r="F1440" t="str">
            <v>供矿物油等同样用途液体的配制添加剂</v>
          </cell>
          <cell r="G1440" t="str">
            <v>化学原料及化学制品制造业</v>
          </cell>
        </row>
        <row r="1441">
          <cell r="E1441" t="str">
            <v>鞣料及鞣料制剂</v>
          </cell>
          <cell r="F1441" t="str">
            <v>包括有机合成鞣料、无机鞣料及鞣料制剂</v>
          </cell>
          <cell r="G1441" t="str">
            <v>化学原料及化学制品制造业</v>
          </cell>
        </row>
        <row r="1442">
          <cell r="E1442" t="str">
            <v>酶及酶制品</v>
          </cell>
          <cell r="F1442" t="str">
            <v>酶是由活细胞合成的，对特异底物起高效催化作用的蛋白质，是机体内催化各种代谢反应的最主要的催化剂。</v>
          </cell>
          <cell r="G1442" t="str">
            <v>化学原料及化学制品制造业</v>
          </cell>
        </row>
        <row r="1443">
          <cell r="E1443" t="str">
            <v>化学陶瓷</v>
          </cell>
          <cell r="F1443" t="str">
            <v>包括氧化物陶瓷、碳化物陶、瓷氮化物陶瓷、氟化物陶瓷和其他化学陶瓷</v>
          </cell>
          <cell r="G1443" t="str">
            <v>化学原料及化学制品制造业</v>
          </cell>
        </row>
        <row r="1444">
          <cell r="E1444" t="str">
            <v>特种纤维及高功能化工产品</v>
          </cell>
          <cell r="F1444" t="str">
            <v>包括碳纤维增强复合材料、硼纤维增强复合材料、碳化硅纤维增强复合材料、氧化铝纤维增强复合材料。</v>
          </cell>
          <cell r="G1444" t="str">
            <v>化学原料及化学制品制造业</v>
          </cell>
        </row>
        <row r="1445">
          <cell r="E1445" t="str">
            <v>金属表面处理剂</v>
          </cell>
          <cell r="F1445" t="str">
            <v>金属表面处理剂指对金属表面进行各种处理的化学药剂的总称。主要包括清洗剂、防锈剂、磷化液三大类。</v>
          </cell>
          <cell r="G1445" t="str">
            <v>化学原料及化学制品制造业</v>
          </cell>
        </row>
        <row r="1446">
          <cell r="E1446" t="str">
            <v>工业用脂肪醇</v>
          </cell>
          <cell r="F1446" t="str">
            <v>无说明</v>
          </cell>
          <cell r="G1446" t="str">
            <v>化学原料及化学制品制造业</v>
          </cell>
        </row>
        <row r="1447">
          <cell r="E1447" t="str">
            <v>工业用脂肪酸</v>
          </cell>
          <cell r="F1447" t="str">
            <v>无说明</v>
          </cell>
          <cell r="G1447" t="str">
            <v>化学原料及化学制品制造业</v>
          </cell>
        </row>
        <row r="1448">
          <cell r="E1448" t="str">
            <v>工业用脂肪胺</v>
          </cell>
          <cell r="F1448" t="str">
            <v>无说明</v>
          </cell>
          <cell r="G1448" t="str">
            <v>化学原料及化学制品制造业</v>
          </cell>
        </row>
        <row r="1449">
          <cell r="E1449" t="str">
            <v>工业级混合油</v>
          </cell>
          <cell r="F1449" t="str">
            <v>餐饮业和食品业用后的植物油与动物油的混合物，经脱水、去渣、降酸、脱色、去味处理，只被用于工业化生产，如用于生产生物柴油（脂肪酸甲酯）、油酸、环氧甲酯、甘油、植物沥青、增塑剂等；</v>
          </cell>
          <cell r="G1449" t="str">
            <v>化学原料及化学制品制造业</v>
          </cell>
        </row>
        <row r="1450">
          <cell r="E1450" t="str">
            <v>脂肪酸甲酯</v>
          </cell>
          <cell r="F1450" t="str">
            <v>脂肪酸甲酯为黄色澄清透明液体（精馏后为无色），具有一种温和的、特有的气味，结构稳定，没有腐蚀性。脂肪酸甲酯是用途广泛的表面活性剂(SAA)的原料。</v>
          </cell>
          <cell r="G1450" t="str">
            <v>化学原料及化学制品制造业</v>
          </cell>
        </row>
        <row r="1451">
          <cell r="E1451" t="str">
            <v>其他专项化学用品</v>
          </cell>
          <cell r="F1451" t="str">
            <v>无说明</v>
          </cell>
          <cell r="G1451" t="str">
            <v>化学原料及化学制品制造业</v>
          </cell>
        </row>
        <row r="1452">
          <cell r="E1452" t="str">
            <v>松节油类产品</v>
          </cell>
          <cell r="F1452" t="str">
            <v>指利用松节油制成的相关产品</v>
          </cell>
          <cell r="G1452" t="str">
            <v>化学原料及化学制品制造业</v>
          </cell>
        </row>
        <row r="1453">
          <cell r="E1453" t="str">
            <v>松香类产品</v>
          </cell>
          <cell r="F1453" t="str">
            <v>指利用松香制成的相关产品</v>
          </cell>
          <cell r="G1453" t="str">
            <v>化学原料及化学制品制造业</v>
          </cell>
        </row>
        <row r="1454">
          <cell r="E1454" t="str">
            <v>栲胶</v>
          </cell>
          <cell r="F1454" t="str">
            <v>包括落叶松栲胶、桕梅栲胶、油柑栲胶、黑荆树栲胶、槲树栲胶、红根栲胶、木麻黄栲胶、橡碗栲胶、化香果栲胶、混合栲胶</v>
          </cell>
          <cell r="G1454" t="str">
            <v>化学原料及化学制品制造业</v>
          </cell>
        </row>
        <row r="1455">
          <cell r="E1455" t="str">
            <v>樟脑</v>
          </cell>
          <cell r="F1455" t="str">
            <v>樟脑为樟科植物樟的枝、干、叶及根部，经提炼制得的颗粒状结晶，包括天然樟脑和合成樟脑</v>
          </cell>
          <cell r="G1455" t="str">
            <v>化学原料及化学制品制造业</v>
          </cell>
        </row>
        <row r="1456">
          <cell r="E1456" t="str">
            <v>冰片（龙脑）</v>
          </cell>
          <cell r="F1456" t="str">
            <v>是由菊科艾纳香茎叶或樟科植物龙脑樟枝叶经水蒸汽蒸馏并重结晶而得。包括天然冰片和合成冰片。</v>
          </cell>
          <cell r="G1456" t="str">
            <v>化学原料及化学制品制造业</v>
          </cell>
        </row>
        <row r="1457">
          <cell r="E1457" t="str">
            <v>五倍子单宁产品</v>
          </cell>
          <cell r="F1457" t="str">
            <v>无说明</v>
          </cell>
          <cell r="G1457" t="str">
            <v>化学原料及化学制品制造业</v>
          </cell>
        </row>
        <row r="1458">
          <cell r="E1458" t="str">
            <v>紫胶类产品</v>
          </cell>
          <cell r="F1458" t="str">
            <v>利用紫胶制成的相关产品</v>
          </cell>
          <cell r="G1458" t="str">
            <v>化学原料及化学制品制造业</v>
          </cell>
        </row>
        <row r="1459">
          <cell r="E1459" t="str">
            <v>木材热解、水解产品</v>
          </cell>
          <cell r="F1459" t="str">
            <v>利用热解、水解的化学方法将树木组织或造材剩余物加工而成的非木材的其他林、副产品</v>
          </cell>
          <cell r="G1459" t="str">
            <v>化学原料及化学制品制造业</v>
          </cell>
        </row>
        <row r="1460">
          <cell r="E1460" t="str">
            <v>竹材热解产品</v>
          </cell>
          <cell r="F1460" t="str">
            <v>利用热解的方法将竹材组织或造材剩余物加工而成的非竹材的其他林、副产品</v>
          </cell>
          <cell r="G1460" t="str">
            <v>化学原料及化学制品制造业</v>
          </cell>
        </row>
        <row r="1461">
          <cell r="E1461" t="str">
            <v>林产色素（紫胶红色素）</v>
          </cell>
          <cell r="F1461" t="str">
            <v>从豆科、桑科植物上的紫胶虫（Laccifelacca）的雌虫所分泌的树脂状物质紫胶，用稀碳酸钠水溶液萃取、精制而得。</v>
          </cell>
          <cell r="G1461" t="str">
            <v>化学原料及化学制品制造业</v>
          </cell>
        </row>
        <row r="1462">
          <cell r="E1462" t="str">
            <v>林产蜡（虫白蜡）</v>
          </cell>
          <cell r="F1462" t="str">
            <v>中药名。为介壳虫科昆虫白蜡虫的雄虫群栖于木犀科植物白蜡树、女贞或女贞属他种植物枝干上分泌的蜡，经精制而成。常作为赋形剂，制丸、片的润滑剂。</v>
          </cell>
          <cell r="G1462" t="str">
            <v>化学原料及化学制品制造业</v>
          </cell>
        </row>
        <row r="1463">
          <cell r="E1463" t="str">
            <v>桃胶粉</v>
          </cell>
          <cell r="F1463" t="str">
            <v>桃胶粉是一种无外来可见杂质、白色或乳黄色粉末的添加剂。</v>
          </cell>
          <cell r="G1463" t="str">
            <v>化学原料及化学制品制造业</v>
          </cell>
        </row>
        <row r="1464">
          <cell r="E1464" t="str">
            <v>糠醛</v>
          </cell>
          <cell r="F1464" t="str">
            <v>无说明</v>
          </cell>
          <cell r="G1464" t="str">
            <v>化学原料及化学制品制造业</v>
          </cell>
        </row>
        <row r="1465">
          <cell r="E1465" t="str">
            <v>阿拉伯糖</v>
          </cell>
          <cell r="F1465" t="str">
            <v>无说明</v>
          </cell>
          <cell r="G1465" t="str">
            <v>化学原料及化学制品制造业</v>
          </cell>
        </row>
        <row r="1466">
          <cell r="E1466" t="str">
            <v>木质素</v>
          </cell>
          <cell r="F1466" t="str">
            <v>无说明</v>
          </cell>
          <cell r="G1466" t="str">
            <v>化学原料及化学制品制造业</v>
          </cell>
        </row>
        <row r="1467">
          <cell r="E1467" t="str">
            <v>纤维素</v>
          </cell>
          <cell r="F1467" t="str">
            <v>无说明</v>
          </cell>
          <cell r="G1467" t="str">
            <v>化学原料及化学制品制造业</v>
          </cell>
        </row>
        <row r="1468">
          <cell r="E1468" t="str">
            <v>其他林产化学产品</v>
          </cell>
          <cell r="F1468" t="str">
            <v>无说明</v>
          </cell>
          <cell r="G1468" t="str">
            <v>化学原料及化学制品制造业</v>
          </cell>
        </row>
        <row r="1469">
          <cell r="E1469" t="str">
            <v>发射药</v>
          </cell>
          <cell r="F1469" t="str">
            <v>指装在枪炮弹膛内用以发射弹丸的火药。</v>
          </cell>
          <cell r="G1469" t="str">
            <v>化学原料及化学制品制造业</v>
          </cell>
        </row>
        <row r="1470">
          <cell r="E1470" t="str">
            <v>炸药</v>
          </cell>
          <cell r="F1470" t="str">
            <v>指配制炸药，不包括发射药（详见107021701）。</v>
          </cell>
          <cell r="G1470" t="str">
            <v>化学原料及化学制品制造业</v>
          </cell>
        </row>
        <row r="1471">
          <cell r="E1471" t="str">
            <v>火工产品</v>
          </cell>
          <cell r="F1471" t="str">
            <v>指装有火药或炸药，受外界刺激后产生燃烧或爆炸，以引燃火药、引爆炸药或做机械功的一次性使用的元器件和装置的总称。</v>
          </cell>
          <cell r="G1471" t="str">
            <v>化学原料及化学制品制造业</v>
          </cell>
        </row>
        <row r="1472">
          <cell r="E1472" t="str">
            <v>爆破器材</v>
          </cell>
          <cell r="F1472" t="str">
            <v>用于爆破的炸药、火具、爆破器、核爆破装置、起爆器、导电线和检测仪表等的统称。包括地震勘探用爆破器材</v>
          </cell>
          <cell r="G1472" t="str">
            <v>化学原料及化学制品制造业</v>
          </cell>
        </row>
        <row r="1473">
          <cell r="E1473" t="str">
            <v>烟火制品</v>
          </cell>
          <cell r="F1473" t="str">
            <v>指供娱乐或其他用途的含有通过放热化学反应产生热、光、声、气或烟雾的物质或物质混合物的任何物品。</v>
          </cell>
          <cell r="G1473" t="str">
            <v>化学原料及化学制品制造业</v>
          </cell>
        </row>
        <row r="1474">
          <cell r="E1474" t="str">
            <v>烟花</v>
          </cell>
          <cell r="F1474" t="str">
            <v>又名焰火</v>
          </cell>
          <cell r="G1474" t="str">
            <v>化学原料及化学制品制造业</v>
          </cell>
        </row>
        <row r="1475">
          <cell r="E1475" t="str">
            <v>爆竹</v>
          </cell>
          <cell r="F1475" t="str">
            <v>又名鞭炮</v>
          </cell>
          <cell r="G1475" t="str">
            <v>化学原料及化学制品制造业</v>
          </cell>
        </row>
        <row r="1476">
          <cell r="E1476" t="str">
            <v>感光胶片</v>
          </cell>
          <cell r="F1476" t="str">
            <v>指银盐感光胶片，也叫菲林。由PC/PP/PET/PVC料制作而成。现在一般是指胶卷,也可以指印刷制版中的底片。</v>
          </cell>
          <cell r="G1476" t="str">
            <v>化学原料及化学制品制造业</v>
          </cell>
        </row>
        <row r="1477">
          <cell r="E1477" t="str">
            <v>摄影感光纸、纸板及纺织物</v>
          </cell>
          <cell r="F1477" t="str">
            <v>指摄影感光纸及传真纸、照排纸、示波记录纸和其他工业技术用的感光纸。</v>
          </cell>
          <cell r="G1477" t="str">
            <v>化学原料及化学制品制造业</v>
          </cell>
        </row>
        <row r="1478">
          <cell r="E1478" t="str">
            <v>片基</v>
          </cell>
          <cell r="F1478" t="str">
            <v>感光胶片的支持体，是一种具有透明、柔软特性和一定机械强度的塑料薄膜</v>
          </cell>
          <cell r="G1478" t="str">
            <v>化学原料及化学制品制造业</v>
          </cell>
        </row>
        <row r="1479">
          <cell r="E1479" t="str">
            <v>摄影、复印用化学制剂</v>
          </cell>
          <cell r="F1479" t="str">
            <v>用于摄影、复印的化学制剂</v>
          </cell>
          <cell r="G1479" t="str">
            <v>化学原料及化学制品制造业</v>
          </cell>
        </row>
        <row r="1480">
          <cell r="E1480" t="str">
            <v>空白磁带</v>
          </cell>
          <cell r="F1480" t="str">
            <v>磁带包括录音磁带和录像磁带；折算方法：磁带（折6.3mm）产量=产品实际宽度（mm）／6.3（mm）×产品实际长度</v>
          </cell>
          <cell r="G1480" t="str">
            <v>化学原料及化学制品制造业</v>
          </cell>
        </row>
        <row r="1481">
          <cell r="E1481" t="str">
            <v>空白磁盘</v>
          </cell>
          <cell r="F1481" t="str">
            <v>一种类似磁带装置的计算机的外部存储器</v>
          </cell>
          <cell r="G1481" t="str">
            <v>化学原料及化学制品制造业</v>
          </cell>
        </row>
        <row r="1482">
          <cell r="E1482" t="str">
            <v>空盘</v>
          </cell>
          <cell r="F1482" t="str">
            <v>指空白的信息存储材料</v>
          </cell>
          <cell r="G1482" t="str">
            <v>化学原料及化学制品制造业</v>
          </cell>
        </row>
        <row r="1483">
          <cell r="E1483" t="str">
            <v>未灌（录）制相关媒体</v>
          </cell>
          <cell r="F1483" t="str">
            <v>包括磁片、磁条、金属条、蜡盘等</v>
          </cell>
          <cell r="G1483" t="str">
            <v>化学原料及化学制品制造业</v>
          </cell>
        </row>
        <row r="1484">
          <cell r="E1484" t="str">
            <v>电子半导体材料</v>
          </cell>
          <cell r="F1484" t="str">
            <v>经掺杂用于电子工业的已切片化学元素等</v>
          </cell>
          <cell r="G1484" t="str">
            <v>化学原料及化学制品制造业</v>
          </cell>
        </row>
        <row r="1485">
          <cell r="E1485" t="str">
            <v>其他信息化学品</v>
          </cell>
          <cell r="F1485" t="str">
            <v>无说明</v>
          </cell>
          <cell r="G1485" t="str">
            <v>化学原料及化学制品制造业</v>
          </cell>
        </row>
        <row r="1486">
          <cell r="E1486" t="str">
            <v>水处理剂</v>
          </cell>
          <cell r="F1486" t="str">
            <v>指自来水净化过程中所用水处理剂。</v>
          </cell>
          <cell r="G1486" t="str">
            <v>化学原料及化学制品制造业</v>
          </cell>
        </row>
        <row r="1487">
          <cell r="E1487" t="str">
            <v>污水处理化学药剂</v>
          </cell>
          <cell r="F1487" t="str">
            <v>指污水处理过程需要使用的化学药剂。</v>
          </cell>
          <cell r="G1487" t="str">
            <v>化学原料及化学制品制造业</v>
          </cell>
        </row>
        <row r="1488">
          <cell r="E1488" t="str">
            <v>污水处理生物药剂</v>
          </cell>
          <cell r="F1488" t="str">
            <v>指污水处理过程需要使用的生物药剂。</v>
          </cell>
          <cell r="G1488" t="str">
            <v>化学原料及化学制品制造业</v>
          </cell>
        </row>
        <row r="1489">
          <cell r="E1489" t="str">
            <v>污水处理材料</v>
          </cell>
          <cell r="F1489" t="str">
            <v>指污水处理过程需要使用的材料。</v>
          </cell>
          <cell r="G1489" t="str">
            <v>化学原料及化学制品制造业</v>
          </cell>
        </row>
        <row r="1490">
          <cell r="E1490" t="str">
            <v>空气污染治理材料</v>
          </cell>
          <cell r="F1490" t="str">
            <v>指空气污染治理过程需要使用的材料。</v>
          </cell>
          <cell r="G1490" t="str">
            <v>化学原料及化学制品制造业</v>
          </cell>
        </row>
        <row r="1491">
          <cell r="E1491" t="str">
            <v>动物炭黑</v>
          </cell>
          <cell r="F1491" t="str">
            <v>动物尸体燃烧后剩下的产物炭黑</v>
          </cell>
          <cell r="G1491" t="str">
            <v>化学原料及化学制品制造业</v>
          </cell>
        </row>
        <row r="1492">
          <cell r="E1492" t="str">
            <v>动物胶</v>
          </cell>
          <cell r="F1492" t="str">
            <v>指以动物的皮、骨或筋等为原料，将其中所含的胶原经过部分水解、萃取和干燥制成的蛋白质固形物。</v>
          </cell>
          <cell r="G1492" t="str">
            <v>化学原料及化学制品制造业</v>
          </cell>
        </row>
        <row r="1493">
          <cell r="E1493" t="str">
            <v>明胶衍生物</v>
          </cell>
          <cell r="F1493" t="str">
            <v>无说明</v>
          </cell>
          <cell r="G1493" t="str">
            <v>化学原料及化学制品制造业</v>
          </cell>
        </row>
        <row r="1494">
          <cell r="E1494" t="str">
            <v>金属材料制焊料</v>
          </cell>
          <cell r="F1494" t="str">
            <v>指用于填加到焊缝、堆焊层和钎缝中的金属合金材料的总称</v>
          </cell>
          <cell r="G1494" t="str">
            <v>化学原料及化学制品制造业</v>
          </cell>
        </row>
        <row r="1495">
          <cell r="E1495" t="str">
            <v>焊接辅助剂</v>
          </cell>
          <cell r="F1495" t="str">
            <v>无说明</v>
          </cell>
          <cell r="G1495" t="str">
            <v>化学原料及化学制品制造业</v>
          </cell>
        </row>
        <row r="1496">
          <cell r="E1496" t="str">
            <v>肥（香）皂</v>
          </cell>
          <cell r="F1496" t="str">
            <v>包括各种形状、类型、功能，以脂肪酸钠盐为主体成分的皂类洗涤用品</v>
          </cell>
          <cell r="G1496" t="str">
            <v>化学原料及化学制品制造业</v>
          </cell>
        </row>
        <row r="1497">
          <cell r="E1497" t="str">
            <v>合成洗涤剂</v>
          </cell>
          <cell r="F1497" t="str">
            <v>以表面活性剂为主体，配制、成型的粉状、膏状、液体状产品；供家庭、工业及公共设施用清洁洗涤剂</v>
          </cell>
          <cell r="G1497" t="str">
            <v>化学原料及化学制品制造业</v>
          </cell>
        </row>
        <row r="1498">
          <cell r="E1498" t="str">
            <v>表面活性剂</v>
          </cell>
          <cell r="F1498" t="str">
            <v>有机合成的化学品，具有润湿、渗透、乳化、分散作用，系合成洗涤剂的主体成分</v>
          </cell>
          <cell r="G1498" t="str">
            <v>化学原料及化学制品制造业</v>
          </cell>
        </row>
        <row r="1499">
          <cell r="E1499" t="str">
            <v>清洁类化妆品</v>
          </cell>
          <cell r="F1499" t="str">
            <v>指个人清洁护理用品</v>
          </cell>
          <cell r="G1499" t="str">
            <v>化学原料及化学制品制造业</v>
          </cell>
        </row>
        <row r="1500">
          <cell r="E1500" t="str">
            <v>护肤用化妆品</v>
          </cell>
          <cell r="F1500" t="str">
            <v>指个人护肤护理用品</v>
          </cell>
          <cell r="G1500" t="str">
            <v>化学原料及化学制品制造业</v>
          </cell>
        </row>
        <row r="1501">
          <cell r="E1501" t="str">
            <v>护发用化妆品</v>
          </cell>
          <cell r="F1501" t="str">
            <v>指个人护发护理用品</v>
          </cell>
          <cell r="G1501" t="str">
            <v>化学原料及化学制品制造业</v>
          </cell>
        </row>
        <row r="1502">
          <cell r="E1502" t="str">
            <v>美容、修饰类化妆品</v>
          </cell>
          <cell r="F1502" t="str">
            <v>包括口红、唇膏、唇彩、唇线笔及其他唇用化妆品，香水及其他美容、修饰类化妆品</v>
          </cell>
          <cell r="G1502" t="str">
            <v>化学原料及化学制品制造业</v>
          </cell>
        </row>
        <row r="1503">
          <cell r="E1503" t="str">
            <v>高档护肤类化妆品</v>
          </cell>
          <cell r="F1503" t="str">
            <v>指生产（进口）环节销售（完税）价格（不含增值税）在10元/毫升（克）或15元/片（张）及以上的个人护肤护理用品。</v>
          </cell>
          <cell r="G1503" t="str">
            <v>化学原料及化学制品制造业</v>
          </cell>
        </row>
        <row r="1504">
          <cell r="E1504" t="str">
            <v>高档美容、修饰类化妆品</v>
          </cell>
          <cell r="F1504" t="str">
            <v>指生产（进口）环节销售（完税）价格（不含增值税）在10元/毫升（克）或15元/片（张）及以上的美容、修饰类化妆品。包括口红、唇膏、唇彩、唇线笔及其他唇用化妆品，香水及其他美容、修饰类化妆品</v>
          </cell>
          <cell r="G1504" t="str">
            <v>化学原料及化学制品制造业</v>
          </cell>
        </row>
        <row r="1505">
          <cell r="E1505" t="str">
            <v>牙膏、漱口液</v>
          </cell>
          <cell r="F1505" t="str">
            <v>无说明</v>
          </cell>
          <cell r="G1505" t="str">
            <v>化学原料及化学制品制造业</v>
          </cell>
        </row>
        <row r="1506">
          <cell r="E1506" t="str">
            <v>其他口腔清洁护理用品</v>
          </cell>
          <cell r="F1506" t="str">
            <v>无说明</v>
          </cell>
          <cell r="G1506" t="str">
            <v>化学原料及化学制品制造业</v>
          </cell>
        </row>
        <row r="1507">
          <cell r="E1507" t="str">
            <v>香料</v>
          </cell>
          <cell r="F1507" t="str">
            <v>含天然及合成，指具有香气和（或）香味的、用于调配各类香精的香原料；包括天然香料、生物技术香料和合成香料产品</v>
          </cell>
          <cell r="G1507" t="str">
            <v>化学原料及化学制品制造业</v>
          </cell>
        </row>
        <row r="1508">
          <cell r="E1508" t="str">
            <v>食品用香精</v>
          </cell>
          <cell r="F1508" t="str">
            <v>指用在各种饮料、冷饮品、糖果、饼干、调味品等加香产品中的香精</v>
          </cell>
          <cell r="G1508" t="str">
            <v>化学原料及化学制品制造业</v>
          </cell>
        </row>
        <row r="1509">
          <cell r="E1509" t="str">
            <v>酒用香精</v>
          </cell>
          <cell r="F1509" t="str">
            <v>指用在各类加香酒产品中的香精</v>
          </cell>
          <cell r="G1509" t="str">
            <v>化学原料及化学制品制造业</v>
          </cell>
        </row>
        <row r="1510">
          <cell r="E1510" t="str">
            <v>烟用香精</v>
          </cell>
          <cell r="F1510" t="str">
            <v>指用在各种烟草制品中的香精</v>
          </cell>
          <cell r="G1510" t="str">
            <v>化学原料及化学制品制造业</v>
          </cell>
        </row>
        <row r="1511">
          <cell r="E1511" t="str">
            <v>日用香精</v>
          </cell>
          <cell r="F1511" t="str">
            <v>指用在各种日用产品中的香精</v>
          </cell>
          <cell r="G1511" t="str">
            <v>化学原料及化学制品制造业</v>
          </cell>
        </row>
        <row r="1512">
          <cell r="E1512" t="str">
            <v>饲料用香精</v>
          </cell>
          <cell r="F1512" t="str">
            <v>指用在各种饲料中的香精</v>
          </cell>
          <cell r="G1512" t="str">
            <v>化学原料及化学制品制造业</v>
          </cell>
        </row>
        <row r="1513">
          <cell r="E1513" t="str">
            <v>其他工业用香精</v>
          </cell>
          <cell r="F1513" t="str">
            <v>指用在其他各类工业产品中的香精</v>
          </cell>
          <cell r="G1513" t="str">
            <v>化学原料及化学制品制造业</v>
          </cell>
        </row>
        <row r="1514">
          <cell r="E1514" t="str">
            <v>室内散香或除臭制品</v>
          </cell>
          <cell r="F1514" t="str">
            <v>指使室内产生香气或除去异味的制品</v>
          </cell>
          <cell r="G1514" t="str">
            <v>化学原料及化学制品制造业</v>
          </cell>
        </row>
        <row r="1515">
          <cell r="E1515" t="str">
            <v>光洁用品</v>
          </cell>
          <cell r="F1515" t="str">
            <v>指使物体表面产生光亮的用品，主要是上光剂等类似品</v>
          </cell>
          <cell r="G1515" t="str">
            <v>化学原料及化学制品制造业</v>
          </cell>
        </row>
        <row r="1516">
          <cell r="E1516" t="str">
            <v>擦洗膏、去污粉及类似制品</v>
          </cell>
          <cell r="F1516" t="str">
            <v>指家庭日常清洁用品及类似制品</v>
          </cell>
          <cell r="G1516" t="str">
            <v>化学原料及化学制品制造业</v>
          </cell>
        </row>
        <row r="1517">
          <cell r="E1517" t="str">
            <v>动物用化妆盥洗品</v>
          </cell>
          <cell r="F1517" t="str">
            <v>指用于动物化妆盥洗的制品</v>
          </cell>
          <cell r="G1517" t="str">
            <v>化学原料及化学制品制造业</v>
          </cell>
        </row>
        <row r="1518">
          <cell r="E1518" t="str">
            <v>火柴</v>
          </cell>
          <cell r="F1518" t="str">
            <v>指根据物体摩擦生热的原理，利用强氧化剂和还原剂的化学活性，制造出的一种能摩擦发火的取火工具</v>
          </cell>
          <cell r="G1518" t="str">
            <v>化学原料及化学制品制造业</v>
          </cell>
        </row>
        <row r="1519">
          <cell r="E1519" t="str">
            <v>蜡烛及类似品</v>
          </cell>
          <cell r="F1519" t="str">
            <v>指以石蜡和（或）植物蜡为主要原料，经加工而成的，主要用于燃烧和照明的各种蜡烛及类似品；包括普通照明用蜡烛、庆典用蜡烛，以及各种工艺蜡烛等，也包括罐装蜡烛</v>
          </cell>
          <cell r="G1519" t="str">
            <v>化学原料及化学制品制造业</v>
          </cell>
        </row>
        <row r="1520">
          <cell r="E1520" t="str">
            <v>其他未列明化学制品</v>
          </cell>
          <cell r="F1520" t="str">
            <v>无说明</v>
          </cell>
          <cell r="G1520" t="str">
            <v>化学原料及化学制品制造业</v>
          </cell>
        </row>
        <row r="1521">
          <cell r="E1521" t="str">
            <v>抗菌素（抗感染药）</v>
          </cell>
          <cell r="F1521" t="str">
            <v>指一种具有杀灭或抑制细菌生长的药物</v>
          </cell>
          <cell r="G1521" t="str">
            <v>化学原料及化学制品制造业</v>
          </cell>
        </row>
        <row r="1522">
          <cell r="E1522" t="str">
            <v>消化系统用药</v>
          </cell>
          <cell r="F1522" t="str">
            <v>指主要作用于消化系统的药物</v>
          </cell>
          <cell r="G1522" t="str">
            <v>化学原料及化学制品制造业</v>
          </cell>
        </row>
        <row r="1523">
          <cell r="E1523" t="str">
            <v>解热镇痛药</v>
          </cell>
          <cell r="F1523" t="str">
            <v>指为一类具有解热、镇痛药理作用，同时还有显著抗炎、抗风湿作用的药物</v>
          </cell>
          <cell r="G1523" t="str">
            <v>化学原料及化学制品制造业</v>
          </cell>
        </row>
        <row r="1524">
          <cell r="E1524" t="str">
            <v>维生素类</v>
          </cell>
          <cell r="F1524" t="str">
            <v>指未混合的维生素及其衍生物</v>
          </cell>
          <cell r="G1524" t="str">
            <v>化学原料及化学制品制造业</v>
          </cell>
        </row>
        <row r="1525">
          <cell r="E1525" t="str">
            <v>抗寄生虫病药</v>
          </cell>
          <cell r="F1525" t="str">
            <v>指用于驱除和灭杀体内外寄生虫的药物</v>
          </cell>
          <cell r="G1525" t="str">
            <v>化学原料及化学制品制造业</v>
          </cell>
        </row>
        <row r="1526">
          <cell r="E1526" t="str">
            <v>中枢神经系统用药</v>
          </cell>
          <cell r="F1526" t="str">
            <v>指主要作用于中枢神经系统的药物</v>
          </cell>
          <cell r="G1526" t="str">
            <v>化学原料及化学制品制造业</v>
          </cell>
        </row>
        <row r="1527">
          <cell r="E1527" t="str">
            <v>计划生育用药</v>
          </cell>
          <cell r="F1527" t="str">
            <v>主要用于计划生育方面的药物，不包括避孕药物用具（详见107030215）</v>
          </cell>
          <cell r="G1527" t="str">
            <v>化学原料及化学制品制造业</v>
          </cell>
        </row>
        <row r="1528">
          <cell r="E1528" t="str">
            <v>激素类药</v>
          </cell>
          <cell r="F1528" t="str">
            <v>包括其他甾族化合物及其作激素的衍生物</v>
          </cell>
          <cell r="G1528" t="str">
            <v>化学原料及化学制品制造业</v>
          </cell>
        </row>
        <row r="1529">
          <cell r="E1529" t="str">
            <v>抗肿瘤药</v>
          </cell>
          <cell r="F1529" t="str">
            <v>主要作用于肿瘤类疾病的药物</v>
          </cell>
          <cell r="G1529" t="str">
            <v>化学原料及化学制品制造业</v>
          </cell>
        </row>
        <row r="1530">
          <cell r="E1530" t="str">
            <v>心血管系统用药</v>
          </cell>
          <cell r="F1530" t="str">
            <v>指主要作用于心血管系统的药物</v>
          </cell>
          <cell r="G1530" t="str">
            <v>化学原料及化学制品制造业</v>
          </cell>
        </row>
        <row r="1531">
          <cell r="E1531" t="str">
            <v>呼吸系统用药</v>
          </cell>
          <cell r="F1531" t="str">
            <v>指主要作用于呼吸系统的药物</v>
          </cell>
          <cell r="G1531" t="str">
            <v>化学原料及化学制品制造业</v>
          </cell>
        </row>
        <row r="1532">
          <cell r="E1532" t="str">
            <v>泌尿系统用药</v>
          </cell>
          <cell r="F1532" t="str">
            <v>指主要作用于泌尿系统的药物</v>
          </cell>
          <cell r="G1532" t="str">
            <v>化学原料及化学制品制造业</v>
          </cell>
        </row>
        <row r="1533">
          <cell r="E1533" t="str">
            <v>血液系统用药</v>
          </cell>
          <cell r="F1533" t="str">
            <v>指主要作用于血液系统的药物</v>
          </cell>
          <cell r="G1533" t="str">
            <v>化学原料及化学制品制造业</v>
          </cell>
        </row>
        <row r="1534">
          <cell r="E1534" t="str">
            <v>诊断用原药</v>
          </cell>
          <cell r="F1534" t="str">
            <v>指用于诊断的药物</v>
          </cell>
          <cell r="G1534" t="str">
            <v>化学原料及化学制品制造业</v>
          </cell>
        </row>
        <row r="1535">
          <cell r="E1535" t="str">
            <v>调解水、电解质、酸碱平衡药</v>
          </cell>
          <cell r="F1535" t="str">
            <v>指用于平衡人体酸碱、电解质的药物</v>
          </cell>
          <cell r="G1535" t="str">
            <v>化学原料及化学制品制造业</v>
          </cell>
        </row>
        <row r="1536">
          <cell r="E1536" t="str">
            <v>麻醉用药</v>
          </cell>
          <cell r="F1536" t="str">
            <v>指用于麻醉的药物</v>
          </cell>
          <cell r="G1536" t="str">
            <v>化学原料及化学制品制造业</v>
          </cell>
        </row>
        <row r="1537">
          <cell r="E1537" t="str">
            <v>抗组织胺类药及解毒药</v>
          </cell>
          <cell r="F1537" t="str">
            <v>指作用机制为抗组织胺的抗炎药。</v>
          </cell>
          <cell r="G1537" t="str">
            <v>化学原料及化学制品制造业</v>
          </cell>
        </row>
        <row r="1538">
          <cell r="E1538" t="str">
            <v>生化药（酶及辅酶）</v>
          </cell>
          <cell r="F1538" t="str">
            <v>指从生物体分离、纯化所得，可用于预防、治疗和诊断疾病的生化物质</v>
          </cell>
          <cell r="G1538" t="str">
            <v>化学原料及化学制品制造业</v>
          </cell>
        </row>
        <row r="1539">
          <cell r="E1539" t="str">
            <v>消毒防腐及创伤外科用药</v>
          </cell>
          <cell r="F1539" t="str">
            <v>消毒防腐药是指能迅速杀灭病原微生物的药物。创伤外科用药是指对治疗外伤所导致的对人体的伤害的药物。</v>
          </cell>
          <cell r="G1539" t="str">
            <v>化学原料及化学制品制造业</v>
          </cell>
        </row>
        <row r="1540">
          <cell r="E1540" t="str">
            <v>制剂用辅料及附加剂</v>
          </cell>
          <cell r="F1540" t="str">
            <v>指专用于人或兽药的化学制品</v>
          </cell>
          <cell r="G1540" t="str">
            <v>化学原料及化学制品制造业</v>
          </cell>
        </row>
        <row r="1541">
          <cell r="E1541" t="str">
            <v>冻干粉针剂</v>
          </cell>
          <cell r="F1541" t="str">
            <v>指无菌环境下将药物冷冻制成的供临用前用适宜的无菌溶液配制成澄清溶液或均匀混悬液的无菌粉末或无菌块状物。可用适宜的注射用溶剂配制后注射，也可用静脉输液配制后静脉滴注。</v>
          </cell>
          <cell r="G1541" t="str">
            <v>化学原料及化学制品制造业</v>
          </cell>
        </row>
        <row r="1542">
          <cell r="E1542" t="str">
            <v>粉针剂</v>
          </cell>
          <cell r="F1542" t="str">
            <v>指药物制成的供临用前用适宜的无菌溶液配制成澄清溶液或均匀混悬液的无菌粉末或无菌块状物。可用适宜的注射用溶剂配制后注射，也可用静脉输液配制后静脉滴注。包括含有青霉素及其衍生物粉针剂、含有链霉素及其衍生物粉针剂、头孢类粉针剂、含有相关抗菌素粉针剂、含有皮质甾类激素及其衍生物粉针剂、其他混合或非混合产品构成粉针剂。</v>
          </cell>
          <cell r="G1542" t="str">
            <v>化学原料及化学制品制造业</v>
          </cell>
        </row>
        <row r="1543">
          <cell r="E1543" t="str">
            <v>注射液</v>
          </cell>
          <cell r="F1543" t="str">
            <v>指溶液型或乳状液型注射液。可用于肌内注射、静脉注射或静脉滴注等。包括含有相关抗菌素注射液、含有维生素原和维生素注射液、含有皮质甾类激素及其衍生物注射液、含有奎宁或其盐注射液、含有生物碱及其衍生物注射液、含有胰岛素注射液、避孕药注射液、其他混合或非混合产品构成注射液。</v>
          </cell>
          <cell r="G1543" t="str">
            <v>化学原料及化学制品制造业</v>
          </cell>
        </row>
        <row r="1544">
          <cell r="E1544" t="str">
            <v>输液</v>
          </cell>
          <cell r="F1544" t="str">
            <v>指药物与适宜的溶剂或分散介质制成的供注入体内的溶液、乳状液或混悬液及供临用前配制或稀释成溶液或混悬液的粉末或浓溶液的无菌制剂。包括含有抗菌素输液、其他混合或非混合输液</v>
          </cell>
          <cell r="G1544" t="str">
            <v>化学原料及化学制品制造业</v>
          </cell>
        </row>
        <row r="1545">
          <cell r="E1545" t="str">
            <v>片剂</v>
          </cell>
          <cell r="F1545" t="str">
            <v>指药物与适宜的辅料混匀压制而成的圆片状或异形片状的固体制剂。包括含有青霉素及其衍生物片剂、含有先锋霉素片剂、含有抗菌素片剂、含有奎宁或其盐的片剂、含有磺胺类片剂、含有联苯双酯片剂、含有维生素及其衍生物片剂、含有皮质甾类激素及其衍生物片剂、含有生物碱及其衍生物片剂、避孕药片剂、其他混合产品构成片剂</v>
          </cell>
          <cell r="G1545" t="str">
            <v>化学原料及化学制品制造业</v>
          </cell>
        </row>
        <row r="1546">
          <cell r="E1546" t="str">
            <v>胶囊剂</v>
          </cell>
          <cell r="F1546" t="str">
            <v>指药物或加有辅料充填于空心胶囊或密封于软质囊材中的固体制剂。包括含有青霉素及其衍生物胶囊、含有先锋霉素胶囊、含有相关抗菌素胶囊、含有维生素及其衍生物胶囊、其他混合或非混合产品构成胶囊。</v>
          </cell>
          <cell r="G1546" t="str">
            <v>化学原料及化学制品制造业</v>
          </cell>
        </row>
        <row r="1547">
          <cell r="E1547" t="str">
            <v>颗粒剂</v>
          </cell>
          <cell r="F1547" t="str">
            <v>指提取物与适宜的辅料或饮片细粉制成具有一定粒度的颗粒状制剂，分为可溶颗粒、混悬颗粒和泡腾颗粒。包括含有青霉素及其衍生物颗粒剂、含有先锋霉素颗粒剂、含有相关抗菌素颗粒剂、其他混合或非混合产品构成颗粒剂。</v>
          </cell>
          <cell r="G1547" t="str">
            <v>化学原料及化学制品制造业</v>
          </cell>
        </row>
        <row r="1548">
          <cell r="E1548" t="str">
            <v>缓释控释片</v>
          </cell>
          <cell r="F1548" t="str">
            <v>指在规定的释放介质中缓慢地非恒速释放药物的片剂。控释片系指在规定的释放介质中缓慢地恒速释放药物的片剂。包括含有抗菌素缓释控释片、含有奎宁或其盐的缓释控释片、含有磺胺类缓释控释片、含有联苯双酯缓释控释片、含有维生素及其衍生物缓释控释片、含有皮质甾类激素及其衍生物缓释控释片、含有生物碱及其衍生物缓释控释片、其他混合或非混合产品构成缓释控释片</v>
          </cell>
          <cell r="G1548" t="str">
            <v>化学原料及化学制品制造业</v>
          </cell>
        </row>
        <row r="1549">
          <cell r="E1549" t="str">
            <v>滴剂</v>
          </cell>
          <cell r="F1549" t="str">
            <v>指一滴一滴服用或外用的液体药剂,如浓缩维生素A、D滴剂、滴鼻剂、滴眼剂等。</v>
          </cell>
          <cell r="G1549" t="str">
            <v>化学原料及化学制品制造业</v>
          </cell>
        </row>
        <row r="1550">
          <cell r="E1550" t="str">
            <v>膏霜剂</v>
          </cell>
          <cell r="F1550" t="str">
            <v>指药物与油脂性或水溶性基质混合制成的均匀的半固体外用制剂；或者药物溶解或分散于乳状液型基质中形成的均匀的半固体外用制剂。</v>
          </cell>
          <cell r="G1550" t="str">
            <v>化学原料及化学制品制造业</v>
          </cell>
        </row>
        <row r="1551">
          <cell r="E1551" t="str">
            <v>栓剂</v>
          </cell>
          <cell r="F1551" t="str">
            <v>指药物与适宜基质制成供腔道给药的固体制剂。</v>
          </cell>
          <cell r="G1551" t="str">
            <v>化学原料及化学制品制造业</v>
          </cell>
        </row>
        <row r="1552">
          <cell r="E1552" t="str">
            <v>气雾剂</v>
          </cell>
          <cell r="F1552" t="str">
            <v>指药物以特殊装置给药，经呼吸道深部、腔道、黏膜或皮肤等发挥全身或局部作用的制剂。</v>
          </cell>
          <cell r="G1552" t="str">
            <v>化学原料及化学制品制造业</v>
          </cell>
        </row>
        <row r="1553">
          <cell r="E1553" t="str">
            <v>口服液体制剂</v>
          </cell>
          <cell r="F1553" t="str">
            <v>指药物溶解于适宜溶剂中制成供口服的澄清液体制剂；或难溶性固体药物，分散在液体介质中，制成供口服的混悬液体制剂；或两种互不相溶的液体制成口服的稳定的水包油型乳液制剂。</v>
          </cell>
          <cell r="G1553" t="str">
            <v>化学原料及化学制品制造业</v>
          </cell>
        </row>
        <row r="1554">
          <cell r="E1554" t="str">
            <v>外用液体制剂</v>
          </cell>
          <cell r="F1554" t="str">
            <v>指药物与适宜的溶剂或分散介质制成的，通过体表给药以产生局部或全身性作用的溶液、混悬液或乳状液及供临用前稀释的高浓度液体制剂，一般有涂剂、洗剂、搽剂、涂膜剂、冲洗剂等，不包括滴剂（详见107030209）。</v>
          </cell>
          <cell r="G1554" t="str">
            <v>化学原料及化学制品制造业</v>
          </cell>
        </row>
        <row r="1555">
          <cell r="E1555" t="str">
            <v>避孕药物用具</v>
          </cell>
          <cell r="F1555" t="str">
            <v>避孕药物是能阻断生殖过程中任何一个环节的药物。避孕用具是以非药物形式去阻止受孕的用具，如避孕环、避孕套等。</v>
          </cell>
          <cell r="G1555" t="str">
            <v>化学原料及化学制品制造业</v>
          </cell>
        </row>
        <row r="1556">
          <cell r="E1556" t="str">
            <v>抗艾滋病病毒药品</v>
          </cell>
          <cell r="F1556" t="str">
            <v>无说明</v>
          </cell>
          <cell r="G1556" t="str">
            <v>医药制造业</v>
          </cell>
        </row>
        <row r="1557">
          <cell r="E1557" t="str">
            <v>植物类饮片</v>
          </cell>
          <cell r="F1557" t="str">
            <v>指利用各种药用植物的根？茎？皮？叶？花？果实等加工制成的片？丝？块？段等中药饮片。包括根及根茎类饮片、块、根、茎类饮片、藤、茎类饮片、木、心材类饮片、树皮类饮片、叶片类饮片、花、蕊类饮片、果实、种子类饮片、草类饮片、藻、菌、地衣类饮片、植物加工类饮片、其他植物类饮片。</v>
          </cell>
          <cell r="G1557" t="str">
            <v>化学原料及化学制品制造业</v>
          </cell>
        </row>
        <row r="1558">
          <cell r="E1558" t="str">
            <v>动物类饮片</v>
          </cell>
          <cell r="F1558" t="str">
            <v>指利用各种药用动物的组织、血液、骨骼、内脏、皮等药材经净制、切制、炮炙等处理后的中药饮片。包括动物全体类饮片、去内脏动物类饮片、动物皮、角类饮片、动物鳞片、贝壳类饮片、动物骨骼、脏器类饮片、动物产物、加工类饮片、其他动物产物、加工类饮片。</v>
          </cell>
          <cell r="G1558" t="str">
            <v>化学原料及化学制品制造业</v>
          </cell>
        </row>
        <row r="1559">
          <cell r="E1559" t="str">
            <v>矿物类饮片</v>
          </cell>
          <cell r="F1559" t="str">
            <v>指药用矿物质经净制、切制、炮炙等处理后的中药饮片，不包括滑石粉（详见1020510）。</v>
          </cell>
          <cell r="G1559" t="str">
            <v>化学原料及化学制品制造业</v>
          </cell>
        </row>
        <row r="1560">
          <cell r="E1560" t="str">
            <v>其他中药饮片</v>
          </cell>
          <cell r="F1560" t="str">
            <v>无说明</v>
          </cell>
          <cell r="G1560" t="str">
            <v>化学原料及化学制品制造业</v>
          </cell>
        </row>
        <row r="1561">
          <cell r="E1561" t="str">
            <v>中成药丸剂</v>
          </cell>
          <cell r="F1561" t="str">
            <v>指饮片细粉或提取物加适宜的黏合剂或其他辅料制成的球形或类球形制剂，分为蜜丸、水蜜丸、水丸、糊丸、蜡丸和浓缩丸等类型。</v>
          </cell>
          <cell r="G1561" t="str">
            <v>化学原料及化学制品制造业</v>
          </cell>
        </row>
        <row r="1562">
          <cell r="E1562" t="str">
            <v>中成药冲剂</v>
          </cell>
          <cell r="F1562" t="str">
            <v>指药材提取物加适量赋形剂或部分药材细粉制成干燥颗粒状或块状的内服药剂，用时加开水冲服。</v>
          </cell>
          <cell r="G1562" t="str">
            <v>化学原料及化学制品制造业</v>
          </cell>
        </row>
        <row r="1563">
          <cell r="E1563" t="str">
            <v>中成药糖浆</v>
          </cell>
          <cell r="F1563" t="str">
            <v>指含有提取物的浓蔗糖水溶液。</v>
          </cell>
          <cell r="G1563" t="str">
            <v>化学原料及化学制品制造业</v>
          </cell>
        </row>
        <row r="1564">
          <cell r="E1564" t="str">
            <v>中成药片剂</v>
          </cell>
          <cell r="F1564" t="str">
            <v>指提取物、提取物加饮片细粉或饮片细粉与适宜辅料混匀压制或用其他适宜方法制成的圆片状或异形片状的制剂，有浸膏片、半浸膏片和全粉片等。</v>
          </cell>
          <cell r="G1564" t="str">
            <v>化学原料及化学制品制造业</v>
          </cell>
        </row>
        <row r="1565">
          <cell r="E1565" t="str">
            <v>中成药注射剂</v>
          </cell>
          <cell r="F1565" t="str">
            <v>指饮片经提取、纯化后制成的供注入体内的溶液、乳状液及临用前配制成溶液的粉末或浓溶液的无菌制剂。</v>
          </cell>
          <cell r="G1565" t="str">
            <v>化学原料及化学制品制造业</v>
          </cell>
        </row>
        <row r="1566">
          <cell r="E1566" t="str">
            <v>膏药</v>
          </cell>
          <cell r="F1566" t="str">
            <v>指饮片、食用植物油与红丹（铅丹）或官粉（铅粉）炼制成膏料，摊涂于裱背材料上制成的供皮肤贴敷的外用制剂。前者称为黑膏药，后者称为白膏药。包括蜜膏。</v>
          </cell>
          <cell r="G1566" t="str">
            <v>化学原料及化学制品制造业</v>
          </cell>
        </row>
        <row r="1567">
          <cell r="E1567" t="str">
            <v>中成药口服液</v>
          </cell>
          <cell r="F1567" t="str">
            <v>指饮片用水或其他溶剂，采用适宜方法提取制成的口服液体制剂。</v>
          </cell>
          <cell r="G1567" t="str">
            <v>化学原料及化学制品制造业</v>
          </cell>
        </row>
        <row r="1568">
          <cell r="E1568" t="str">
            <v>中成药胶囊</v>
          </cell>
          <cell r="F1568" t="str">
            <v>指将提取物、饮片用适宜方法加工后，加入适宜辅料填充于空心胶囊或密封于软质囊材中的制剂，可分为硬胶囊、软胶囊（胶丸）和肠溶胶囊等，主要供口服用。</v>
          </cell>
          <cell r="G1568" t="str">
            <v>化学原料及化学制品制造业</v>
          </cell>
        </row>
        <row r="1569">
          <cell r="E1569" t="str">
            <v>中成药散剂</v>
          </cell>
          <cell r="F1569" t="str">
            <v>指饮片或提取物经粉碎、均匀混合制成的粉末状制剂，分为内服散剂和外用散剂。</v>
          </cell>
          <cell r="G1569" t="str">
            <v>化学原料及化学制品制造业</v>
          </cell>
        </row>
        <row r="1570">
          <cell r="E1570" t="str">
            <v>中成药栓剂</v>
          </cell>
          <cell r="F1570" t="str">
            <v>指提取物或饮片细粉与适宜基质制成供腔道给药的固体制剂。</v>
          </cell>
          <cell r="G1570" t="str">
            <v>化学原料及化学制品制造业</v>
          </cell>
        </row>
        <row r="1571">
          <cell r="E1571" t="str">
            <v>药酒</v>
          </cell>
          <cell r="F1571" t="str">
            <v>指饮片用蒸馏酒提取制成的澄清液体制剂。</v>
          </cell>
          <cell r="G1571" t="str">
            <v>化学原料及化学制品制造业</v>
          </cell>
        </row>
        <row r="1572">
          <cell r="E1572" t="str">
            <v>清凉油</v>
          </cell>
          <cell r="F1572" t="str">
            <v>指含挥发性成分的饮片用水蒸气蒸馏法制成的芳香水剂。或指饮片用乙醇、油或其他适宜溶剂制成的供无破损患处揉擦用的液体制剂。</v>
          </cell>
          <cell r="G1572" t="str">
            <v>化学原料及化学制品制造业</v>
          </cell>
        </row>
        <row r="1573">
          <cell r="E1573" t="str">
            <v>其他中成药</v>
          </cell>
          <cell r="F1573" t="str">
            <v>无说明</v>
          </cell>
          <cell r="G1573" t="str">
            <v>化学原料及化学制品制造业</v>
          </cell>
        </row>
        <row r="1574">
          <cell r="E1574" t="str">
            <v>兽用化学药品</v>
          </cell>
          <cell r="F1574" t="str">
            <v>指直接用于动物疾病防治、诊断等方面的化学药品制剂。通常是通过合成或者半合成的方法制得的原料药及其制剂；天然物质中提取或者通过发酵提取的新的有效单体及其制剂；用拆分或者合成等方法制得的已知药物中的光学异构体及其制剂。包括兽用抗菌素药品、含有奎宁及其盐的兽用药品、含有磺胺兽用药品、其他兽用化学药品。</v>
          </cell>
          <cell r="G1574" t="str">
            <v>医药制造业</v>
          </cell>
        </row>
        <row r="1575">
          <cell r="E1575" t="str">
            <v>兽用中草药</v>
          </cell>
          <cell r="F1575" t="str">
            <v>指直接用于动物疾病防治、诊断等方面的兽用中药材、饮片和中成药。</v>
          </cell>
          <cell r="G1575" t="str">
            <v>化学原料及化学制品制造业</v>
          </cell>
        </row>
        <row r="1576">
          <cell r="E1576" t="str">
            <v>兽用疫苗</v>
          </cell>
          <cell r="F1576" t="str">
            <v>指为了预防、控制传染病的发生、流行，用于动物预防接种的疫苗类预防性生物制品。</v>
          </cell>
          <cell r="G1576" t="str">
            <v>化学原料及化学制品制造业</v>
          </cell>
        </row>
        <row r="1577">
          <cell r="E1577" t="str">
            <v>酶类生化制剂</v>
          </cell>
          <cell r="F1577" t="str">
            <v>指通过生物化学技术从生物体内提取、分离、纯化与确认的用于消化、抗炎净创、血凝和解凝、解毒、诊断的酶类制剂。包括片剂、水针、粉针、胶囊、输液。包括胰蛋白酶制剂、糜蛋白酶制剂、菠萝蛋白酶制剂、链激酶制剂、重组链激酶制剂、双链酶制剂、尿激酶制剂、溶菌酶制剂、辅酶Q10制剂、辅酶Ⅰ制剂、复合辅酶制剂、门冬酰胺酶制剂、胰酶制剂、多酶制剂、胃蛋白酶制剂、含糖胃蛋白酶制剂、淀粉酶制剂、其他酶类生化制剂</v>
          </cell>
          <cell r="G1577" t="str">
            <v>化学原料及化学制品制造业</v>
          </cell>
        </row>
        <row r="1578">
          <cell r="E1578" t="str">
            <v>氨基酸及蛋白质类药</v>
          </cell>
          <cell r="F1578" t="str">
            <v>指用于预防、治疗和诊断的氨基酸和蛋白质类物质生物药物。包括乙酰半胱氨酸制剂、羧甲司坦制剂、盐酸美司坦制剂、胱氨酸制剂、盐酸赖氨酸制剂、谷氨酸制剂、门冬氨酸制剂、门冬酰胺制剂、复合氨基酸制剂、复方氨基酸制剂、复方赖氨酸制剂、注射用氨基酸类药及输液、其他氨基酸及蛋白质药制剂。</v>
          </cell>
          <cell r="G1578" t="str">
            <v>化学原料及化学制品制造业</v>
          </cell>
        </row>
        <row r="1579">
          <cell r="E1579" t="str">
            <v>脂肪类药制剂</v>
          </cell>
          <cell r="F1579" t="str">
            <v>包括注射用脂肪类药、脂肪类药胶囊、脂肪类药片剂。包括注射用脂肪类药、脂肪类药胶囊、脂肪类药片剂、其他脂肪类药制剂。</v>
          </cell>
          <cell r="G1579" t="str">
            <v>化学原料及化学制品制造业</v>
          </cell>
        </row>
        <row r="1580">
          <cell r="E1580" t="str">
            <v>核酸类药制剂</v>
          </cell>
          <cell r="F1580" t="str">
            <v>包括三磷腺苷钠制剂、环磷腺苷制剂、肌苷制剂、核糖核酸制剂、其他核酸类药制剂。</v>
          </cell>
          <cell r="G1580" t="str">
            <v>化学原料及化学制品制造业</v>
          </cell>
        </row>
        <row r="1581">
          <cell r="E1581" t="str">
            <v>其他生物化学药品</v>
          </cell>
          <cell r="F1581" t="str">
            <v>无说明</v>
          </cell>
          <cell r="G1581" t="str">
            <v>医药制造业</v>
          </cell>
        </row>
        <row r="1582">
          <cell r="E1582" t="str">
            <v>菌苗</v>
          </cell>
          <cell r="F1582" t="str">
            <v>指用细菌体制成的生物制品称菌苗。</v>
          </cell>
          <cell r="G1582" t="str">
            <v>化学原料及化学制品制造业</v>
          </cell>
        </row>
        <row r="1583">
          <cell r="E1583" t="str">
            <v>菌苗制剂</v>
          </cell>
          <cell r="F1583" t="str">
            <v>指对某一特定传染病产生或增加人工免疫力的制剂。</v>
          </cell>
          <cell r="G1583" t="str">
            <v>化学原料及化学制品制造业</v>
          </cell>
        </row>
        <row r="1584">
          <cell r="E1584" t="str">
            <v>人用疫苗</v>
          </cell>
          <cell r="F1584" t="str">
            <v>指用细菌、病毒等病原微生物制成的生物制品。包括脑炎疫苗、脑膜炎疫苗、麻疹、风疹及腮腺炎疫苗、狂犬病疫苗、脊髓灰质炎疫苗、肝炎疫苗、流感疫苗、肾综合症疫苗、破伤风、白喉及百日咳疫苗、黄热减毒活疫苗、其他人用疫苗。</v>
          </cell>
          <cell r="G1584" t="str">
            <v>化学原料及化学制品制造业</v>
          </cell>
        </row>
        <row r="1585">
          <cell r="E1585" t="str">
            <v>类毒素</v>
          </cell>
          <cell r="F1585" t="str">
            <v>指用细菌产生的外毒素，加入甲醛后使变为无毒性但仍有免疫性的制剂，称为“类毒素”，如破伤风类毒素、白喉类毒素等。</v>
          </cell>
          <cell r="G1585" t="str">
            <v>化学原料及化学制品制造业</v>
          </cell>
        </row>
        <row r="1586">
          <cell r="E1586" t="str">
            <v>抗毒素类</v>
          </cell>
          <cell r="F1586" t="str">
            <v>指动物血清制品。是细菌毒素（通常指外毒素)的对应抗体。包括白喉抗毒素、破伤风抗毒素、多价气性坏疽抗毒素、肉毒抗毒素制剂、其他抗毒素。</v>
          </cell>
          <cell r="G1586" t="str">
            <v>化学原料及化学制品制造业</v>
          </cell>
        </row>
        <row r="1587">
          <cell r="E1587" t="str">
            <v>抗血清类</v>
          </cell>
          <cell r="F1587" t="str">
            <v>指免疫血清亦称抗血清。含有抗体的血清制剂。是含有多克隆抗体的血清。包括抗蛇毒血清、抗狂犬病血清、抗炭疽血清、抗赤痢血清、精制抗腺病毒血清、抗淋巴细胞血清、其他抗血清。</v>
          </cell>
          <cell r="G1587" t="str">
            <v>化学原料及化学制品制造业</v>
          </cell>
        </row>
        <row r="1588">
          <cell r="E1588" t="str">
            <v>临床用血</v>
          </cell>
          <cell r="F1588" t="str">
            <v>指可以临床使用的人体血液。</v>
          </cell>
          <cell r="G1588" t="str">
            <v>化学原料及化学制品制造业</v>
          </cell>
        </row>
        <row r="1589">
          <cell r="E1589" t="str">
            <v>其他血液制品</v>
          </cell>
          <cell r="F1589" t="str">
            <v>无说明</v>
          </cell>
          <cell r="G1589" t="str">
            <v>化学原料及化学制品制造业</v>
          </cell>
        </row>
        <row r="1590">
          <cell r="E1590" t="str">
            <v>细胞因子</v>
          </cell>
          <cell r="F1590" t="str">
            <v>指机体的免疫细胞和非免疫细胞能合成和分泌小分子的多肽类因子，它们调节多种细胞生理功能，这些因子统称为细胞因子（cytokines）。细胞因子包括淋巴细胞产生的淋巴因子和单核巨噬细胞产生的单核因子等。包括干扰素制剂、胸腺肽制剂、转移因子制剂、促肝细胞生长素制剂、白介素制剂、其他细胞因子制剂。</v>
          </cell>
          <cell r="G1590" t="str">
            <v>化学原料及化学制品制造业</v>
          </cell>
        </row>
        <row r="1591">
          <cell r="E1591" t="str">
            <v>诊断用生物制品</v>
          </cell>
          <cell r="F1591" t="str">
            <v>指用于诊断的生物制品。包括诊断用菌素、菌液、菌体、诊断血球、诊断用抗原、诊断用血凝素、诊断用血清、试验用毒素、诊断用生物试剂盒。</v>
          </cell>
          <cell r="G1591" t="str">
            <v>化学原料及化学制品制造业</v>
          </cell>
        </row>
        <row r="1592">
          <cell r="E1592" t="str">
            <v>生物制剂</v>
          </cell>
          <cell r="F1592" t="str">
            <v>包括生物菌及菌片、生物试剂盒、微生物培养基以及其他生物制剂。包括生物菌及菌片、生物试剂盒、微生物培养基、其他生物制剂。</v>
          </cell>
          <cell r="G1592" t="str">
            <v>化学原料及化学制品制造业</v>
          </cell>
        </row>
        <row r="1593">
          <cell r="E1593" t="str">
            <v>卫生材料及敷料</v>
          </cell>
          <cell r="F1593" t="str">
            <v>指用于物品主料之外的辅属材料，经药物浸涂胶粘敷料、脱脂棉花及类似医用软填料等。包括经药物浸涂胶粘敷料、纱布、脱脂棉花及类似医用软填料、医用敷料、医用缝合材料及外科用无菌材料、无菌外科肠线及类似缝合材料、无菌昆布及无菌昆布塞条、外科及牙科用无菌材料。</v>
          </cell>
          <cell r="G1593" t="str">
            <v>医药制造业</v>
          </cell>
        </row>
        <row r="1594">
          <cell r="E1594" t="str">
            <v>牙科粘固剂、牙科填料</v>
          </cell>
          <cell r="F1594" t="str">
            <v>包括牙科填料、牙科粘固剂、骨骼粘固剂、其他牙科填料。不包括经特殊煅烧或精细研磨的牙科用熟石膏及以熟石膏为基本成分的牙科用制品（详见107030803）。</v>
          </cell>
          <cell r="G1594" t="str">
            <v>医药制造业</v>
          </cell>
        </row>
        <row r="1595">
          <cell r="E1595" t="str">
            <v>牙科用造型膏及类似制品</v>
          </cell>
          <cell r="F1595" t="str">
            <v>指制作各种口腔组织阳模的材料。主要有石膏、人造石、低熔合金、模型蜡等。</v>
          </cell>
          <cell r="G1595" t="str">
            <v>医药制造业</v>
          </cell>
        </row>
        <row r="1596">
          <cell r="E1596" t="str">
            <v>病人医用试剂</v>
          </cell>
          <cell r="F1596" t="str">
            <v>包括血型试剂、影象检查用化学药制剂、器官功能检查剂。</v>
          </cell>
          <cell r="G1596" t="str">
            <v>医药制造业</v>
          </cell>
        </row>
        <row r="1597">
          <cell r="E1597" t="str">
            <v>非病人用诊断检验、实验用试剂</v>
          </cell>
          <cell r="F1597" t="str">
            <v>指用于医疗、兽医、科学及工业上诊断或实验用试剂及配制试剂，检定参照物；包括用诊断或实验用试剂浸渍或涂布的纸、塑料或其他材料（作衬背或载体用）。包括有衬背的诊断或实验用试剂、无衬背的诊断或实验用试剂、空心胶囊。</v>
          </cell>
          <cell r="G1597" t="str">
            <v>医药制造业</v>
          </cell>
        </row>
        <row r="1598">
          <cell r="E1598" t="str">
            <v>化纤棉绒浆粕</v>
          </cell>
          <cell r="F1598" t="str">
            <v>指以棉短绒为原料，经化学和机械加工制成的一种溶液或片状固体，是生产人造纤维的基本原料</v>
          </cell>
          <cell r="G1598" t="str">
            <v>化学原料及化学制品制造业</v>
          </cell>
        </row>
        <row r="1599">
          <cell r="E1599" t="str">
            <v>化纤木浆粕</v>
          </cell>
          <cell r="F1599" t="str">
            <v>指以乔木类树木经过物理化学加工提取的植物纤维浆粕。</v>
          </cell>
          <cell r="G1599" t="str">
            <v>化学原料及化学制品制造业</v>
          </cell>
        </row>
        <row r="1600">
          <cell r="E1600" t="str">
            <v>化纤用再生聚酯专用料</v>
          </cell>
          <cell r="F1600" t="str">
            <v>指以废弃天然纤维、化学纤维及其制品为主要原料生产的再生聚酯产品。</v>
          </cell>
          <cell r="G1600" t="str">
            <v>化学原料及化学制品制造业</v>
          </cell>
        </row>
        <row r="1601">
          <cell r="E1601" t="str">
            <v>其他化学纤维用浆粕</v>
          </cell>
          <cell r="F1601" t="str">
            <v>指由甘蔗、芦苇、芒草等天然纤维素制成的浆粕。</v>
          </cell>
          <cell r="G1601" t="str">
            <v>化学纤维制造业</v>
          </cell>
        </row>
        <row r="1602">
          <cell r="E1602" t="str">
            <v>人造纤维短纤维</v>
          </cell>
          <cell r="F1602" t="str">
            <v>指未梳或未经其他纺前加工的人造纤维短纤。包括粘胶短纤维、醋酸纤维短纤、其他人造纤维短纤维。</v>
          </cell>
          <cell r="G1602" t="str">
            <v>化学原料及化学制品制造业</v>
          </cell>
        </row>
        <row r="1603">
          <cell r="E1603" t="str">
            <v>人造纤维长丝</v>
          </cell>
          <cell r="F1603" t="str">
            <v>指用纤维素做原料制得的长丝的统称。主要品种有粘胶人造丝、醋酸人造丝和铜氨人造丝。包括粘胶纤维长丝、铜氨纤维长丝、醋酸纤维长丝、人造纤维长丝单丝、其他人造纤维长丝。</v>
          </cell>
          <cell r="G1603" t="str">
            <v>化学原料及化学制品制造业</v>
          </cell>
        </row>
        <row r="1604">
          <cell r="E1604" t="str">
            <v>锦纶纤维</v>
          </cell>
          <cell r="F1604" t="str">
            <v>指聚酰胺纤维一种，又称耐纶或尼龙6。包括锦纶短纤维、锦纶长丝、综丝。</v>
          </cell>
          <cell r="G1604" t="str">
            <v>化学原料及化学制品制造业</v>
          </cell>
        </row>
        <row r="1605">
          <cell r="E1605" t="str">
            <v>涤纶纤维</v>
          </cell>
          <cell r="F1605" t="str">
            <v>指聚酯纤维，俗称涤纶。包括涤纶短纤维、涤纶长丝。</v>
          </cell>
          <cell r="G1605" t="str">
            <v>化学原料及化学制品制造业</v>
          </cell>
        </row>
        <row r="1606">
          <cell r="E1606" t="str">
            <v>腈纶纤维</v>
          </cell>
          <cell r="F1606" t="str">
            <v>也称聚丙烯腈纤维。包括腈纶短纤维、腈纶长纤丝束。</v>
          </cell>
          <cell r="G1606" t="str">
            <v>化学原料及化学制品制造业</v>
          </cell>
        </row>
        <row r="1607">
          <cell r="E1607" t="str">
            <v>维纶纤维</v>
          </cell>
          <cell r="F1607" t="str">
            <v>也称聚乙烯醇纤维。包括维纶纤维短纤维、维纶纤维长丝。</v>
          </cell>
          <cell r="G1607" t="str">
            <v>化学原料及化学制品制造业</v>
          </cell>
        </row>
        <row r="1608">
          <cell r="E1608" t="str">
            <v>丙纶纤维</v>
          </cell>
          <cell r="F1608" t="str">
            <v>也称聚丙烯纤维。包括丙纶短纤维、丙纶纤维长丝。</v>
          </cell>
          <cell r="G1608" t="str">
            <v>化学原料及化学制品制造业</v>
          </cell>
        </row>
        <row r="1609">
          <cell r="E1609" t="str">
            <v>氯纶纤维</v>
          </cell>
          <cell r="F1609" t="str">
            <v>也称聚氯乙稀纤维。包括氯纶短纤维、氯纶长丝。</v>
          </cell>
          <cell r="G1609" t="str">
            <v>化学原料及化学制品制造业</v>
          </cell>
        </row>
        <row r="1610">
          <cell r="E1610" t="str">
            <v>氨纶纤维</v>
          </cell>
          <cell r="F1610" t="str">
            <v>也称聚氨基甲酸酯纤维。包括氨纶纤维短纤维、氨纶纤维长丝。</v>
          </cell>
          <cell r="G1610" t="str">
            <v>化学原料及化学制品制造业</v>
          </cell>
        </row>
        <row r="1611">
          <cell r="E1611" t="str">
            <v>腈氯纶纤维</v>
          </cell>
          <cell r="F1611" t="str">
            <v>指氯乙烯与丙稀腈共聚纤维。包括腈氯纶短纤维、腈氯纶长纤丝束。</v>
          </cell>
          <cell r="G1611" t="str">
            <v>化学原料及化学制品制造业</v>
          </cell>
        </row>
        <row r="1612">
          <cell r="E1612" t="str">
            <v>PBT纤维</v>
          </cell>
          <cell r="F1612" t="str">
            <v>也称聚对苯二甲酸丁二酯纤维。包括PBT短纤维、PBT长丝、其他合成纤维。</v>
          </cell>
          <cell r="G1612" t="str">
            <v>化学原料及化学制品制造业</v>
          </cell>
        </row>
        <row r="1613">
          <cell r="E1613" t="str">
            <v>其他合成纤维</v>
          </cell>
          <cell r="F1613" t="str">
            <v>无说明</v>
          </cell>
          <cell r="G1613" t="str">
            <v>化学原料及化学制品制造业</v>
          </cell>
        </row>
        <row r="1614">
          <cell r="E1614" t="str">
            <v>人造纤维长丝纱</v>
          </cell>
          <cell r="F1614" t="str">
            <v>包括人造纤维长丝变形纱和其他人造纤维长丝纱</v>
          </cell>
          <cell r="G1614" t="str">
            <v>化学原料及化学制品制造业</v>
          </cell>
        </row>
        <row r="1615">
          <cell r="E1615" t="str">
            <v>锦纶加工丝</v>
          </cell>
          <cell r="F1615" t="str">
            <v>包括锦纶弹力丝、锦纶纤维长丝变形纱线（异型纤维）、其他锦纶加工丝</v>
          </cell>
          <cell r="G1615" t="str">
            <v>化学原料及化学制品制造业</v>
          </cell>
        </row>
        <row r="1616">
          <cell r="E1616" t="str">
            <v>涤纶加工丝</v>
          </cell>
          <cell r="F1616" t="str">
            <v>包括涤纶变形纱线、其他涤纶加工丝</v>
          </cell>
          <cell r="G1616" t="str">
            <v>化学原料及化学制品制造业</v>
          </cell>
        </row>
        <row r="1617">
          <cell r="E1617" t="str">
            <v>维纶纤维加工丝</v>
          </cell>
          <cell r="F1617" t="str">
            <v>包括维纶牵切纱、维纶纤维长丝变形纱线、其他维纶纤维加工丝</v>
          </cell>
          <cell r="G1617" t="str">
            <v>化学原料及化学制品制造业</v>
          </cell>
        </row>
        <row r="1618">
          <cell r="E1618" t="str">
            <v>丙纶纤维加工丝</v>
          </cell>
          <cell r="F1618" t="str">
            <v>包括丙纶弹力丝、丙纶长丝变形纱线、其他丙纶纤维加工丝</v>
          </cell>
          <cell r="G1618" t="str">
            <v>化学原料及化学制品制造业</v>
          </cell>
        </row>
        <row r="1619">
          <cell r="E1619" t="str">
            <v>其他化学纤维加工丝</v>
          </cell>
          <cell r="F1619" t="str">
            <v>无说明</v>
          </cell>
          <cell r="G1619" t="str">
            <v>化学纤维制造业</v>
          </cell>
        </row>
        <row r="1620">
          <cell r="E1620" t="str">
            <v>橡胶轮胎外胎</v>
          </cell>
          <cell r="F1620" t="str">
            <v>指橡胶制充气轮胎的环状外壳体。包括各类乘用车、摩托车轮胎外胎，不包括力车胎（详见107050105）。</v>
          </cell>
          <cell r="G1620" t="str">
            <v>橡胶制品业</v>
          </cell>
        </row>
        <row r="1621">
          <cell r="E1621" t="str">
            <v>子午线轮胎外胎</v>
          </cell>
          <cell r="F1621" t="str">
            <v>指胎体帘线层的排列与胎周方向垂直正交，与径向成零度，像地球子午线的排布；包括乘用车子午线轮胎外胎、载货汽车子午线轮胎外胎、客车子午线轮胎外胎、工程机械用子午线轮胎外胎、农、林机械用子午线轮胎外胎、航空器子午线轮胎外胎、其他子午线轮胎外胎。</v>
          </cell>
          <cell r="G1621" t="str">
            <v>橡胶制品业</v>
          </cell>
        </row>
        <row r="1622">
          <cell r="E1622" t="str">
            <v>橡胶内胎</v>
          </cell>
          <cell r="F1622" t="str">
            <v>包括机动车橡胶内胎、工程机械用橡胶内胎、航空器用橡胶内胎、摩托车用橡胶内胎、其他橡胶内胎。不包括力车内胎（详见107050105）。</v>
          </cell>
          <cell r="G1622" t="str">
            <v>橡胶制品业</v>
          </cell>
        </row>
        <row r="1623">
          <cell r="E1623" t="str">
            <v>橡胶实心或半实心轮胎</v>
          </cell>
          <cell r="F1623" t="str">
            <v>指与充气轮胎（空心轮胎）对应的一种轮胎，其胎体是实心的，不用帘线作骨架，不必充气，不需内胎或气密层。包括航空器用实心或半实心轮胎、机动车用实心或半实心轮胎、其他橡胶实心或半实心轮胎。</v>
          </cell>
          <cell r="G1623" t="str">
            <v>橡胶制品业</v>
          </cell>
        </row>
        <row r="1624">
          <cell r="E1624" t="str">
            <v>力车胎</v>
          </cell>
          <cell r="F1624" t="str">
            <v>包括力车橡胶胎外胎、力车橡胶胎内胎。</v>
          </cell>
          <cell r="G1624" t="str">
            <v>橡胶制品业</v>
          </cell>
        </row>
        <row r="1625">
          <cell r="E1625" t="str">
            <v>翻新橡胶轮胎</v>
          </cell>
          <cell r="F1625" t="str">
            <v>指经翻新后能继续使用的轮胎。</v>
          </cell>
          <cell r="G1625" t="str">
            <v>橡胶制品业</v>
          </cell>
        </row>
        <row r="1626">
          <cell r="E1626" t="str">
            <v>橡胶带、管</v>
          </cell>
          <cell r="F1626" t="str">
            <v>指硫化橡胶带、管。包括橡胶传动带、橡胶输送带、纯胶管、金属合制橡胶管、纺织材料合制橡胶管。</v>
          </cell>
          <cell r="G1626" t="str">
            <v>橡胶制品业</v>
          </cell>
        </row>
        <row r="1627">
          <cell r="E1627" t="str">
            <v>橡胶板、杆、型材</v>
          </cell>
          <cell r="F1627" t="str">
            <v>指硫化橡胶板、杆、型材及线、绳。</v>
          </cell>
          <cell r="G1627" t="str">
            <v>橡胶制品业</v>
          </cell>
        </row>
        <row r="1628">
          <cell r="E1628" t="str">
            <v>涂胶纺织物</v>
          </cell>
          <cell r="F1628" t="str">
            <v>指涂覆胶浆的纺织物。包括橡胶胶布（织物）、其他涂胶纺织物。</v>
          </cell>
          <cell r="G1628" t="str">
            <v>橡胶制品业</v>
          </cell>
        </row>
        <row r="1629">
          <cell r="E1629" t="str">
            <v>橡胶粘带</v>
          </cell>
          <cell r="F1629" t="str">
            <v>指以纺织物作底布的橡胶粘带，包括电气绝缘带，以及橡胶粘胶布。</v>
          </cell>
          <cell r="G1629" t="str">
            <v>橡胶制品业</v>
          </cell>
        </row>
        <row r="1630">
          <cell r="E1630" t="str">
            <v>其他涂胶纺织物、带</v>
          </cell>
          <cell r="F1630" t="str">
            <v>指其他用橡胶处理纺织物或带。</v>
          </cell>
          <cell r="G1630" t="str">
            <v>橡胶制品业</v>
          </cell>
        </row>
        <row r="1631">
          <cell r="E1631" t="str">
            <v>未硫化复合橡胶</v>
          </cell>
          <cell r="F1631" t="str">
            <v>指没有经过硫化的生胶或混炼橡胶。</v>
          </cell>
          <cell r="G1631" t="str">
            <v>橡胶制品业</v>
          </cell>
        </row>
        <row r="1632">
          <cell r="E1632" t="str">
            <v>未硫化橡胶制品</v>
          </cell>
          <cell r="F1632" t="str">
            <v>指以没有经过硫化的生胶或混炼橡胶为原料制成的产品。</v>
          </cell>
          <cell r="G1632" t="str">
            <v>橡胶制品业</v>
          </cell>
        </row>
        <row r="1633">
          <cell r="E1633" t="str">
            <v>橡胶密封件</v>
          </cell>
          <cell r="F1633" t="str">
            <v>指利用橡胶硫化的方法或硫化成形后切削加工的方法制造的各种结构的密封。</v>
          </cell>
          <cell r="G1633" t="str">
            <v>橡胶制品业</v>
          </cell>
        </row>
        <row r="1634">
          <cell r="E1634" t="str">
            <v>橡胶零附件</v>
          </cell>
          <cell r="F1634" t="str">
            <v>包括模制成型塑胶零件、模制成型橡胶零件。</v>
          </cell>
          <cell r="G1634" t="str">
            <v>橡胶制品业</v>
          </cell>
        </row>
        <row r="1635">
          <cell r="E1635" t="str">
            <v>初级形状再生橡胶</v>
          </cell>
          <cell r="F1635" t="str">
            <v>指以各种化学或机械方法使旧橡胶制品（特别是轮胎）或硫化橡胶废碎料软化（“脱硫”）并除去不需要的物质制得，简称再生胶；旧橡胶制品包括废旧的和磨损的橡胶制品以及生产中的废料等。</v>
          </cell>
          <cell r="G1635" t="str">
            <v>橡胶制品业</v>
          </cell>
        </row>
        <row r="1636">
          <cell r="E1636" t="str">
            <v>再生胶粉</v>
          </cell>
          <cell r="F1636" t="str">
            <v>指以化学或机械方法使废旧的和磨损的橡胶制品以及生产中的废料经过再生而得到的橡胶粉,简称再生胶粉。</v>
          </cell>
          <cell r="G1636" t="str">
            <v>橡胶制品业</v>
          </cell>
        </row>
        <row r="1637">
          <cell r="E1637" t="str">
            <v>橡胶手套</v>
          </cell>
          <cell r="F1637" t="str">
            <v>指用橡胶薄片或薄膜制成的一类手套；按用途分耐酸碱手套、电绝缘手套、防辐射手套、医用手套等；医用手套分光面和毛面两种；按橡胶原料或制造工艺分胶乳手套和模压手套等。</v>
          </cell>
          <cell r="G1637" t="str">
            <v>橡胶制品业</v>
          </cell>
        </row>
        <row r="1638">
          <cell r="E1638" t="str">
            <v>橡胶制衣着用品及附件</v>
          </cell>
          <cell r="F1638" t="str">
            <v>指非缝制，包括医疗用橡胶制衣着用品、橡胶制潜水衣、橡胶制雨衣、其他橡胶制衣着用品及附件。</v>
          </cell>
          <cell r="G1638" t="str">
            <v>橡胶制品业</v>
          </cell>
        </row>
        <row r="1639">
          <cell r="E1639" t="str">
            <v>日用橡胶制品</v>
          </cell>
          <cell r="F1639" t="str">
            <v>指用橡胶原料生产的日常生活用的橡胶制品；包括橡胶布、橡胶热水袋、橡胶冰囊、橡胶奶头等。</v>
          </cell>
          <cell r="G1639" t="str">
            <v>橡胶制品业</v>
          </cell>
        </row>
        <row r="1640">
          <cell r="E1640" t="str">
            <v>医疗、卫生用橡胶制品</v>
          </cell>
          <cell r="F1640" t="str">
            <v>指硫化橡胶制品；医用橡胶制品包括医用胶塞和胶垫、医用胶管及其他医用橡胶制品三大类；其中，医用胶管根据用途不同，可分为体外用和体内用两类。</v>
          </cell>
          <cell r="G1640" t="str">
            <v>橡胶制品业</v>
          </cell>
        </row>
        <row r="1641">
          <cell r="E1641" t="str">
            <v>充气橡胶制品</v>
          </cell>
          <cell r="F1641" t="str">
            <v>指硫化橡胶制可充气制品。</v>
          </cell>
          <cell r="G1641" t="str">
            <v>橡胶制品业</v>
          </cell>
        </row>
        <row r="1642">
          <cell r="E1642" t="str">
            <v>橡胶减震制品</v>
          </cell>
          <cell r="F1642" t="str">
            <v>指用于消除或减少机械震动的传递，达到减震、消音及减少冲击所致危害的橡胶制品统称橡胶减震制品。亦称橡胶防震、隔震制品。</v>
          </cell>
          <cell r="G1642" t="str">
            <v>橡胶制品业</v>
          </cell>
        </row>
        <row r="1643">
          <cell r="E1643" t="str">
            <v>硬质橡胶</v>
          </cell>
          <cell r="F1643" t="str">
            <v>包括泡沫硬质橡胶、其他硬质橡胶。</v>
          </cell>
          <cell r="G1643" t="str">
            <v>橡胶制品业</v>
          </cell>
        </row>
        <row r="1644">
          <cell r="E1644" t="str">
            <v>硬质橡胶制品</v>
          </cell>
          <cell r="F1644" t="str">
            <v>指由硬质橡胶制作的产品称为硬质橡胶产品。</v>
          </cell>
          <cell r="G1644" t="str">
            <v>橡胶制品业</v>
          </cell>
        </row>
        <row r="1645">
          <cell r="E1645" t="str">
            <v>其他橡胶制品</v>
          </cell>
          <cell r="F1645" t="str">
            <v>无说明</v>
          </cell>
          <cell r="G1645" t="str">
            <v>橡胶制品业</v>
          </cell>
        </row>
        <row r="1646">
          <cell r="E1646" t="str">
            <v>农用薄膜</v>
          </cell>
          <cell r="F1646" t="str">
            <v>指应用于农业生产的塑料薄膜。</v>
          </cell>
          <cell r="G1646" t="str">
            <v>塑料制品业</v>
          </cell>
        </row>
        <row r="1647">
          <cell r="E1647" t="str">
            <v>其他塑料薄膜</v>
          </cell>
          <cell r="F1647" t="str">
            <v>无说明</v>
          </cell>
          <cell r="G1647" t="str">
            <v>塑料制品业</v>
          </cell>
        </row>
        <row r="1648">
          <cell r="E1648" t="str">
            <v>塑料板、片</v>
          </cell>
          <cell r="F1648" t="str">
            <v>指非泡沫塑料硬板、软板、装饰板、瓦楞板、中空格子板、薄片等。包括聚乙烯塑料板、片、聚丙烯塑料板、片、聚苯乙烯塑料板、片、聚氯乙烯塑料板、片、聚丙烯酸酯类塑料板、片、聚酯塑料板、片、纤维素衍生物塑料板、片、ABS板、片、聚乙烯醇缩丁醛塑料板、片、聚酰胺塑料板、片、氨基塑料板、片、酚醛塑料板、片、聚四氟乙烯塑料板、片、其他塑料板、片。不包括泡沫塑料板、片（详见107060107），也不包括降解塑料板、片（详见107060113）。</v>
          </cell>
          <cell r="G1648" t="str">
            <v>塑料制品业</v>
          </cell>
        </row>
        <row r="1649">
          <cell r="E1649" t="str">
            <v>塑料管</v>
          </cell>
          <cell r="F1649" t="str">
            <v>指非泡沫塑料管，包括塑料硬管、软管、管材。不包括泡沫塑料管（详见107060107），也不包括降解塑料管（详见107060113）。</v>
          </cell>
          <cell r="G1649" t="str">
            <v>塑料制品业</v>
          </cell>
        </row>
        <row r="1650">
          <cell r="E1650" t="str">
            <v>塑料管附件</v>
          </cell>
          <cell r="F1650" t="str">
            <v>包括塑料管的塑料附件，管子接头、肘管、法兰等。</v>
          </cell>
          <cell r="G1650" t="str">
            <v>塑料制品业</v>
          </cell>
        </row>
        <row r="1651">
          <cell r="E1651" t="str">
            <v>塑料条、棒、型材</v>
          </cell>
          <cell r="F1651" t="str">
            <v>指以塑料为主要原料，经连续挤出成型的非泡沫中空型材及异型材，主要用于室内天花板、墙裙、塑料门、塑料窗、扶手及其框架和门槛等类似制成，包括聚乙烯塑料条、棒、型材、聚氯乙烯塑料条、棒、型材。不包括泡沫塑料（详见107060107）、非泡沫塑料板、片、管、丝、绳（详见107060102）和塑料管（详见107060103），也不包括降解塑料条、棒、型材（详见107060113）。</v>
          </cell>
          <cell r="G1651" t="str">
            <v>塑料制品业</v>
          </cell>
        </row>
        <row r="1652">
          <cell r="E1652" t="str">
            <v>塑料丝、绳、袋及编织品</v>
          </cell>
          <cell r="F1652" t="str">
            <v>包括塑料单丝、塑料绳、塑料扁条、塑料编织袋、塑料袋、塑料编织布等，不包括泡沫塑料（详见107060107）或非泡沫塑料板、片、管、丝、绳（详见107060102）和塑料管（详见107060103），也不包括降解塑料丝、绳及编织品（详见107060113）。</v>
          </cell>
          <cell r="G1652" t="str">
            <v>塑料制品业</v>
          </cell>
        </row>
        <row r="1653">
          <cell r="E1653" t="str">
            <v>泡沫塑料</v>
          </cell>
          <cell r="F1653" t="str">
            <v>包括聚乙烯泡沫塑料、聚苯乙烯泡沫塑料、聚氯乙烯泡沫塑料、聚氨酯泡沫塑料、其他泡沫塑料。不包括降解泡沫塑料（详见107060113）。</v>
          </cell>
          <cell r="G1653" t="str">
            <v>塑料制品业</v>
          </cell>
        </row>
        <row r="1654">
          <cell r="E1654" t="str">
            <v>塑料人造革、合成革</v>
          </cell>
          <cell r="F1654" t="str">
            <v>包括箱包、服装、鞋、蓬盖、灯箱、汽车、体育器材、家具等各种用途的塑料人造革、合成革，不包括塑料铺地制品（详见107060102）。</v>
          </cell>
          <cell r="G1654" t="str">
            <v>塑料制品业</v>
          </cell>
        </row>
        <row r="1655">
          <cell r="E1655" t="str">
            <v>塑料包装箱及容器</v>
          </cell>
          <cell r="F1655" t="str">
            <v>指供运输或包装货物用的塑料制品及塑料包装物附件，包括塑料包装箱及类似品、塑料盒及类似品、塑料容器，容积≤300L、塑料容器，容积＞300L、塑料包装物附件、其他塑料包装箱及容器。不包括家用塑料餐具和厨房用具（详见107060112），也不包括降解塑料包装箱及容器（详见107060113）。</v>
          </cell>
          <cell r="G1655" t="str">
            <v>塑料制品业</v>
          </cell>
        </row>
        <row r="1656">
          <cell r="E1656" t="str">
            <v>塑料零件</v>
          </cell>
          <cell r="F1656" t="str">
            <v>包括塑料绝缘零件、塑料密封制品、塑料紧固件、光学塑料零件、灯具及照明装置用塑料零件、家具用塑料零件、汽车或类似品塑料配件、其他塑料零件。不包括降解塑料零件（详见107060113）。</v>
          </cell>
          <cell r="G1656" t="str">
            <v>塑料制品业</v>
          </cell>
        </row>
        <row r="1657">
          <cell r="E1657" t="str">
            <v>建筑用塑料制品</v>
          </cell>
          <cell r="F1657" t="str">
            <v>包括塑料铺地制品、塑料类防水卷材、塑料糊墙品、塑料门、窗、塑料窗板、帘、建筑用固定安装塑料制品、塑料制建筑结构架及类似品、其他建筑用塑料制品。不包括建筑用降解塑料制品（详见107060113）。</v>
          </cell>
          <cell r="G1657" t="str">
            <v>塑料制品业</v>
          </cell>
        </row>
        <row r="1658">
          <cell r="E1658" t="str">
            <v>日用塑料制品</v>
          </cell>
          <cell r="F1658" t="str">
            <v>包括普通塑料餐、厨用具、密胺塑料餐、厨用具、微波炉用塑料餐、厨用具、塑料卫生设备、洁具及其配件、塑料服装及其附件、安全帽及塑料橡胶帽、医疗卫生用塑料制品、日用塑料装饰品、其他日用塑料制品。不包括降解塑料日用制品（详见107060113）。</v>
          </cell>
          <cell r="G1658" t="str">
            <v>塑料制品业</v>
          </cell>
        </row>
        <row r="1659">
          <cell r="E1659" t="str">
            <v>降解塑料制品</v>
          </cell>
          <cell r="F1659" t="str">
            <v>指用在规定环境条件下，经过一段时间和包含一个或更多步骤，导致材料化学结构的显著变化而损失某些性能（如完整性、分子质量、结构或机械强度）和/或发生破碎的塑料制成的制品。包括生物分解塑料制品、光降解塑料制品、热氧降解塑料制品、生物基塑料制品、其他降解塑料制品。</v>
          </cell>
          <cell r="G1659" t="str">
            <v>塑料制品业</v>
          </cell>
        </row>
        <row r="1660">
          <cell r="E1660" t="str">
            <v>再生塑料制品</v>
          </cell>
          <cell r="F1660" t="str">
            <v>指以废塑料生产的建筑材料（如钢材、棚栏和墙面板）、园艺用料（如花盆、花园桩）、农产品容器（如装盛鸡蛋、水果和蔬菜等的容器）、办公用品（如文件夹和封皮）、非食品容器及可重复利用的包装箱、娱乐设施和室外家具等塑料制品。</v>
          </cell>
          <cell r="G1660" t="str">
            <v>塑料制品业</v>
          </cell>
        </row>
        <row r="1661">
          <cell r="E1661" t="str">
            <v>塑木（木塑）制品</v>
          </cell>
          <cell r="F1661" t="str">
            <v>指利用聚乙烯、聚丙烯和聚氯乙烯等，代替通常的树脂胶粘剂，与超过35%-70%以上的木粉、稻壳、秸秆等废植物纤维混合成新的木质材料，再经挤压、模压、注塑成型等塑料制品。</v>
          </cell>
          <cell r="G1661" t="str">
            <v>塑料制品业</v>
          </cell>
        </row>
        <row r="1662">
          <cell r="E1662" t="str">
            <v>其他塑料制品</v>
          </cell>
          <cell r="F1662" t="str">
            <v>指其他非降解塑料制品，包括塑料胶粘板、带及类似材料、其他未列明塑料制品。不包括降解塑料制品（详见107060113）。</v>
          </cell>
          <cell r="G1662" t="str">
            <v>塑料制品业</v>
          </cell>
        </row>
        <row r="1663">
          <cell r="E1663" t="str">
            <v>塑料粒料</v>
          </cell>
          <cell r="F1663" t="str">
            <v>指以半成品形态进行储存、运输和加工成型的塑料原料。塑料颗粒的俗称。</v>
          </cell>
          <cell r="G1663" t="str">
            <v>塑料制品业</v>
          </cell>
        </row>
        <row r="1664">
          <cell r="E1664" t="str">
            <v>其他塑料半成品、辅料</v>
          </cell>
          <cell r="F1664" t="str">
            <v>无说明</v>
          </cell>
          <cell r="G1664" t="str">
            <v>塑料制品业</v>
          </cell>
        </row>
        <row r="1665">
          <cell r="E1665" t="str">
            <v>建筑用纤维增强塑料制品</v>
          </cell>
          <cell r="F1665" t="str">
            <v>指用于建筑工程的含有增强材料的塑料制品。</v>
          </cell>
          <cell r="G1665" t="str">
            <v>塑料制品业</v>
          </cell>
        </row>
        <row r="1666">
          <cell r="E1666" t="str">
            <v>石化、酿造用纤维增强塑料制品</v>
          </cell>
          <cell r="F1666" t="str">
            <v>指用于石化、酿造的含有增强材料的塑料制品。</v>
          </cell>
          <cell r="G1666" t="str">
            <v>塑料制品业</v>
          </cell>
        </row>
        <row r="1667">
          <cell r="E1667" t="str">
            <v>机械设备用纤维增强塑料制品</v>
          </cell>
          <cell r="F1667" t="str">
            <v>指用于机械设备的含有增强材料的塑料制品。</v>
          </cell>
          <cell r="G1667" t="str">
            <v>塑料制品业</v>
          </cell>
        </row>
        <row r="1668">
          <cell r="E1668" t="str">
            <v>装饰用纤维增强塑料制品</v>
          </cell>
          <cell r="F1668" t="str">
            <v>包括建筑装饰、室内装饰、园林景观、纤维增强塑料整体卫浴间、浴缸、浴盆、托水盘、壁板等。</v>
          </cell>
          <cell r="G1668" t="str">
            <v>塑料制品业</v>
          </cell>
        </row>
        <row r="1669">
          <cell r="E1669" t="str">
            <v>交通运输用纤维增强塑料制品</v>
          </cell>
          <cell r="F1669" t="str">
            <v>包括汽车、火车、城铁、地铁、特种车辆、交通设施等。</v>
          </cell>
          <cell r="G1669" t="str">
            <v>塑料制品业</v>
          </cell>
        </row>
        <row r="1670">
          <cell r="E1670" t="str">
            <v>能源、电力用纤维增强塑料制品</v>
          </cell>
          <cell r="F1670" t="str">
            <v>指用于能源、电力的含有增强材料的塑料制品。</v>
          </cell>
          <cell r="G1670" t="str">
            <v>塑料制品业</v>
          </cell>
        </row>
        <row r="1671">
          <cell r="E1671" t="str">
            <v>航空航天用纤维增强塑料制品</v>
          </cell>
          <cell r="F1671" t="str">
            <v>指用于航空航天的含有增强材料的塑料制品。</v>
          </cell>
          <cell r="G1671" t="str">
            <v>塑料制品业</v>
          </cell>
        </row>
        <row r="1672">
          <cell r="E1672" t="str">
            <v>其他纤维增强塑料制品</v>
          </cell>
          <cell r="F1672" t="str">
            <v>无说明</v>
          </cell>
          <cell r="G1672" t="str">
            <v>塑料制品业</v>
          </cell>
        </row>
        <row r="1673">
          <cell r="E1673" t="str">
            <v>硅酸盐水泥熟料</v>
          </cell>
          <cell r="F1673" t="str">
            <v>即波特兰水泥熟料（简称水泥熟料），是一种由主要含CaO、SiO2、Al2O3、Fe2O3的原料按适当配比磨成细粉烧至部分熔融，所得以硅酸钙为主要矿物成分的水硬性胶凝物质；包括企业自产自用的水泥熟料和外销水泥熟料。</v>
          </cell>
          <cell r="G1673" t="str">
            <v>金属制品业</v>
          </cell>
        </row>
        <row r="1674">
          <cell r="E1674" t="str">
            <v>水泥</v>
          </cell>
          <cell r="F1674" t="str">
            <v>凡细磨成粉末状，加入适量水后，可成为塑性胶体，既能在空气中硬化，又能在水中硬化，并能把砂、石等材料牢固的胶结在一起的水硬性胶凝材料统称为水泥；水泥的种类很多，常用的是通用硅酸盐水泥</v>
          </cell>
          <cell r="G1674" t="str">
            <v>金属制品业</v>
          </cell>
        </row>
        <row r="1675">
          <cell r="E1675" t="str">
            <v>石灰</v>
          </cell>
          <cell r="F1675" t="str">
            <v>不同化学组成和物理形态的生石灰、消石灰、水硬性石灰与气硬性石灰的统称</v>
          </cell>
          <cell r="G1675" t="str">
            <v>金属制品业</v>
          </cell>
        </row>
        <row r="1676">
          <cell r="E1676" t="str">
            <v>熟石膏</v>
          </cell>
          <cell r="F1676" t="str">
            <v>石膏经低温煅烧所得到的以β半水硫酸钙为主要成分、不预加任何外加剂的粉状胶凝材料</v>
          </cell>
          <cell r="G1676" t="str">
            <v>金属制品业</v>
          </cell>
        </row>
        <row r="1677">
          <cell r="E1677" t="str">
            <v>商品混凝土</v>
          </cell>
          <cell r="F1677" t="str">
            <v>混凝土是指用水泥作胶凝材料，砂、石作集料，与水（加或不加外加剂和掺合料）按一定比例配合，经搅拌、成型、养护而得的水泥混凝土，也称普通混凝土；它广泛应用于土木工程</v>
          </cell>
          <cell r="G1677" t="str">
            <v>金属制品业</v>
          </cell>
        </row>
        <row r="1678">
          <cell r="E1678" t="str">
            <v>水泥混凝土排水管</v>
          </cell>
          <cell r="F1678" t="str">
            <v>又称下水管，用于建设排除污水、雨水的下水道，排水管在生产时夹入钢筋的称钢筋混凝土排水管，不夹钢筋的称无筋混凝土排水管</v>
          </cell>
          <cell r="G1678" t="str">
            <v>金属制品业</v>
          </cell>
        </row>
        <row r="1679">
          <cell r="E1679" t="str">
            <v>水泥混凝土压力管</v>
          </cell>
          <cell r="F1679" t="str">
            <v>以钢筋混凝土为原料生产的，按照质量标准要求，可以承受一定的内压力，用于输送自来水、各种气体、石油的管道，按其生产时所用方法或原料不同，可分为预应力钢筋混凝土管和自应力钢筋混凝土管、普通钢筋混凝土管；包括水泥输水管、水泥输气管和水泥输油管</v>
          </cell>
          <cell r="G1679" t="str">
            <v>金属制品业</v>
          </cell>
        </row>
        <row r="1680">
          <cell r="E1680" t="str">
            <v>钢筋混凝土井管、烟道管，相关钢筋混凝土管</v>
          </cell>
          <cell r="F1680" t="str">
            <v>无说明</v>
          </cell>
          <cell r="G1680" t="str">
            <v>黑色金属冶炼及压延加工业</v>
          </cell>
        </row>
        <row r="1681">
          <cell r="E1681" t="str">
            <v>水泥混凝土电杆</v>
          </cell>
          <cell r="F1681" t="str">
            <v>按生产时配入钢筋的方法可分为预应力钢筋混凝土电杆和普通钢筋混凝土电杆以及簿壁轻型钢筋混凝土电杆，按其横截面形状可分为环形、矩型、工字型、双肢型等</v>
          </cell>
          <cell r="G1681" t="str">
            <v>金属制品业</v>
          </cell>
        </row>
        <row r="1682">
          <cell r="E1682" t="str">
            <v>预应力混凝土桩</v>
          </cell>
          <cell r="F1682" t="str">
            <v>为加强建筑物基础而打入地下的一种混凝土制品；包括预应力混凝土管桩、方桩等</v>
          </cell>
          <cell r="G1682" t="str">
            <v>金属制品业</v>
          </cell>
        </row>
        <row r="1683">
          <cell r="E1683" t="str">
            <v>混凝土轨枕及铁道用混凝土制品</v>
          </cell>
          <cell r="F1683" t="str">
            <v>包括预应力混凝土水泥轨枕、气垫火车导轨体段、预应力混凝土桥枕、岔枕、混凝土轨道板</v>
          </cell>
          <cell r="G1683" t="str">
            <v>黑色金属冶炼及压延加工业</v>
          </cell>
        </row>
        <row r="1684">
          <cell r="E1684" t="str">
            <v>水泥混凝土预制构件</v>
          </cell>
          <cell r="F1684" t="str">
            <v>指建筑房屋用的各种梁、柱、板、楼梯等钢筋混凝土预制构件</v>
          </cell>
          <cell r="G1684" t="str">
            <v>金属制品业</v>
          </cell>
        </row>
        <row r="1685">
          <cell r="E1685" t="str">
            <v>水泥混凝土制砖、瓦及类似品</v>
          </cell>
          <cell r="F1685" t="str">
            <v>包括水泥混凝土砖、水泥混凝土瓦、混凝土路缘石、混凝土界石、墓碑及类似品</v>
          </cell>
          <cell r="G1685" t="str">
            <v>金属制品业</v>
          </cell>
        </row>
        <row r="1686">
          <cell r="E1686" t="str">
            <v>纤维增强水泥制品</v>
          </cell>
          <cell r="F1686" t="str">
            <v>包括石棉水泥制品、纤维增强硅酸钙板、GRC水泥制品等</v>
          </cell>
          <cell r="G1686" t="str">
            <v>金属制品业</v>
          </cell>
        </row>
        <row r="1687">
          <cell r="E1687" t="str">
            <v>其他水泥混凝土制品</v>
          </cell>
          <cell r="F1687" t="str">
            <v>无说明</v>
          </cell>
          <cell r="G1687" t="str">
            <v>金属制品业</v>
          </cell>
        </row>
        <row r="1688">
          <cell r="E1688" t="str">
            <v>纸面石膏板</v>
          </cell>
          <cell r="F1688" t="str">
            <v>无说明</v>
          </cell>
          <cell r="G1688" t="str">
            <v>金属制品业</v>
          </cell>
        </row>
        <row r="1689">
          <cell r="E1689" t="str">
            <v>石膏空心条板</v>
          </cell>
          <cell r="F1689" t="str">
            <v>以建筑石膏为基材，掺以无机轻集料、无机纤维增强材料而制成的空心条板</v>
          </cell>
          <cell r="G1689" t="str">
            <v>金属制品业</v>
          </cell>
        </row>
        <row r="1690">
          <cell r="E1690" t="str">
            <v>其他石膏板</v>
          </cell>
          <cell r="F1690" t="str">
            <v>无说明</v>
          </cell>
          <cell r="G1690" t="str">
            <v>金属制品业</v>
          </cell>
        </row>
        <row r="1691">
          <cell r="E1691" t="str">
            <v>石膏龙骨，相关石膏制品</v>
          </cell>
          <cell r="F1691" t="str">
            <v>包括石膏龙骨、相关石膏制品，不包括石膏砌块（详见10801050305）</v>
          </cell>
          <cell r="G1691" t="str">
            <v>金属制品业</v>
          </cell>
        </row>
        <row r="1692">
          <cell r="E1692" t="str">
            <v>蒸压加气混凝土板</v>
          </cell>
          <cell r="F1692" t="str">
            <v>以硅质材料和钙质材料为主要原料，以铝粉为发泡剂，配以经防腐处理的钢筋网片，经加水搅拌、浇注成型、预养切割、蒸压养护制成的多孔板材，不包括加气混凝土砌块（详见108010503）。</v>
          </cell>
          <cell r="G1692" t="str">
            <v>金属制品业</v>
          </cell>
        </row>
        <row r="1693">
          <cell r="E1693" t="str">
            <v>建筑用轻质隔墙条板</v>
          </cell>
          <cell r="F1693" t="str">
            <v>由无害化磷石膏、轻质钢渣、粉煤灰等多种工业废渣组成，经变频蒸汽加压养护而成。内层装有合理布局的隔热、吸声的无机发泡型材或其他保温材料。</v>
          </cell>
          <cell r="G1693" t="str">
            <v>金属制品业</v>
          </cell>
        </row>
        <row r="1694">
          <cell r="E1694" t="str">
            <v>外墙外保温系统用钢丝网架模塑聚苯乙烯板</v>
          </cell>
          <cell r="F1694" t="str">
            <v>以工厂自动化设备生产的双面或单面钢丝网架为骨架，EPS为绝热材料，用于现浇混凝土建筑、砌体建筑及既有建筑外墙外保温系统的钢丝网架EPS板</v>
          </cell>
          <cell r="G1694" t="str">
            <v>黑色金属冶炼及压延加工业</v>
          </cell>
        </row>
        <row r="1695">
          <cell r="E1695" t="str">
            <v>纤维增强硅酸钙板</v>
          </cell>
          <cell r="F1695" t="str">
            <v>无说明</v>
          </cell>
          <cell r="G1695" t="str">
            <v>金属制品业</v>
          </cell>
        </row>
        <row r="1696">
          <cell r="E1696" t="str">
            <v>玻璃纤维增强水泥轻质多孔隔墙条板</v>
          </cell>
          <cell r="F1696" t="str">
            <v>以耐碱玻璃纤维与硫铝酸盐水泥为主要原料的预制非承重轻质多孔内隔墙条扳</v>
          </cell>
          <cell r="G1696" t="str">
            <v>金属制品业</v>
          </cell>
        </row>
        <row r="1697">
          <cell r="E1697" t="str">
            <v>建筑用金属面绝热夹芯板</v>
          </cell>
          <cell r="F1697" t="str">
            <v>以双金属面和粘接于两金属面之间的绝热夹芯材组成的自支撑的复合板材</v>
          </cell>
          <cell r="G1697" t="str">
            <v>金属制品业</v>
          </cell>
        </row>
        <row r="1698">
          <cell r="E1698" t="str">
            <v>中空钢网内模隔墙</v>
          </cell>
          <cell r="F1698" t="str">
            <v>无说明</v>
          </cell>
          <cell r="G1698" t="str">
            <v>黑色金属冶炼及压延加工业</v>
          </cell>
        </row>
        <row r="1699">
          <cell r="E1699" t="str">
            <v>建筑隔墙用保温条板</v>
          </cell>
          <cell r="F1699" t="str">
            <v>由无害化磷石膏、轻质钢渣、粉煤灰等多种工业废渣组成，经变频蒸汽加压养护而成。内层装有合理布局的隔热、吸声的无机发泡型材或其他保温材料。</v>
          </cell>
          <cell r="G1699" t="str">
            <v>金属制品业</v>
          </cell>
        </row>
        <row r="1700">
          <cell r="E1700" t="str">
            <v>预制复合墙板（体）</v>
          </cell>
          <cell r="F1700" t="str">
            <v>无说明</v>
          </cell>
          <cell r="G1700" t="str">
            <v>金属制品业</v>
          </cell>
        </row>
        <row r="1701">
          <cell r="E1701" t="str">
            <v>聚氨酯硬泡复合板</v>
          </cell>
          <cell r="F1701" t="str">
            <v>无说明</v>
          </cell>
          <cell r="G1701" t="str">
            <v>金属制品业</v>
          </cell>
        </row>
        <row r="1702">
          <cell r="E1702" t="str">
            <v>专用聚氨酯建筑墙体</v>
          </cell>
          <cell r="F1702" t="str">
            <v>无说明</v>
          </cell>
          <cell r="G1702" t="str">
            <v>金属制品业</v>
          </cell>
        </row>
        <row r="1703">
          <cell r="E1703" t="str">
            <v>纤维增强低碱度水泥建筑平板</v>
          </cell>
          <cell r="F1703" t="str">
            <v>无说明</v>
          </cell>
          <cell r="G1703" t="str">
            <v>金属制品业</v>
          </cell>
        </row>
        <row r="1704">
          <cell r="E1704" t="str">
            <v>维纶纤维增强水泥平板</v>
          </cell>
          <cell r="F1704" t="str">
            <v>无说明</v>
          </cell>
          <cell r="G1704" t="str">
            <v>金属制品业</v>
          </cell>
        </row>
        <row r="1705">
          <cell r="E1705" t="str">
            <v>纤维水泥平板</v>
          </cell>
          <cell r="F1705" t="str">
            <v>无说明</v>
          </cell>
          <cell r="G1705" t="str">
            <v>金属制品业</v>
          </cell>
        </row>
        <row r="1706">
          <cell r="E1706" t="str">
            <v>其他轻质隔墙条板</v>
          </cell>
          <cell r="F1706" t="str">
            <v>无说明</v>
          </cell>
          <cell r="G1706" t="str">
            <v>金属制品业</v>
          </cell>
        </row>
        <row r="1707">
          <cell r="E1707" t="str">
            <v>轻骨料，相关轻质建筑材料</v>
          </cell>
          <cell r="F1707" t="str">
            <v>包括天然轻骨料、人工轻骨料、轻钢龙骨</v>
          </cell>
          <cell r="G1707" t="str">
            <v>金属制品业</v>
          </cell>
        </row>
        <row r="1708">
          <cell r="E1708" t="str">
            <v>烧结普通砖</v>
          </cell>
          <cell r="F1708" t="str">
            <v>指实心粘土砖</v>
          </cell>
          <cell r="G1708" t="str">
            <v>金属制品业</v>
          </cell>
        </row>
        <row r="1709">
          <cell r="E1709" t="str">
            <v>非粘土烧结多孔砖</v>
          </cell>
          <cell r="F1709" t="str">
            <v>利用页岩、煤矸石、粉煤灰、淤泥、硅藻土等非粘土材料为主要原料烧结的多孔砖</v>
          </cell>
          <cell r="G1709" t="str">
            <v>金属制品业</v>
          </cell>
        </row>
        <row r="1710">
          <cell r="E1710" t="str">
            <v>非粘土烧结空心砖</v>
          </cell>
          <cell r="F1710" t="str">
            <v>利用页岩、煤矸石、粉煤灰、淤泥、硅藻土等非粘土材料为主要原料烧结的空心砖</v>
          </cell>
          <cell r="G1710" t="str">
            <v>金属制品业</v>
          </cell>
        </row>
        <row r="1711">
          <cell r="E1711" t="str">
            <v>烧结空心砌块</v>
          </cell>
          <cell r="F1711" t="str">
            <v>指以粘土、页岩、煤矸石为主要原料，经焙烧而成的主要用于非承重部位的空心砌块。</v>
          </cell>
          <cell r="G1711" t="str">
            <v>金属制品业</v>
          </cell>
        </row>
        <row r="1712">
          <cell r="E1712" t="str">
            <v>烧结多孔砌块</v>
          </cell>
          <cell r="F1712" t="str">
            <v>指以粘土、页岩、煤矸石为主要原料，经焙烧而成的主要用于承重部位的多孔砌块</v>
          </cell>
          <cell r="G1712" t="str">
            <v>金属制品业</v>
          </cell>
        </row>
        <row r="1713">
          <cell r="E1713" t="str">
            <v>承重混凝土多孔砖</v>
          </cell>
          <cell r="F1713" t="str">
            <v>指以水泥、砂、石为主要原料，经配料、搅拌、成型、养护制成，用于承重结构的多排孔混凝土砖</v>
          </cell>
          <cell r="G1713" t="str">
            <v>金属制品业</v>
          </cell>
        </row>
        <row r="1714">
          <cell r="E1714" t="str">
            <v>非承重混凝土空心砖</v>
          </cell>
          <cell r="F1714" t="str">
            <v>指以水泥、集料为主要原材料，可掺入外加剂及其他材料经配料、搅拌、成型、养护制成的空心率不小于25%，用于非承重结构部位的砖</v>
          </cell>
          <cell r="G1714" t="str">
            <v>金属制品业</v>
          </cell>
        </row>
        <row r="1715">
          <cell r="E1715" t="str">
            <v>蒸压粉煤灰多孔砖</v>
          </cell>
          <cell r="F1715" t="str">
            <v>指采用粉煤灰、磨细石灰、石膏与泡沫剂拌合成型，经蒸压养护而成的一种轻质多孔墙体材料</v>
          </cell>
          <cell r="G1715" t="str">
            <v>金属制品业</v>
          </cell>
        </row>
        <row r="1716">
          <cell r="E1716" t="str">
            <v>蒸压泡沫混凝土砖</v>
          </cell>
          <cell r="F1716" t="str">
            <v>指采用发泡剂通过机械制备泡沫，将优质不易破裂的泡沫强制加入到水泥基胶凝材料、集料、掺合料、外加剂和水拌合的混合料内，形成具有微气泡结构的轻质料浆，经浇注成型后再进行蒸压反应等工序而制作成的微孔硅酸盐制品。</v>
          </cell>
          <cell r="G1716" t="str">
            <v>金属制品业</v>
          </cell>
        </row>
        <row r="1717">
          <cell r="E1717" t="str">
            <v>烧结多孔砖</v>
          </cell>
          <cell r="F1717" t="str">
            <v>烧结多孔砖是指以粘土、页岩、煤矸石为主要原料，经焙烧而成的主要用于承重部位的多孔砖。</v>
          </cell>
          <cell r="G1717" t="str">
            <v>金属制品业</v>
          </cell>
        </row>
        <row r="1718">
          <cell r="E1718" t="str">
            <v>烧结空心砖</v>
          </cell>
          <cell r="F1718" t="str">
            <v>烧结空心砖是指以粘土、页岩、煤矸石为主要原料，经焙烧而成的主要用于非承重部位的空心砖</v>
          </cell>
          <cell r="G1718" t="str">
            <v>金属制品业</v>
          </cell>
        </row>
        <row r="1719">
          <cell r="E1719" t="str">
            <v>其他混凝土砖</v>
          </cell>
          <cell r="F1719" t="str">
            <v>无说明</v>
          </cell>
          <cell r="G1719" t="str">
            <v>金属制品业</v>
          </cell>
        </row>
        <row r="1720">
          <cell r="E1720" t="str">
            <v>其他砖</v>
          </cell>
          <cell r="F1720" t="str">
            <v>无说明</v>
          </cell>
          <cell r="G1720" t="str">
            <v>金属制品业</v>
          </cell>
        </row>
        <row r="1721">
          <cell r="E1721" t="str">
            <v>瓦</v>
          </cell>
          <cell r="F1721" t="str">
            <v>以粘土、页岩和煤矸石、粉煤灰等工业废弃物为原料，通过焙烧或蒸压方法制成的建筑用瓦</v>
          </cell>
          <cell r="G1721" t="str">
            <v>金属制品业</v>
          </cell>
        </row>
        <row r="1722">
          <cell r="E1722" t="str">
            <v>普通混凝土小型空心砌块</v>
          </cell>
          <cell r="F1722" t="str">
            <v>用水泥作胶结材料，砂、石作集料，经搅拌、振动（或压制）成型、养护等工艺过程制成</v>
          </cell>
          <cell r="G1722" t="str">
            <v>金属制品业</v>
          </cell>
        </row>
        <row r="1723">
          <cell r="E1723" t="str">
            <v>轻集料混凝土小型空心砌块</v>
          </cell>
          <cell r="F1723" t="str">
            <v>以水泥为胶结料，以各种轻集料为填充材料，经计量、搅拌、成型、养护等工艺制成的新型墙体材料</v>
          </cell>
          <cell r="G1723" t="str">
            <v>金属制品业</v>
          </cell>
        </row>
        <row r="1724">
          <cell r="E1724" t="str">
            <v>烧结保温砖（砌块）</v>
          </cell>
          <cell r="F1724" t="str">
            <v>无说明</v>
          </cell>
          <cell r="G1724" t="str">
            <v>金属制品业</v>
          </cell>
        </row>
        <row r="1725">
          <cell r="E1725" t="str">
            <v>蒸压加气混凝土砌块</v>
          </cell>
          <cell r="F1725" t="str">
            <v>指以水泥、石灰、砂或粉煤灰等胶凝材料为主要原材料，经计量、搅拌、发泡、切割、蒸压养护等工艺制成的一种多孔新型墙体材料。</v>
          </cell>
          <cell r="G1725" t="str">
            <v>金属制品业</v>
          </cell>
        </row>
        <row r="1726">
          <cell r="E1726" t="str">
            <v>石膏砌块</v>
          </cell>
          <cell r="F1726" t="str">
            <v>以石膏为主要原料，经加水搅拌、浇注成型和干燥等制成的轻质石膏制品，包括脱硫石膏。</v>
          </cell>
          <cell r="G1726" t="str">
            <v>金属制品业</v>
          </cell>
        </row>
        <row r="1727">
          <cell r="E1727" t="str">
            <v>粉煤灰混凝土小型空心砌块</v>
          </cell>
          <cell r="F1727" t="str">
            <v>以粉煤灰、水泥、各种轻重集料、水为主要组分拌合制成的小型空心砌块</v>
          </cell>
          <cell r="G1727" t="str">
            <v>金属制品业</v>
          </cell>
        </row>
        <row r="1728">
          <cell r="E1728" t="str">
            <v>复合保温砖（砌块）</v>
          </cell>
          <cell r="F1728" t="str">
            <v>无说明</v>
          </cell>
          <cell r="G1728" t="str">
            <v>金属制品业</v>
          </cell>
        </row>
        <row r="1729">
          <cell r="E1729" t="str">
            <v>蒸压泡沫混凝土砌块</v>
          </cell>
          <cell r="F1729" t="str">
            <v>指将化学发泡剂或物理发泡剂发泡后加入到胶凝材料、掺合料、改性剂、卤水等制成的料浆中，经混合搅拌、浇注成型、自然养护所形成的一种含有大量封闭气孔的新型轻质保温材料。</v>
          </cell>
          <cell r="G1729" t="str">
            <v>金属制品业</v>
          </cell>
        </row>
        <row r="1730">
          <cell r="E1730" t="str">
            <v>其他建筑砌块</v>
          </cell>
          <cell r="F1730" t="str">
            <v>无说明</v>
          </cell>
          <cell r="G1730" t="str">
            <v>金属制品业</v>
          </cell>
        </row>
        <row r="1731">
          <cell r="E1731" t="str">
            <v>陶瓷砖</v>
          </cell>
          <cell r="F1731" t="str">
            <v>包括瓷质砖、炻瓷砖、细炻砖、炻质砖、陶质砖、陶瓷耐酸砖</v>
          </cell>
          <cell r="G1731" t="str">
            <v>金属制品业</v>
          </cell>
        </row>
        <row r="1732">
          <cell r="E1732" t="str">
            <v>陶瓷马赛克</v>
          </cell>
          <cell r="F1732" t="str">
            <v>包括无釉陶瓷锦砖、有釉陶瓷锦砖、纳米抗菌陶瓷锦砖、微晶玻璃陶瓷复合砖</v>
          </cell>
          <cell r="G1732" t="str">
            <v>金属制品业</v>
          </cell>
        </row>
        <row r="1733">
          <cell r="E1733" t="str">
            <v>建筑陶瓷装饰物</v>
          </cell>
          <cell r="F1733" t="str">
            <v>房屋、墙壁、大门等上用的建筑陶瓷装饰物</v>
          </cell>
          <cell r="G1733" t="str">
            <v>金属制品业</v>
          </cell>
        </row>
        <row r="1734">
          <cell r="E1734" t="str">
            <v>其他建筑陶瓷制品</v>
          </cell>
          <cell r="F1734" t="str">
            <v>无说明</v>
          </cell>
          <cell r="G1734" t="str">
            <v>金属制品业</v>
          </cell>
        </row>
        <row r="1735">
          <cell r="E1735" t="str">
            <v>加工天然石材、石料</v>
          </cell>
          <cell r="F1735" t="str">
            <v>指除经劈、锯、粗切成块、片、板状（石面为方形或长方形）以外，还须经过进一步加工的石料、石块、石板或石片</v>
          </cell>
          <cell r="G1735" t="str">
            <v>金属制品业</v>
          </cell>
        </row>
        <row r="1736">
          <cell r="E1736" t="str">
            <v>人造石材、石料</v>
          </cell>
          <cell r="F1736" t="str">
            <v>以不饱和聚酯树脂为粘结剂，配以天然大理石或方解石、白云石、硅砂、玻璃粉等无机物粉料，以及适量的阻燃剂、颜料等，经配料混合、瓷铸、振动压缩、挤压等方法成型固化制成</v>
          </cell>
          <cell r="G1736" t="str">
            <v>金属制品业</v>
          </cell>
        </row>
        <row r="1737">
          <cell r="E1737" t="str">
            <v>天然石材制成品</v>
          </cell>
          <cell r="F1737" t="str">
            <v>包括经加工的石砖、瓦、方块及类似品</v>
          </cell>
          <cell r="G1737" t="str">
            <v>金属制品业</v>
          </cell>
        </row>
        <row r="1738">
          <cell r="E1738" t="str">
            <v>人造石材制成品</v>
          </cell>
          <cell r="F1738" t="str">
            <v>无说明</v>
          </cell>
          <cell r="G1738" t="str">
            <v>金属制品业</v>
          </cell>
        </row>
        <row r="1739">
          <cell r="E1739" t="str">
            <v>水磨石建筑制成品</v>
          </cell>
          <cell r="F1739" t="str">
            <v>以水泥、石渣和砂为主要原材料，经搅拌、振动或压制成型、养护、研磨等工序制作而成的建筑水磨石板材</v>
          </cell>
          <cell r="G1739" t="str">
            <v>金属制品业</v>
          </cell>
        </row>
        <row r="1740">
          <cell r="E1740" t="str">
            <v>PVC石英砂地板砖</v>
          </cell>
          <cell r="F1740" t="str">
            <v>无说明</v>
          </cell>
          <cell r="G1740" t="str">
            <v>金属制品业</v>
          </cell>
        </row>
        <row r="1741">
          <cell r="E1741" t="str">
            <v>其他石制品</v>
          </cell>
          <cell r="F1741" t="str">
            <v>无说明</v>
          </cell>
          <cell r="G1741" t="str">
            <v>金属制品业</v>
          </cell>
        </row>
        <row r="1742">
          <cell r="E1742" t="str">
            <v>沥青和改性沥青防水卷材</v>
          </cell>
          <cell r="F1742" t="str">
            <v>包括石油沥青防水卷材、改性沥青防水卷材、其他沥青防水卷材</v>
          </cell>
          <cell r="G1742" t="str">
            <v>金属制品业</v>
          </cell>
        </row>
        <row r="1743">
          <cell r="E1743" t="str">
            <v>自粘防水卷材</v>
          </cell>
          <cell r="F1743" t="str">
            <v>包括自粘橡胶沥青防水卷材、自粘聚合物改性沥青聚酯胎防水卷材</v>
          </cell>
          <cell r="G1743" t="str">
            <v>金属制品业</v>
          </cell>
        </row>
        <row r="1744">
          <cell r="E1744" t="str">
            <v>玻纤胎沥青瓦</v>
          </cell>
          <cell r="F1744" t="str">
            <v>以石油沥青为主要原料，加入矿物填料，采用玻纤毡为胎基、上表面覆以保护材料，用于铺设搭接法施工的坡屋面的沥青瓦</v>
          </cell>
          <cell r="G1744" t="str">
            <v>金属制品业</v>
          </cell>
        </row>
        <row r="1745">
          <cell r="E1745" t="str">
            <v>高分子防水卷（片）材</v>
          </cell>
          <cell r="F1745" t="str">
            <v>包括橡胶防水卷（片）材、合成树脂类防水卷（片）材</v>
          </cell>
          <cell r="G1745" t="str">
            <v>金属制品业</v>
          </cell>
        </row>
        <row r="1746">
          <cell r="E1746" t="str">
            <v>其他建筑防水卷材及制品</v>
          </cell>
          <cell r="F1746" t="str">
            <v>无说明</v>
          </cell>
          <cell r="G1746" t="str">
            <v>金属制品业</v>
          </cell>
        </row>
        <row r="1747">
          <cell r="E1747" t="str">
            <v>矿物绝热和吸声材料</v>
          </cell>
          <cell r="F1747" t="str">
            <v>包括矿物棉、膨胀矿物材料</v>
          </cell>
          <cell r="G1747" t="str">
            <v>金属制品业</v>
          </cell>
        </row>
        <row r="1748">
          <cell r="E1748" t="str">
            <v>矿物材料制品</v>
          </cell>
          <cell r="F1748" t="str">
            <v>主要起绝热、吸声作用</v>
          </cell>
          <cell r="G1748" t="str">
            <v>金属制品业</v>
          </cell>
        </row>
        <row r="1749">
          <cell r="E1749" t="str">
            <v>平板玻璃</v>
          </cell>
          <cell r="F1749" t="str">
            <v>指板状硅酸盐玻璃，主要用于建筑业、车船业、电子工业、太阳能工业、制镜业、现代农业等部门，是重要的建筑材料和工业技术玻璃的基础材料</v>
          </cell>
          <cell r="G1749" t="str">
            <v>金属制品业</v>
          </cell>
        </row>
        <row r="1750">
          <cell r="E1750" t="str">
            <v>微晶玻璃</v>
          </cell>
          <cell r="F1750" t="str">
            <v>由适当组成的玻璃颗粒经烧结和晶化，制成由结晶相和玻璃相组成的质地坚实、致密均匀的复相材料</v>
          </cell>
          <cell r="G1750" t="str">
            <v>金属制品业</v>
          </cell>
        </row>
        <row r="1751">
          <cell r="E1751" t="str">
            <v>U型玻璃</v>
          </cell>
          <cell r="F1751" t="str">
            <v>是用先压延后成型的方法连续生产出来的，横截面呈"U"型的玻璃，适用于建筑的内外墙、隔墙、屋面及窗等</v>
          </cell>
          <cell r="G1751" t="str">
            <v>金属制品业</v>
          </cell>
        </row>
        <row r="1752">
          <cell r="E1752" t="str">
            <v>其他特种玻璃</v>
          </cell>
          <cell r="F1752" t="str">
            <v>无说明</v>
          </cell>
          <cell r="G1752" t="str">
            <v>金属制品业</v>
          </cell>
        </row>
        <row r="1753">
          <cell r="E1753" t="str">
            <v>玻璃陶瓷型材</v>
          </cell>
          <cell r="F1753" t="str">
            <v>指将回收的各种有色或无色透明平板、瓶罐废玻璃与废陶瓷筛选后加工而成的新型装饰材料</v>
          </cell>
          <cell r="G1753" t="str">
            <v>金属制品业</v>
          </cell>
        </row>
        <row r="1754">
          <cell r="E1754" t="str">
            <v>玻璃熟料</v>
          </cell>
          <cell r="F1754" t="str">
            <v>对成份差别大的碎玻璃统一加工制成的一种硅质原料</v>
          </cell>
          <cell r="G1754" t="str">
            <v>金属制品业</v>
          </cell>
        </row>
        <row r="1755">
          <cell r="E1755" t="str">
            <v>光学元件毛坯</v>
          </cell>
          <cell r="F1755" t="str">
            <v>指光学仪器用未经光学加工的光学元件毛坯</v>
          </cell>
          <cell r="G1755" t="str">
            <v>金属制品业</v>
          </cell>
        </row>
        <row r="1756">
          <cell r="E1756" t="str">
            <v>眼镜用光学玻璃坯件</v>
          </cell>
          <cell r="F1756" t="str">
            <v>包括视力矫正眼镜用玻璃、平光变色镜片坯件</v>
          </cell>
          <cell r="G1756" t="str">
            <v>金属制品业</v>
          </cell>
        </row>
        <row r="1757">
          <cell r="E1757" t="str">
            <v>光学仪器用玻璃</v>
          </cell>
          <cell r="F1757" t="str">
            <v>使用于光学仪器上的玻璃</v>
          </cell>
          <cell r="G1757" t="str">
            <v>金属制品业</v>
          </cell>
        </row>
        <row r="1758">
          <cell r="E1758" t="str">
            <v>其他玻璃制光学元件</v>
          </cell>
          <cell r="F1758" t="str">
            <v>指在制作中虽未经光学加工，但能产生某种所需的光学效果的元件，包括交通路灯、某种浮标灯、聚光灯泡、小手电、手电筒、配电盘灯或仪表板灯等的透镜及类似品</v>
          </cell>
          <cell r="G1758" t="str">
            <v>金属制品业</v>
          </cell>
        </row>
        <row r="1759">
          <cell r="E1759" t="str">
            <v>玻璃计、量器</v>
          </cell>
          <cell r="F1759" t="str">
            <v>指除石英玻璃制仪器和器皿（详见108011202）以外的计量用玻璃器具、仪器</v>
          </cell>
          <cell r="G1759" t="str">
            <v>金属制品业</v>
          </cell>
        </row>
        <row r="1760">
          <cell r="E1760" t="str">
            <v>石英玻璃制仪器和器皿</v>
          </cell>
          <cell r="F1760" t="str">
            <v>指二氧化硅含量应≥95%的玻璃仪器和器皿，包括熔融石英或其他熔融硅石制实验室、卫生及配药用的玻璃器皿</v>
          </cell>
          <cell r="G1760" t="str">
            <v>金属制品业</v>
          </cell>
        </row>
        <row r="1761">
          <cell r="E1761" t="str">
            <v>耐热玻璃制仪器和器皿</v>
          </cell>
          <cell r="F1761" t="str">
            <v>指温度在0℃～300℃时，线膨胀系数不超过5*10-6/K的实验室、卫生及配药用玻璃仪器和器皿，但不包括石英玻璃制仪器和器皿（详见108011202）。</v>
          </cell>
          <cell r="G1761" t="str">
            <v>金属制品业</v>
          </cell>
        </row>
        <row r="1762">
          <cell r="E1762" t="str">
            <v>其他玻璃仪器及实验、医疗用玻璃器皿</v>
          </cell>
          <cell r="F1762" t="str">
            <v>包括实验室、医疗及配药用的玻璃制专用真空器皿、干燥器、容量瓶、培养皿、显微镜载片和盖片，玻璃制喷射嘴、漏斗、磨砂接头，玻璃制盛尿器、便盆、便壶，玻璃制吸杯、洗眼杯、吸入器、吸管、试管等仪器和器皿</v>
          </cell>
          <cell r="G1762" t="str">
            <v>金属制品业</v>
          </cell>
        </row>
        <row r="1763">
          <cell r="E1763" t="str">
            <v>玻璃包装容器</v>
          </cell>
          <cell r="F1763" t="str">
            <v>包括日用玻璃瓶（玻璃饮料瓶、玻璃食品瓶、玻璃啤酒瓶、玻璃白酒容器）、药用瓶（医药试剂用广口瓶、输液瓶、安瓿瓶、黄圆瓶、无色小药瓶、抗生素瓶、口服液瓶、农药用瓶）、其他玻璃瓶</v>
          </cell>
          <cell r="G1763" t="str">
            <v>金属制品业</v>
          </cell>
        </row>
        <row r="1764">
          <cell r="E1764" t="str">
            <v>餐饮用玻璃器皿</v>
          </cell>
          <cell r="F1764" t="str">
            <v>包括餐饮用玻璃杯和餐饮用其他玻璃器皿，不包括非餐饮用的其他玻璃器皿或器具（如盥洗用玻璃器具（详见108011402）、办公室及室内装饰用玻璃器具（详见108011403）等）。</v>
          </cell>
          <cell r="G1764" t="str">
            <v>金属制品业</v>
          </cell>
        </row>
        <row r="1765">
          <cell r="E1765" t="str">
            <v>盥洗用玻璃器具</v>
          </cell>
          <cell r="F1765" t="str">
            <v>包括玻璃洗手盆，不包括餐饮用玻璃器皿（详见108011401）。</v>
          </cell>
          <cell r="G1765" t="str">
            <v>金属制品业</v>
          </cell>
        </row>
        <row r="1766">
          <cell r="E1766" t="str">
            <v>室内及室内装饰用玻璃器具</v>
          </cell>
          <cell r="F1766" t="str">
            <v>包括玻璃制镇纸、墨水台和墨水池、书档、装大头针的容器、笔架、烟灰缸、玻璃花瓶、装饰性水果盘、小塑像、小精品（动物、花、叶、果等）、玻璃艺术品、水晶玻璃制品、琉璃制品、衣饰配件、水钻等装饰玻璃制品，桌面中心、养鱼缸、香炉等以及玻璃风景画、玻璃纪念品等</v>
          </cell>
          <cell r="G1766" t="str">
            <v>金属制品业</v>
          </cell>
        </row>
        <row r="1767">
          <cell r="E1767" t="str">
            <v>其他日用玻璃制品</v>
          </cell>
          <cell r="F1767" t="str">
            <v>不包括钟表（详见1090618）、灯泡（详见1090423）、仪器仪表（详见10906）等产品的玻璃制零配件</v>
          </cell>
          <cell r="G1767" t="str">
            <v>金属制品业</v>
          </cell>
        </row>
        <row r="1768">
          <cell r="E1768" t="str">
            <v>玻璃保温容器</v>
          </cell>
          <cell r="F1768" t="str">
            <v>指带壳、带胆的成品保温容器；不包括保温容器用的瓶胆（详见108011502）。</v>
          </cell>
          <cell r="G1768" t="str">
            <v>金属制品业</v>
          </cell>
        </row>
        <row r="1769">
          <cell r="E1769" t="str">
            <v>玻璃保温瓶胆</v>
          </cell>
          <cell r="F1769" t="str">
            <v>指玻璃保温容器用的，不带壳的玻璃瓶胆；不包括带壳、带胆的玻璃保温容器成品（详见108011501）。</v>
          </cell>
          <cell r="G1769" t="str">
            <v>金属制品业</v>
          </cell>
        </row>
        <row r="1770">
          <cell r="E1770" t="str">
            <v>玻璃纤维及其制品</v>
          </cell>
          <cell r="F1770" t="str">
            <v>包括玻璃纤维纱、短切玻璃纤维、玻璃纤维布、玻璃纤维毡、玻璃纤维土工格栅、玻璃纤维带、玻璃纤维套管等。</v>
          </cell>
          <cell r="G1770" t="str">
            <v>金属制品业</v>
          </cell>
        </row>
        <row r="1771">
          <cell r="E1771" t="str">
            <v>玻璃制绝缘子</v>
          </cell>
          <cell r="F1771" t="str">
            <v>包括导引式绝缘子、刚性绝缘子、其他玻璃制绝缘子</v>
          </cell>
          <cell r="G1771" t="str">
            <v>金属制品业</v>
          </cell>
        </row>
        <row r="1772">
          <cell r="E1772" t="str">
            <v>未封口玻璃外壳</v>
          </cell>
          <cell r="F1772" t="str">
            <v>指制灯泡、阴极射线管及类似品用的未封口玻璃外壳（包括玻璃泡及管）及其玻璃零件，但未装有配件</v>
          </cell>
          <cell r="G1772" t="str">
            <v>金属制品业</v>
          </cell>
        </row>
        <row r="1773">
          <cell r="E1773" t="str">
            <v>工业品用其他玻璃部件</v>
          </cell>
          <cell r="F1773" t="str">
            <v>包括工业用玻璃制品、玻璃制工业品零配件</v>
          </cell>
          <cell r="G1773" t="str">
            <v>金属制品业</v>
          </cell>
        </row>
        <row r="1774">
          <cell r="E1774" t="str">
            <v>结构陶瓷制品</v>
          </cell>
          <cell r="F1774" t="str">
            <v>包括实验室用陶瓷制品、陶瓷阀及类似品、陶瓷轴承、陶瓷辊棒、陶瓷制发动机零部件、陶瓷蒸馏器、陶瓷旋管及类似管、陶瓷研磨器和研磨球、陶瓷模头、纺织用陶瓷件耐磨陶瓷件、可控硅瓷环、瓷管、陶瓷刀具、刃具、陶瓷密封件、陶瓷金属化瓷件、其他结构陶瓷制品</v>
          </cell>
          <cell r="G1774" t="str">
            <v>金属制品业</v>
          </cell>
        </row>
        <row r="1775">
          <cell r="E1775" t="str">
            <v>功能陶瓷制品</v>
          </cell>
          <cell r="F1775" t="str">
            <v>指具有电、光、磁、声、热、弹性及部分化学功能的陶瓷制品</v>
          </cell>
          <cell r="G1775" t="str">
            <v>金属制品业</v>
          </cell>
        </row>
        <row r="1776">
          <cell r="E1776" t="str">
            <v>生物陶瓷制品</v>
          </cell>
          <cell r="F1776" t="str">
            <v>主要指医疗专用的生物陶瓷制品（如生物陶瓷制假牙、关节、骨骼等人工器官）</v>
          </cell>
          <cell r="G1776" t="str">
            <v>金属制品业</v>
          </cell>
        </row>
        <row r="1777">
          <cell r="E1777" t="str">
            <v>陶瓷管及管子配件</v>
          </cell>
          <cell r="F1777" t="str">
            <v>包括陶瓷套管、导管、槽管及管子配件</v>
          </cell>
          <cell r="G1777" t="str">
            <v>金属制品业</v>
          </cell>
        </row>
        <row r="1778">
          <cell r="E1778" t="str">
            <v>瓷绝缘子</v>
          </cell>
          <cell r="F1778" t="str">
            <v>由电工陶瓷制成的绝缘子</v>
          </cell>
          <cell r="G1778" t="str">
            <v>金属制品业</v>
          </cell>
        </row>
        <row r="1779">
          <cell r="E1779" t="str">
            <v>耐火陶瓷制品</v>
          </cell>
          <cell r="F1779" t="str">
            <v>包括耐火陶瓷管、耐火陶瓷坩埚、硅质耐火陶瓷制品、其他耐火陶瓷制品</v>
          </cell>
          <cell r="G1779" t="str">
            <v>金属制品业</v>
          </cell>
        </row>
        <row r="1780">
          <cell r="E1780" t="str">
            <v>其他技术陶瓷制品</v>
          </cell>
          <cell r="F1780" t="str">
            <v>无说明</v>
          </cell>
          <cell r="G1780" t="str">
            <v>金属制品业</v>
          </cell>
        </row>
        <row r="1781">
          <cell r="E1781" t="str">
            <v>日用陶瓷餐具</v>
          </cell>
          <cell r="F1781" t="str">
            <v>包括日用瓷质餐具、陶质餐具、炻质餐具，如陶瓷茶具或咖啡用具，陶瓷盘、碗、碟、杯、汤匙、家用电热壶等</v>
          </cell>
          <cell r="G1781" t="str">
            <v>金属制品业</v>
          </cell>
        </row>
        <row r="1782">
          <cell r="E1782" t="str">
            <v>厨房用陶瓷器具</v>
          </cell>
          <cell r="F1782" t="str">
            <v>包括瓷质厨房用器具、陶质厨房用器具、炻质厨房用器具，如陶瓷烘烤盘、盆、壶、罐、坛等</v>
          </cell>
          <cell r="G1782" t="str">
            <v>金属制品业</v>
          </cell>
        </row>
        <row r="1783">
          <cell r="E1783" t="str">
            <v>盥洗用陶瓷器具</v>
          </cell>
          <cell r="F1783" t="str">
            <v>包括瓷质盥洗用器具、陶质盥洗用器具、炻质盥洗用器具，如陶瓷卫生桶、便盆、尿壶、便壶、痰孟、肥皂碟、毛巾架等，以及类似的盥洗用陶瓷器具</v>
          </cell>
          <cell r="G1783" t="str">
            <v>金属制品业</v>
          </cell>
        </row>
        <row r="1784">
          <cell r="E1784" t="str">
            <v>卫生陶瓷制品</v>
          </cell>
          <cell r="F1784" t="str">
            <v>又称卫生洁具，由粘土或其他无机物质经混练、成型、高温烧制而成的用做卫生设施的有釉陶瓷制品，包括各种不同型号的大便器、小便器、洗面器、妇女洗涤器、高低水箱、洗涤槽、返水管、浴盆等；包括陶瓷、仿瓷、玻璃陶瓷、玻璃纤维增强塑料制卫生设备</v>
          </cell>
          <cell r="G1784" t="str">
            <v>金属制品业</v>
          </cell>
        </row>
        <row r="1785">
          <cell r="E1785" t="str">
            <v>园林艺术陶瓷制品</v>
          </cell>
          <cell r="F1785" t="str">
            <v>包括瓷质或陶质的果皮箱、花盆等，不包括陶瓷制园林桌、椅、凳（详见105020108）。</v>
          </cell>
          <cell r="G1785" t="str">
            <v>金属制品业</v>
          </cell>
        </row>
        <row r="1786">
          <cell r="E1786" t="str">
            <v>其他日用陶瓷制品</v>
          </cell>
          <cell r="F1786" t="str">
            <v>无说明</v>
          </cell>
          <cell r="G1786" t="str">
            <v>金属制品业</v>
          </cell>
        </row>
        <row r="1787">
          <cell r="E1787" t="str">
            <v>耐酸陶瓷容器</v>
          </cell>
          <cell r="F1787" t="str">
            <v>指耐酸性侵蚀的陶瓷容器。</v>
          </cell>
          <cell r="G1787" t="str">
            <v>金属制品业</v>
          </cell>
        </row>
        <row r="1788">
          <cell r="E1788" t="str">
            <v>食品用陶瓷容器</v>
          </cell>
          <cell r="F1788" t="str">
            <v>指用于盛装食品陶瓷瓶、坛、罐；包括果酱、调味品、肉酱、利口酒等用的陶瓷容器</v>
          </cell>
          <cell r="G1788" t="str">
            <v>金属制品业</v>
          </cell>
        </row>
        <row r="1789">
          <cell r="E1789" t="str">
            <v>药品或化妆品陶瓷容器</v>
          </cell>
          <cell r="F1789" t="str">
            <v>包括药品、化妆品及墨水等的陶瓷瓶、坛、罐</v>
          </cell>
          <cell r="G1789" t="str">
            <v>金属制品业</v>
          </cell>
        </row>
        <row r="1790">
          <cell r="E1790" t="str">
            <v>其他运输及盛装货物用陶瓷容器</v>
          </cell>
          <cell r="F1790" t="str">
            <v>无说明</v>
          </cell>
          <cell r="G1790" t="str">
            <v>金属制品业</v>
          </cell>
        </row>
        <row r="1791">
          <cell r="E1791" t="str">
            <v>其他陶瓷制品</v>
          </cell>
          <cell r="F1791" t="str">
            <v>无说明</v>
          </cell>
          <cell r="G1791" t="str">
            <v>金属制品业</v>
          </cell>
        </row>
        <row r="1792">
          <cell r="E1792" t="str">
            <v>已加工石棉纤维</v>
          </cell>
          <cell r="F1792" t="str">
            <v>包括已加工石棉纤维，石棉为主的混合物及其制品</v>
          </cell>
          <cell r="G1792" t="str">
            <v>金属制品业</v>
          </cell>
        </row>
        <row r="1793">
          <cell r="E1793" t="str">
            <v>石棉制品</v>
          </cell>
          <cell r="F1793" t="str">
            <v>包括石棉纱、线及其纺织制品、石棉隔热保温制品、石棉密封垫板、无石棉密封垫板、石棉密封垫片、垫圈、特种石棉制品、石棉摩擦材料、无石棉摩擦材料和其他石棉制品。</v>
          </cell>
          <cell r="G1793" t="str">
            <v>金属制品业</v>
          </cell>
        </row>
        <row r="1794">
          <cell r="E1794" t="str">
            <v>已加工云母</v>
          </cell>
          <cell r="F1794" t="str">
            <v>包括厚片云母、薄片云母、云母粉。</v>
          </cell>
          <cell r="G1794" t="str">
            <v>金属制品业</v>
          </cell>
        </row>
        <row r="1795">
          <cell r="E1795" t="str">
            <v>云母制品</v>
          </cell>
          <cell r="F1795" t="str">
            <v>包括云母板、云母片、云母箔、云母带、模制云母制品、云母碎屑制品、云母纸制品和其他云母制品。</v>
          </cell>
          <cell r="G1795" t="str">
            <v>金属制品业</v>
          </cell>
        </row>
        <row r="1796">
          <cell r="E1796" t="str">
            <v>耐火材料制品</v>
          </cell>
          <cell r="F1796" t="str">
            <v>包括致密定形耐火制品、隔热耐火制品、不定形耐火制品和其他耐火材料制品，不包括耐火陶瓷制品（详见108012006）。</v>
          </cell>
          <cell r="G1796" t="str">
            <v>金属制品业</v>
          </cell>
        </row>
        <row r="1797">
          <cell r="E1797" t="str">
            <v>石墨电极</v>
          </cell>
          <cell r="F1797" t="str">
            <v>以优质石油焦为主要原料，煤沥青作粘结剂，经特定工艺加工而制成，是在电弧炉中以电弧形式释放热能对炉料进行加热溶化的导体，包括普通功率石墨电极、高功率石墨电极、超高功率石墨电极。</v>
          </cell>
          <cell r="G1797" t="str">
            <v>金属制品业</v>
          </cell>
        </row>
        <row r="1798">
          <cell r="E1798" t="str">
            <v>石墨阳极</v>
          </cell>
          <cell r="F1798" t="str">
            <v>以石油焦为主要原料，煤沥青作粘结剂，经特定工艺加工而成，主要用于电化学工业中电解设备的导电阳极。</v>
          </cell>
          <cell r="G1798" t="str">
            <v>金属制品业</v>
          </cell>
        </row>
        <row r="1799">
          <cell r="E1799" t="str">
            <v>其他石墨制品</v>
          </cell>
          <cell r="F1799" t="str">
            <v>指除石墨电极（详见10801270101）、石墨阳极（详见10801270102）以外的其他石墨制品，包括石墨块、石墨粉、石墨异型件。</v>
          </cell>
          <cell r="G1799" t="str">
            <v>金属制品业</v>
          </cell>
        </row>
        <row r="1800">
          <cell r="E1800" t="str">
            <v>炭制品</v>
          </cell>
          <cell r="F1800" t="str">
            <v>以无烟煤、冶金焦为主要原料，煤沥青作粘结剂，经特定工艺加工制作而成，主要用作高炉内衬、铝电解槽和其他电炉的炉衬材料和导电材料，包括炭块、炭电极、炭湖和其他炭制品。</v>
          </cell>
          <cell r="G1800" t="str">
            <v>金属制品业</v>
          </cell>
        </row>
        <row r="1801">
          <cell r="E1801" t="str">
            <v>炭素新材料</v>
          </cell>
          <cell r="F1801" t="str">
            <v>包括特种石墨制品、热解石墨制品、炭素纤维类及制品和其他炭素新材料。</v>
          </cell>
          <cell r="G1801" t="str">
            <v>金属制品业</v>
          </cell>
        </row>
        <row r="1802">
          <cell r="E1802" t="str">
            <v>其他炭素产品</v>
          </cell>
          <cell r="F1802" t="str">
            <v>包括石墨热交换器、柔性石墨制品、电炭产品。</v>
          </cell>
          <cell r="G1802" t="str">
            <v>金属制品业</v>
          </cell>
        </row>
        <row r="1803">
          <cell r="E1803" t="str">
            <v>固结磨具</v>
          </cell>
          <cell r="F1803" t="str">
            <v>包括碾磨或磨浆用石磨、石碾、机用磨石、抛光石、砂轮、磨头、磨盘、磨齿、手用磨石。</v>
          </cell>
          <cell r="G1803" t="str">
            <v>金属制品业</v>
          </cell>
        </row>
        <row r="1804">
          <cell r="E1804" t="str">
            <v>天然石制磨具</v>
          </cell>
          <cell r="F1804" t="str">
            <v>包括碾磨或磨浆用石磨、石碾及其零件；刀具、工具等磨刃用的磨石；磨刀石、油石及类似品</v>
          </cell>
          <cell r="G1804" t="str">
            <v>金属制品业</v>
          </cell>
        </row>
        <row r="1805">
          <cell r="E1805" t="str">
            <v>涂附磨具</v>
          </cell>
          <cell r="F1805" t="str">
            <v>包括布基、纸基、涂附磨具异型产品和其他涂附磨具。</v>
          </cell>
          <cell r="G1805" t="str">
            <v>金属制品业</v>
          </cell>
        </row>
        <row r="1806">
          <cell r="E1806" t="str">
            <v>超硬材料制品</v>
          </cell>
          <cell r="F1806" t="str">
            <v>指用金刚石或立方氮化硼制成的磨削、切削、锯切、钻探、拉丝等各类工具</v>
          </cell>
          <cell r="G1806" t="str">
            <v>金属制品业</v>
          </cell>
        </row>
        <row r="1807">
          <cell r="E1807" t="str">
            <v>天然研磨料</v>
          </cell>
          <cell r="F1807" t="str">
            <v>包括刚玉砂、石榴石、浮石、燧石、石英砂等天然矿物粉及玻璃粉</v>
          </cell>
          <cell r="G1807" t="str">
            <v>金属制品业</v>
          </cell>
        </row>
        <row r="1808">
          <cell r="E1808" t="str">
            <v>普通磨料</v>
          </cell>
          <cell r="F1808" t="str">
            <v>包括人造刚玉、碳化硅磨料、碳化硼磨料(包括碳化硼碎块、颗粒、微粉)。</v>
          </cell>
          <cell r="G1808" t="str">
            <v>金属制品业</v>
          </cell>
        </row>
        <row r="1809">
          <cell r="E1809" t="str">
            <v>超硬材料</v>
          </cell>
          <cell r="F1809" t="str">
            <v>包括人造金刚石、立方氮化硼的单晶、多晶、微粉、纳米粉及其聚晶，化学气相沉积（CVD）金刚石</v>
          </cell>
          <cell r="G1809" t="str">
            <v>金属制品业</v>
          </cell>
        </row>
        <row r="1810">
          <cell r="E1810" t="str">
            <v>沥青混合物</v>
          </cell>
          <cell r="F1810" t="str">
            <v>指以天然沥青、石油沥青、矿物焦油等为基本成分的沥青混合物</v>
          </cell>
          <cell r="G1810" t="str">
            <v>金属制品业</v>
          </cell>
        </row>
        <row r="1811">
          <cell r="E1811" t="str">
            <v>泥炭制品</v>
          </cell>
          <cell r="F1811" t="str">
            <v>包括泥炭制片、泥炭制气缸壳体、植物培植盆和其他泥炭制品。</v>
          </cell>
          <cell r="G1811" t="str">
            <v>金属制品业</v>
          </cell>
        </row>
        <row r="1812">
          <cell r="E1812" t="str">
            <v>以废渣生产非金属矿物制品</v>
          </cell>
          <cell r="F1812" t="str">
            <v>以废渣为原料生产墙板【不包括轻质隔墙条板（详见108010403）】、管材（管桩）【不包括预应力混凝土管桩（详见108010306）】、陶粒、砂浆、道路井盖、道路护栏、防火材料、保温材料、矿（岩）棉</v>
          </cell>
          <cell r="G1812" t="str">
            <v>金属制品业</v>
          </cell>
        </row>
        <row r="1813">
          <cell r="E1813" t="str">
            <v>生铁</v>
          </cell>
          <cell r="F1813" t="str">
            <v>高炉冶炼的合格生铁，包括炼钢生铁、铸造生铁、含钒生铁</v>
          </cell>
          <cell r="G1813" t="str">
            <v>黑色金属冶炼及压延加工业</v>
          </cell>
        </row>
        <row r="1814">
          <cell r="E1814" t="str">
            <v>还原铁</v>
          </cell>
          <cell r="F1814" t="str">
            <v>包括直接还原铁、熔融还原铁</v>
          </cell>
          <cell r="G1814" t="str">
            <v>黑色金属冶炼及压延加工业</v>
          </cell>
        </row>
        <row r="1815">
          <cell r="E1815" t="str">
            <v>球墨铸铁</v>
          </cell>
          <cell r="F1815" t="str">
            <v>包括高炉生铁产球墨铸铁及其他生铁产球墨铸铁</v>
          </cell>
          <cell r="G1815" t="str">
            <v>黑色金属冶炼及压延加工业</v>
          </cell>
        </row>
        <row r="1816">
          <cell r="E1816" t="str">
            <v>铸铁管</v>
          </cell>
          <cell r="F1816" t="str">
            <v>指用铸铁浇铸成型的管子</v>
          </cell>
          <cell r="G1816" t="str">
            <v>黑色金属冶炼及压延加工业</v>
          </cell>
        </row>
        <row r="1817">
          <cell r="E1817" t="str">
            <v>铸铁直管</v>
          </cell>
          <cell r="F1817" t="str">
            <v>包括连续式生产铸铁直管、离心式生产铸铁直管、其他方式生产铸铁直管、灰铁铸铁管、球墨铸铁管、其他铸铁管、大口径铸铁直管、中口径铸铁直管、小口径铸铁直管</v>
          </cell>
          <cell r="G1817" t="str">
            <v>黑色金属冶炼及压延加工业</v>
          </cell>
        </row>
        <row r="1818">
          <cell r="E1818" t="str">
            <v>铸铁空心异型管</v>
          </cell>
          <cell r="F1818" t="str">
            <v>指用铸铁浇铸成异型的空心管</v>
          </cell>
          <cell r="G1818" t="str">
            <v>黑色金属冶炼及压延加工业</v>
          </cell>
        </row>
        <row r="1819">
          <cell r="E1819" t="str">
            <v>铸铁管附件</v>
          </cell>
          <cell r="F1819" t="str">
            <v>包括无可锻性铸铁管子附件、可锻性铸铁及铸钢管子附件</v>
          </cell>
          <cell r="G1819" t="str">
            <v>黑色金属冶炼及压延加工业</v>
          </cell>
        </row>
        <row r="1820">
          <cell r="E1820" t="str">
            <v>粗钢</v>
          </cell>
          <cell r="F1820" t="str">
            <v>指完成了冶炼过程、未经塑性加工的钢，其形态为液态或铸态固体，包括非合金钢粗钢、低合金钢粗钢、合金钢粗钢、不锈钢粗钢；方坯（粗钢）、矩形坯（粗钢）、板坯（粗钢）、圆坯（粗钢）、异形坯（粗钢）、管坯（粗钢）；模铸钢锭；铸造用液态钢；镇静钢、沸腾钢、半镇静钢；转炉钢、电弧炉钢、感应电炉钢</v>
          </cell>
          <cell r="G1820" t="str">
            <v>黑色金属冶炼及压延加工业</v>
          </cell>
        </row>
        <row r="1821">
          <cell r="E1821" t="str">
            <v>轧制、锻造钢坯</v>
          </cell>
          <cell r="F1821" t="str">
            <v>包括非合金钢钢坯、合金钢钢坯、低合金钢钢坯、不锈钢钢坯；轧制坯、锻造坯；方坯（钢坯）、矩形坯（钢坯）、板坯（钢坯）、圆坯（钢坯）、异形坯（钢坯）、管坯（钢坯）</v>
          </cell>
          <cell r="G1821" t="str">
            <v>黑色金属冶炼及压延加工业</v>
          </cell>
        </row>
        <row r="1822">
          <cell r="E1822" t="str">
            <v>铁道用钢材</v>
          </cell>
          <cell r="F1822" t="str">
            <v>指铁道及电车道铺轨用钢铁材料</v>
          </cell>
          <cell r="G1822" t="str">
            <v>黑色金属冶炼及压延加工业</v>
          </cell>
        </row>
        <row r="1823">
          <cell r="E1823" t="str">
            <v>大型型钢</v>
          </cell>
          <cell r="F1823" t="str">
            <v>产品的横截面如字母Ｉ、Ｕ、Ｌ、Ｚ、Ｔ等形状，其高度≥80mm（包括氧气瓶料）</v>
          </cell>
          <cell r="G1823" t="str">
            <v>黑色金属冶炼及压延加工业</v>
          </cell>
        </row>
        <row r="1824">
          <cell r="E1824" t="str">
            <v>中小型型钢</v>
          </cell>
          <cell r="F1824" t="str">
            <v>产品的横截面如字母Ｉ、Ｕ、Ｌ、Ｚ、Ｔ等形状，其高度＜80mm</v>
          </cell>
          <cell r="G1824" t="str">
            <v>黑色金属冶炼及压延加工业</v>
          </cell>
        </row>
        <row r="1825">
          <cell r="E1825" t="str">
            <v>棒材</v>
          </cell>
          <cell r="F1825" t="str">
            <v>横截面为圆形、方形、六角形、八角形、扁形等简单断面并以直条交货的钢材，不包括混凝土用钢筋（详见108020705）</v>
          </cell>
          <cell r="G1825" t="str">
            <v>金属制品业</v>
          </cell>
        </row>
        <row r="1826">
          <cell r="E1826" t="str">
            <v>钢筋</v>
          </cell>
          <cell r="F1826" t="str">
            <v>钢筋混凝土和预应力钢筋混凝土用的轧制产品，横截面通常为圆形或带有圆角的方形，包括光圆钢筋、带肋钢筋、扭转钢筋等；可以直条交货，也可以盘状交货；不包括线材轧机生产的产品（详见108020705）</v>
          </cell>
          <cell r="G1826" t="str">
            <v>黑色金属冶炼及压延加工业</v>
          </cell>
        </row>
        <row r="1827">
          <cell r="E1827" t="str">
            <v>线材（盘条）</v>
          </cell>
          <cell r="F1827" t="str">
            <v>经线材轧机热轧后卷成盘状交货的产品，其横截面通常为圆形、椭圆形、方形、矩形、六角形、八角形或其他形状包括调出及企业自用于拔制钢丝的盘条</v>
          </cell>
          <cell r="G1827" t="str">
            <v>金属制品业</v>
          </cell>
        </row>
        <row r="1828">
          <cell r="E1828" t="str">
            <v>钢板</v>
          </cell>
          <cell r="F1828" t="str">
            <v>包括厚钢板和中板</v>
          </cell>
          <cell r="G1828" t="str">
            <v>黑色金属冶炼及压延加工业</v>
          </cell>
        </row>
        <row r="1829">
          <cell r="E1829" t="str">
            <v>热轧薄板</v>
          </cell>
          <cell r="F1829" t="str">
            <v>包括非合金钢热轧薄板、低合金钢热轧薄板、合金钢热轧薄板、不锈钢热轧薄板等</v>
          </cell>
          <cell r="G1829" t="str">
            <v>金属制品业</v>
          </cell>
        </row>
        <row r="1830">
          <cell r="E1830" t="str">
            <v>冷轧薄板</v>
          </cell>
          <cell r="F1830" t="str">
            <v>包括非合金钢冷轧薄板、低合金钢冷轧薄板、合金钢冷轧薄板、不锈钢冷轧薄板等</v>
          </cell>
          <cell r="G1830" t="str">
            <v>金属制品业</v>
          </cell>
        </row>
        <row r="1831">
          <cell r="E1831" t="str">
            <v>钢带</v>
          </cell>
          <cell r="F1831" t="str">
            <v>包括中厚宽钢带、热轧钢带、冷轧钢带</v>
          </cell>
          <cell r="G1831" t="str">
            <v>黑色金属冶炼及压延加工业</v>
          </cell>
        </row>
        <row r="1832">
          <cell r="E1832" t="str">
            <v>板带</v>
          </cell>
          <cell r="F1832" t="str">
            <v>包括镀层板带、涂层板带、电工钢板带等所有板带</v>
          </cell>
          <cell r="G1832" t="str">
            <v>金属制品业</v>
          </cell>
        </row>
        <row r="1833">
          <cell r="E1833" t="str">
            <v>无缝钢管</v>
          </cell>
          <cell r="F1833" t="str">
            <v>指具有中空截面，大量用作输送流体的管道，如输送石油、天然气、煤气、水及某些固体物料的管道等，不包括铸铁管（详见108020712）</v>
          </cell>
          <cell r="G1833" t="str">
            <v>黑色金属冶炼及压延加工业</v>
          </cell>
        </row>
        <row r="1834">
          <cell r="E1834" t="str">
            <v>焊接钢管</v>
          </cell>
          <cell r="F1834" t="str">
            <v>指用钢带或钢板弯曲变形为圆形、方形等形状后再焊接成的、表面有接缝的钢管</v>
          </cell>
          <cell r="G1834" t="str">
            <v>黑色金属冶炼及压延加工业</v>
          </cell>
        </row>
        <row r="1835">
          <cell r="E1835" t="str">
            <v>其他钢材</v>
          </cell>
          <cell r="F1835" t="str">
            <v>指除铁道用钢材、大型型钢、中小型型钢、棒材、钢筋、线材（盘条）、钢板、热轧薄板、冷轧薄板、钢带、板带、无缝钢管、焊接钢管以外的钢材；如钢铁企业锻钢车间生产的锻钢件（包括锻锤、精锻、快锻以及水压机、挤压机、液压机生产的锻钢件，也包括炼钢炉料，但不包括锻钢件中的型材（详见108020702、108020703）、棒材（详见108020704）和无缝钢管（详见108020712）、冷弯型钢、减振复合钢板等</v>
          </cell>
          <cell r="G1835" t="str">
            <v>黑色金属冶炼及压延加工业</v>
          </cell>
        </row>
        <row r="1836">
          <cell r="E1836" t="str">
            <v>铁合金</v>
          </cell>
          <cell r="F1836" t="str">
            <v>指炼钢时作为脱氧剂、元素添加剂等加入铁水中使钢具备某种特性或达到某种要求的一种产品，包括普通铁合金和特种铁合金</v>
          </cell>
          <cell r="G1836" t="str">
            <v>黑色金属冶炼及压延加工业</v>
          </cell>
        </row>
        <row r="1837">
          <cell r="E1837" t="str">
            <v>废旧物资冶炼、提纯金属及合金</v>
          </cell>
          <cell r="F1837" t="str">
            <v>指利用废旧物资经冶炼、提纯或化合生产的金属、合金及金属化合，不包括铁（详见1080201）及铁合金（详见1080208）</v>
          </cell>
          <cell r="G1837" t="str">
            <v>金属制品业</v>
          </cell>
        </row>
        <row r="1838">
          <cell r="E1838" t="str">
            <v>铜</v>
          </cell>
          <cell r="F1838" t="str">
            <v>包括粗铜、阳极铜、精炼铜（电解铜）、直接利用再生铜</v>
          </cell>
          <cell r="G1838" t="str">
            <v>金属制品业</v>
          </cell>
        </row>
        <row r="1839">
          <cell r="E1839" t="str">
            <v>铅</v>
          </cell>
          <cell r="F1839" t="str">
            <v>指用铅精矿和铅废料为原料生产的电铅（铅锭，含一号铅至三号铅，含铅≥99%）、铅基合金（含铅≥99%）、铸造锡铅焊料折铅（不含用成品铅作原料铸造的焊锡料和铅基合金）、其他铅（含铅≥99%）</v>
          </cell>
          <cell r="G1839" t="str">
            <v>金属制品业</v>
          </cell>
        </row>
        <row r="1840">
          <cell r="E1840" t="str">
            <v>锌</v>
          </cell>
          <cell r="F1840" t="str">
            <v>指以锌精矿或锌废碎料作原料经粗炼和精炼工艺生产的锌产品（包括电锌、精锌、商品蒸馏锌和锌品）</v>
          </cell>
          <cell r="G1840" t="str">
            <v>金属制品业</v>
          </cell>
        </row>
        <row r="1841">
          <cell r="E1841" t="str">
            <v>镍</v>
          </cell>
          <cell r="F1841" t="str">
            <v>指以镍精矿及镍废碎料等物料为原料，经冶炼生产的镍产品</v>
          </cell>
          <cell r="G1841" t="str">
            <v>金属制品业</v>
          </cell>
        </row>
        <row r="1842">
          <cell r="E1842" t="str">
            <v>锡</v>
          </cell>
          <cell r="F1842" t="str">
            <v>指未煅轧锡，包括电锡、精锡、锡基合金折锡、铸造锡铅焊料折锡</v>
          </cell>
          <cell r="G1842" t="str">
            <v>金属制品业</v>
          </cell>
        </row>
        <row r="1843">
          <cell r="E1843" t="str">
            <v>锑</v>
          </cell>
          <cell r="F1843" t="str">
            <v>包括锑品（矿产）、三氧化二锑、精锑、高铅锑、生锑（硫化锑）、其他未锻轧锑、再生锑</v>
          </cell>
          <cell r="G1843" t="str">
            <v>金属制品业</v>
          </cell>
        </row>
        <row r="1844">
          <cell r="E1844" t="str">
            <v>氧化铝</v>
          </cell>
          <cell r="F1844" t="str">
            <v>指将铝矾土原料经过化学处理，除去硅、铁、钛等的氧化物而制得</v>
          </cell>
          <cell r="G1844" t="str">
            <v>金属制品业</v>
          </cell>
        </row>
        <row r="1845">
          <cell r="E1845" t="str">
            <v>原铝（电解铝）</v>
          </cell>
          <cell r="F1845" t="str">
            <v>指以氧化铝为原料生产的电解铝及直接用铝液生产的铝合金、铝母线、铝板卷及铝导杆等产品。</v>
          </cell>
          <cell r="G1845" t="str">
            <v>金属制品业</v>
          </cell>
        </row>
        <row r="1846">
          <cell r="E1846" t="str">
            <v>再生铝</v>
          </cell>
          <cell r="F1846" t="str">
            <v>指以废旧铝为原料通过废熔炉生产的再生铝，包括再生铝锭、再生铝合金及铝加工、制品企业熔铸使用的再生铝</v>
          </cell>
          <cell r="G1846" t="str">
            <v>金属制品业</v>
          </cell>
        </row>
        <row r="1847">
          <cell r="E1847" t="str">
            <v>镁</v>
          </cell>
          <cell r="F1847" t="str">
            <v>包括原生镁（矿产镁锭）、再生镁、镁环、镁粒（粉）</v>
          </cell>
          <cell r="G1847" t="str">
            <v>金属制品业</v>
          </cell>
        </row>
        <row r="1848">
          <cell r="E1848" t="str">
            <v>钛</v>
          </cell>
          <cell r="F1848" t="str">
            <v>包括钛、海绵钛、高钛渣</v>
          </cell>
          <cell r="G1848" t="str">
            <v>金属制品业</v>
          </cell>
        </row>
        <row r="1849">
          <cell r="E1849" t="str">
            <v>汞及汞化合物</v>
          </cell>
          <cell r="F1849" t="str">
            <v>包括汞（金属汞）、氧化汞、汞触媒，不包括朱砂（详见107021003）</v>
          </cell>
          <cell r="G1849" t="str">
            <v>金属制品业</v>
          </cell>
        </row>
        <row r="1850">
          <cell r="E1850" t="str">
            <v>镉</v>
          </cell>
          <cell r="F1850" t="str">
            <v>指用重有色金属伴生矿作原料经冶炼工艺综合回收的精镉（锭）和镉废碎料作原料生产的精镉（镉锭）</v>
          </cell>
          <cell r="G1850" t="str">
            <v>金属制品业</v>
          </cell>
        </row>
        <row r="1851">
          <cell r="E1851" t="str">
            <v>铋</v>
          </cell>
          <cell r="F1851" t="str">
            <v>包括矿产铋、一号铋、二号铋、其他矿产铋、再生铋</v>
          </cell>
          <cell r="G1851" t="str">
            <v>金属制品业</v>
          </cell>
        </row>
        <row r="1852">
          <cell r="E1852" t="str">
            <v>钴</v>
          </cell>
          <cell r="F1852" t="str">
            <v>包括氧化钴、金属钴、电解钴、电积钴、钴铁、其他钴盐</v>
          </cell>
          <cell r="G1852" t="str">
            <v>金属制品业</v>
          </cell>
        </row>
        <row r="1853">
          <cell r="E1853" t="str">
            <v>其他常用有色金属</v>
          </cell>
          <cell r="F1853" t="str">
            <v>无说明</v>
          </cell>
          <cell r="G1853" t="str">
            <v>金属制品业</v>
          </cell>
        </row>
        <row r="1854">
          <cell r="E1854" t="str">
            <v>黄金矿砂（含伴生金）</v>
          </cell>
          <cell r="F1854" t="str">
            <v>无说明</v>
          </cell>
          <cell r="G1854" t="str">
            <v>金属制品业</v>
          </cell>
        </row>
        <row r="1855">
          <cell r="E1855" t="str">
            <v>其他黄金</v>
          </cell>
          <cell r="F1855" t="str">
            <v>无说明</v>
          </cell>
          <cell r="G1855" t="str">
            <v>金属制品业</v>
          </cell>
        </row>
        <row r="1856">
          <cell r="E1856" t="str">
            <v>交易所标准黄金（适用于交易所）</v>
          </cell>
          <cell r="F1856" t="str">
            <v>仅适用于通过上海黄金交易所、上海期货交易所向政策规定的会员单位和客户开具： 牌号：AU9999，AU9995，AU999，AU995； 规格：50克，100克，1公斤，3公斤，12.5公斤。</v>
          </cell>
          <cell r="G1856" t="str">
            <v>金属制品业</v>
          </cell>
        </row>
        <row r="1857">
          <cell r="E1857" t="str">
            <v>交易所标准黄金（适用于会员单位和客户）</v>
          </cell>
          <cell r="F1857" t="str">
            <v>仅适用于通过上海黄金交易所、上海期货交易所政策规定的会员单位和客户向交易所开具： 牌号：AU9999，AU9995，AU999，AU995； 规格：50克，100克，1公斤，3公斤，12.5公斤。</v>
          </cell>
          <cell r="G1857" t="str">
            <v>金属制品业</v>
          </cell>
        </row>
        <row r="1858">
          <cell r="E1858" t="str">
            <v>投资性用途黄金（适用于会员单位）</v>
          </cell>
          <cell r="F1858" t="str">
            <v>仅适用于上海黄金交易所、上海期货交易所的会员单位： 投资性用途，包括直接销售，以及加工生产牌号AU995以上的金条、金块、金锭、金片或者经中国人民银行批准发行的法定金质货币。</v>
          </cell>
          <cell r="G1858" t="str">
            <v>金属制品业</v>
          </cell>
        </row>
        <row r="1859">
          <cell r="E1859" t="str">
            <v>非投资性用途黄金（适用于会员单位）</v>
          </cell>
          <cell r="F1859" t="str">
            <v>仅适用于上海黄金交易所、上海期货交易所的会员单位： 非投资性用途，是指用于投资性用途以外的情形。</v>
          </cell>
          <cell r="G1859" t="str">
            <v>金属制品业</v>
          </cell>
        </row>
        <row r="1860">
          <cell r="E1860" t="str">
            <v>黄金交易结算（交易所购入）</v>
          </cell>
          <cell r="F1860" t="str">
            <v>仅适用于通过上海黄金交易所、上海期货交易所交易的标准黄金，由交易所向政策规定的会员单位和客户开具。同时满足： 牌号：AU9999，AU9995，AU999，AU995； 规格：50克，100克等。</v>
          </cell>
          <cell r="G1860" t="str">
            <v>金属制品业</v>
          </cell>
        </row>
        <row r="1861">
          <cell r="E1861" t="str">
            <v>黄金交易结算（交易所销售）</v>
          </cell>
          <cell r="F1861" t="str">
            <v>仅适用于通过上海黄金交易所、上海期货交易所交易的标准黄金，由交易所向政策规定的会员单位和客户开具。同时满足： 牌号：AU9999，AU9995，AU999，AU995； 规格：50克，100克等。</v>
          </cell>
          <cell r="G1861" t="str">
            <v>金属制品业</v>
          </cell>
        </row>
        <row r="1862">
          <cell r="E1862" t="str">
            <v>白银（银锭）</v>
          </cell>
          <cell r="F1862" t="str">
            <v>指用银精矿及废杂银（回收的再生银）作原料生产的银（银锭），产品含一号、二号、三号银，银≥99.9%</v>
          </cell>
          <cell r="G1862" t="str">
            <v>金属制品业</v>
          </cell>
        </row>
        <row r="1863">
          <cell r="E1863" t="str">
            <v>铂</v>
          </cell>
          <cell r="F1863" t="str">
            <v>包括金属铂（铂锭）、矿产铂、再生铂、铂粉</v>
          </cell>
          <cell r="G1863" t="str">
            <v>金属制品业</v>
          </cell>
        </row>
        <row r="1864">
          <cell r="E1864" t="str">
            <v>钯</v>
          </cell>
          <cell r="F1864" t="str">
            <v>包括金属钯、矿产钯、再生钯、钯粉</v>
          </cell>
          <cell r="G1864" t="str">
            <v>金属制品业</v>
          </cell>
        </row>
        <row r="1865">
          <cell r="E1865" t="str">
            <v>铑</v>
          </cell>
          <cell r="F1865" t="str">
            <v>包括未锻造铑、铑粉。</v>
          </cell>
          <cell r="G1865" t="str">
            <v>金属制品业</v>
          </cell>
        </row>
        <row r="1866">
          <cell r="E1866" t="str">
            <v>铱</v>
          </cell>
          <cell r="F1866" t="str">
            <v>包括未锻造铱、铱粉。</v>
          </cell>
          <cell r="G1866" t="str">
            <v>金属制品业</v>
          </cell>
        </row>
        <row r="1867">
          <cell r="E1867" t="str">
            <v>锇</v>
          </cell>
          <cell r="F1867" t="str">
            <v>包括未锻造锇、锇粉。</v>
          </cell>
          <cell r="G1867" t="str">
            <v>金属制品业</v>
          </cell>
        </row>
        <row r="1868">
          <cell r="E1868" t="str">
            <v>钌</v>
          </cell>
          <cell r="F1868" t="str">
            <v>包括未锻造钌、钌粉。</v>
          </cell>
          <cell r="G1868" t="str">
            <v>金属制品业</v>
          </cell>
        </row>
        <row r="1869">
          <cell r="E1869" t="str">
            <v>其他贵金属</v>
          </cell>
          <cell r="F1869" t="str">
            <v>无说明</v>
          </cell>
          <cell r="G1869" t="str">
            <v>金属制品业</v>
          </cell>
        </row>
        <row r="1870">
          <cell r="E1870" t="str">
            <v>钨</v>
          </cell>
          <cell r="F1870" t="str">
            <v>指用钨精矿、仲钨酸铵及氧化钨作原料生产的钨冶炼产品，是钨材及硬质合金原料</v>
          </cell>
          <cell r="G1870" t="str">
            <v>金属制品业</v>
          </cell>
        </row>
        <row r="1871">
          <cell r="E1871" t="str">
            <v>钼</v>
          </cell>
          <cell r="F1871" t="str">
            <v>指用钼精矿、氧化钼及钼酸铵作原料生产的钼冶炼产品，是钼材及硬质合金原料</v>
          </cell>
          <cell r="G1871" t="str">
            <v>金属制品业</v>
          </cell>
        </row>
        <row r="1872">
          <cell r="E1872" t="str">
            <v>钽</v>
          </cell>
          <cell r="F1872" t="str">
            <v>指用钽铌精矿、钽氧化物及氟钽酸钾等物料作原料经火法或湿法冶炼生产的钽金属</v>
          </cell>
          <cell r="G1872" t="str">
            <v>金属制品业</v>
          </cell>
        </row>
        <row r="1873">
          <cell r="E1873" t="str">
            <v>铌</v>
          </cell>
          <cell r="F1873" t="str">
            <v>指用钽铌精矿、铌氧化物等物料作原料经火法或湿法冶炼生产的铌金属</v>
          </cell>
          <cell r="G1873" t="str">
            <v>金属制品业</v>
          </cell>
        </row>
        <row r="1874">
          <cell r="E1874" t="str">
            <v>锆</v>
          </cell>
          <cell r="F1874" t="str">
            <v>指用锆英石等物料为原料经冶炼生产的产品</v>
          </cell>
          <cell r="G1874" t="str">
            <v>金属制品业</v>
          </cell>
        </row>
        <row r="1875">
          <cell r="E1875" t="str">
            <v>铍（金属铍）</v>
          </cell>
          <cell r="F1875" t="str">
            <v>指用铍矿石、工业氧化铍及铍废碎料为原料，经电解法和还原法生产的金属铍</v>
          </cell>
          <cell r="G1875" t="str">
            <v>金属制品业</v>
          </cell>
        </row>
        <row r="1876">
          <cell r="E1876" t="str">
            <v>铊（金属铊）</v>
          </cell>
          <cell r="F1876" t="str">
            <v>指在冶炼铜、铅锌等金属产品时综合回收的铊金属，铊含量一般在四个九以上</v>
          </cell>
          <cell r="G1876" t="str">
            <v>金属制品业</v>
          </cell>
        </row>
        <row r="1877">
          <cell r="E1877" t="str">
            <v>镓</v>
          </cell>
          <cell r="F1877" t="str">
            <v>指在生产氧化铝过程中从铝土矿中回收金属镓（工业镓），包括原生镓和再生镓，镓含量99.99%</v>
          </cell>
          <cell r="G1877" t="str">
            <v>金属制品业</v>
          </cell>
        </row>
        <row r="1878">
          <cell r="E1878" t="str">
            <v>铪</v>
          </cell>
          <cell r="F1878" t="str">
            <v>指铪的冶炼产品，用于核能及军工领域</v>
          </cell>
          <cell r="G1878" t="str">
            <v>金属制品业</v>
          </cell>
        </row>
        <row r="1879">
          <cell r="E1879" t="str">
            <v>铟</v>
          </cell>
          <cell r="F1879" t="str">
            <v>指属于稀散金属，金属铟主要来自铜、铅、锌及锡等有色金属冶炼过程中富集物的回收，铟分为In99.9%、In99.97%、In99.993%三个品种</v>
          </cell>
          <cell r="G1879" t="str">
            <v>金属制品业</v>
          </cell>
        </row>
        <row r="1880">
          <cell r="E1880" t="str">
            <v>铼（金属铼）</v>
          </cell>
          <cell r="F1880" t="str">
            <v>指属于稀散金属，原料是与铜、钼、铀等矿伴生，在冶炼铜、钼等金属工程中采用氧化焙烧-沉淀法、石灰烧结法、萃取法、离子交换法、电溶氧化法及高压浸煮法等传统提铼方法提取金属铼</v>
          </cell>
          <cell r="G1880" t="str">
            <v>金属制品业</v>
          </cell>
        </row>
        <row r="1881">
          <cell r="E1881" t="str">
            <v>其他稀有金属</v>
          </cell>
          <cell r="F1881" t="str">
            <v>无说明</v>
          </cell>
          <cell r="G1881" t="str">
            <v>金属制品业</v>
          </cell>
        </row>
        <row r="1882">
          <cell r="E1882" t="str">
            <v>钠</v>
          </cell>
          <cell r="F1882" t="str">
            <v>无说明</v>
          </cell>
          <cell r="G1882" t="str">
            <v>金属制品业</v>
          </cell>
        </row>
        <row r="1883">
          <cell r="E1883" t="str">
            <v>锂</v>
          </cell>
          <cell r="F1883" t="str">
            <v>指用电解或真空热还原-蒸馏技术生产的锂金属，锂含量≥99%</v>
          </cell>
          <cell r="G1883" t="str">
            <v>金属制品业</v>
          </cell>
        </row>
        <row r="1884">
          <cell r="E1884" t="str">
            <v>钾</v>
          </cell>
          <cell r="F1884" t="str">
            <v>无说明</v>
          </cell>
          <cell r="G1884" t="str">
            <v>金属制品业</v>
          </cell>
        </row>
        <row r="1885">
          <cell r="E1885" t="str">
            <v>铷</v>
          </cell>
          <cell r="F1885" t="str">
            <v>指用锂云母、铯榴石及盐湖卤水作原料经冶炼工艺生产的铷金属，铷含量≥99%</v>
          </cell>
          <cell r="G1885" t="str">
            <v>金属制品业</v>
          </cell>
        </row>
        <row r="1886">
          <cell r="E1886" t="str">
            <v>铯</v>
          </cell>
          <cell r="F1886" t="str">
            <v>指用铯榴石等原料经真空热还原法、热分解法和电解法生产的金属铯，铯含量≥99%</v>
          </cell>
          <cell r="G1886" t="str">
            <v>金属制品业</v>
          </cell>
        </row>
        <row r="1887">
          <cell r="E1887" t="str">
            <v>其他碱金属</v>
          </cell>
          <cell r="F1887" t="str">
            <v>无说明</v>
          </cell>
          <cell r="G1887" t="str">
            <v>金属制品业</v>
          </cell>
        </row>
        <row r="1888">
          <cell r="E1888" t="str">
            <v>钙</v>
          </cell>
          <cell r="F1888" t="str">
            <v>无说明</v>
          </cell>
          <cell r="G1888" t="str">
            <v>金属制品业</v>
          </cell>
        </row>
        <row r="1889">
          <cell r="E1889" t="str">
            <v>锶</v>
          </cell>
          <cell r="F1889" t="str">
            <v>无说明</v>
          </cell>
          <cell r="G1889" t="str">
            <v>金属制品业</v>
          </cell>
        </row>
        <row r="1890">
          <cell r="E1890" t="str">
            <v>钡</v>
          </cell>
          <cell r="F1890" t="str">
            <v>无说明</v>
          </cell>
          <cell r="G1890" t="str">
            <v>金属制品业</v>
          </cell>
        </row>
        <row r="1891">
          <cell r="E1891" t="str">
            <v>其他碱金属及碱土金属</v>
          </cell>
          <cell r="F1891" t="str">
            <v>无说明</v>
          </cell>
          <cell r="G1891" t="str">
            <v>金属制品业</v>
          </cell>
        </row>
        <row r="1892">
          <cell r="E1892" t="str">
            <v>铜合金</v>
          </cell>
          <cell r="F1892" t="str">
            <v>指以铜为基体，加入一种或几种其他有色金属元素所铸造的未锻轧的铜合金</v>
          </cell>
          <cell r="G1892" t="str">
            <v>金属制品业</v>
          </cell>
        </row>
        <row r="1893">
          <cell r="E1893" t="str">
            <v>铅合金</v>
          </cell>
          <cell r="F1893" t="str">
            <v>指以铅为基体，加入一种或几种其他有色金属元素所铸造的未锻轧的铅合金</v>
          </cell>
          <cell r="G1893" t="str">
            <v>金属制品业</v>
          </cell>
        </row>
        <row r="1894">
          <cell r="E1894" t="str">
            <v>锌合金</v>
          </cell>
          <cell r="F1894" t="str">
            <v>指以锌为基体，加入一种或几种其他有色金属元素所铸造的未锻轧的锌合金</v>
          </cell>
          <cell r="G1894" t="str">
            <v>金属制品业</v>
          </cell>
        </row>
        <row r="1895">
          <cell r="E1895" t="str">
            <v>镍合金</v>
          </cell>
          <cell r="F1895" t="str">
            <v>指以镍为基体，加入一种或几种其他有色金属元素所铸造的未锻轧的镍合金</v>
          </cell>
          <cell r="G1895" t="str">
            <v>金属制品业</v>
          </cell>
        </row>
        <row r="1896">
          <cell r="E1896" t="str">
            <v>铝合金</v>
          </cell>
          <cell r="F1896" t="str">
            <v>指以铝锭（铝液或再生铝）为基体，加入一种或几种其他有色金属元素所铸造的未锻轧的铝合金</v>
          </cell>
          <cell r="G1896" t="str">
            <v>金属制品业</v>
          </cell>
        </row>
        <row r="1897">
          <cell r="E1897" t="str">
            <v>锡合金</v>
          </cell>
          <cell r="F1897" t="str">
            <v>指以锡为基体，加入一种或几种其他有色金属元素所铸造的未锻轧的锡合金</v>
          </cell>
          <cell r="G1897" t="str">
            <v>金属制品业</v>
          </cell>
        </row>
        <row r="1898">
          <cell r="E1898" t="str">
            <v>镁合金</v>
          </cell>
          <cell r="F1898" t="str">
            <v>指以镁为基体，加入一种或几种其他有色金属元素所铸造的未锻轧的镁合金</v>
          </cell>
          <cell r="G1898" t="str">
            <v>金属制品业</v>
          </cell>
        </row>
        <row r="1899">
          <cell r="E1899" t="str">
            <v>钛合金</v>
          </cell>
          <cell r="F1899" t="str">
            <v>指以海绵钛为基体，加入一种或几种其他有色金属元素所铸造的未锻轧的钛合金</v>
          </cell>
          <cell r="G1899" t="str">
            <v>金属制品业</v>
          </cell>
        </row>
        <row r="1900">
          <cell r="E1900" t="str">
            <v>铋合金</v>
          </cell>
          <cell r="F1900" t="str">
            <v>指以铋为基体，加入两种以上有色金属元素所铸造的未锻轧的铋合金</v>
          </cell>
          <cell r="G1900" t="str">
            <v>金属制品业</v>
          </cell>
        </row>
        <row r="1901">
          <cell r="E1901" t="str">
            <v>镉合金</v>
          </cell>
          <cell r="F1901" t="str">
            <v>无说明</v>
          </cell>
          <cell r="G1901" t="str">
            <v>金属制品业</v>
          </cell>
        </row>
        <row r="1902">
          <cell r="E1902" t="str">
            <v>钴合金</v>
          </cell>
          <cell r="F1902" t="str">
            <v>指以钴为基体，加入一种或几种金属铸造的未锻轧的钴合金</v>
          </cell>
          <cell r="G1902" t="str">
            <v>金属制品业</v>
          </cell>
        </row>
        <row r="1903">
          <cell r="E1903" t="str">
            <v>其他常用有色金属合金</v>
          </cell>
          <cell r="F1903" t="str">
            <v>无说明</v>
          </cell>
          <cell r="G1903" t="str">
            <v>金属制品业</v>
          </cell>
        </row>
        <row r="1904">
          <cell r="E1904" t="str">
            <v>硬质合金</v>
          </cell>
          <cell r="F1904" t="str">
            <v>指以碳化钨（WC）粉、复式碳化钨（WC）粉、钴（Co）粉及钛粉等金属为原料，经混合料制备、压制成型和烧结工艺生产的产品称作硬质合金；按用途分为切削刀片硬质合金、矿用硬质合金、耐磨零件硬质合金和钢结硬质合金；按原料分为钨钴硬质合金、钨钴钛硬质合金、钢结硬质合金及其他硬质合金</v>
          </cell>
          <cell r="G1904" t="str">
            <v>金属制品业</v>
          </cell>
        </row>
        <row r="1905">
          <cell r="E1905" t="str">
            <v>稀有金属合金</v>
          </cell>
          <cell r="F1905" t="str">
            <v>包括铍铜合金、铍铝合金、铍镁合金、铌铁合金和其他稀有金属合金</v>
          </cell>
          <cell r="G1905" t="str">
            <v>金属制品业</v>
          </cell>
        </row>
        <row r="1906">
          <cell r="E1906" t="str">
            <v>稀土金属合金</v>
          </cell>
          <cell r="F1906" t="str">
            <v>指由稀土金属作基体，加入一种或几种金属铸造的合金产品</v>
          </cell>
          <cell r="G1906" t="str">
            <v>金属制品业</v>
          </cell>
        </row>
        <row r="1907">
          <cell r="E1907" t="str">
            <v>金合金</v>
          </cell>
          <cell r="F1907" t="str">
            <v>指以金为基体，加入一种或几种金属铸造的合金产品</v>
          </cell>
          <cell r="G1907" t="str">
            <v>金属制品业</v>
          </cell>
        </row>
        <row r="1908">
          <cell r="E1908" t="str">
            <v>银合金</v>
          </cell>
          <cell r="F1908" t="str">
            <v>指以银为基体，加入一种或几种金属铸造的银合金产品</v>
          </cell>
          <cell r="G1908" t="str">
            <v>金属制品业</v>
          </cell>
        </row>
        <row r="1909">
          <cell r="E1909" t="str">
            <v>铂合金</v>
          </cell>
          <cell r="F1909" t="str">
            <v>指以铂为基体，加入一种或几种金属铸造的铂合金</v>
          </cell>
          <cell r="G1909" t="str">
            <v>金属制品业</v>
          </cell>
        </row>
        <row r="1910">
          <cell r="E1910" t="str">
            <v>钯合金</v>
          </cell>
          <cell r="F1910" t="str">
            <v>指以钯为基体，加入一种或几种金属铸造的钯合金</v>
          </cell>
          <cell r="G1910" t="str">
            <v>金属制品业</v>
          </cell>
        </row>
        <row r="1911">
          <cell r="E1911" t="str">
            <v>铑、铱、锇合金</v>
          </cell>
          <cell r="F1911" t="str">
            <v>包括铑铱合金、铱锇合金、铱钨合金和其他贵金属合金</v>
          </cell>
          <cell r="G1911" t="str">
            <v>金属制品业</v>
          </cell>
        </row>
        <row r="1912">
          <cell r="E1912" t="str">
            <v>其他贵金属合金</v>
          </cell>
          <cell r="F1912" t="str">
            <v>无说明</v>
          </cell>
          <cell r="G1912" t="str">
            <v>金属制品业</v>
          </cell>
        </row>
        <row r="1913">
          <cell r="E1913" t="str">
            <v>铜材</v>
          </cell>
          <cell r="F1913" t="str">
            <v>指以铜金属为基体，经熔铸、挤压或轧制加工生产的板材、带材、箔材、棒材、型材、线材、管材等铜材</v>
          </cell>
          <cell r="G1913" t="str">
            <v>有色金属冶炼及压延加工业</v>
          </cell>
        </row>
        <row r="1914">
          <cell r="E1914" t="str">
            <v>铜盘条（电工用铜线坯）</v>
          </cell>
          <cell r="F1914" t="str">
            <v>指沿整个长度方向上具有均一的横截面，以卷状供应的实心中间产品，供进一步加工用，直径一般为6～35mm，铜加工材总计中不含铜盘条</v>
          </cell>
          <cell r="G1914" t="str">
            <v>金属制品业</v>
          </cell>
        </row>
        <row r="1915">
          <cell r="E1915" t="str">
            <v>铜粉及片状粉末</v>
          </cell>
          <cell r="F1915" t="str">
            <v>包括铜粉、片状铜粉末。</v>
          </cell>
          <cell r="G1915" t="str">
            <v>金属制品业</v>
          </cell>
        </row>
        <row r="1916">
          <cell r="E1916" t="str">
            <v>铝材</v>
          </cell>
          <cell r="F1916" t="str">
            <v>指以铝金属为基体，经熔铸、挤压或轧制加工生产的板材、带材、箔材、棒材、型材、线材、管材及排材</v>
          </cell>
          <cell r="G1916" t="str">
            <v>有色金属冶炼及压延加工业</v>
          </cell>
        </row>
        <row r="1917">
          <cell r="E1917" t="str">
            <v>铝盘条（电工用圆铝杆）</v>
          </cell>
          <cell r="F1917" t="str">
            <v>指供进一步加工用的中间产品，直径一般为9～20mm</v>
          </cell>
          <cell r="G1917" t="str">
            <v>金属制品业</v>
          </cell>
        </row>
        <row r="1918">
          <cell r="E1918" t="str">
            <v>铝粉及铝片状粉末</v>
          </cell>
          <cell r="F1918" t="str">
            <v>包括铝非片状粉末、铝片状粉末。</v>
          </cell>
          <cell r="G1918" t="str">
            <v>金属制品业</v>
          </cell>
        </row>
        <row r="1919">
          <cell r="E1919" t="str">
            <v>铅材</v>
          </cell>
          <cell r="F1919" t="str">
            <v>指以铅为基体，加入一种或几种金属经挤压或轧制生产的产品</v>
          </cell>
          <cell r="G1919" t="str">
            <v>有色金属冶炼及压延加工业</v>
          </cell>
        </row>
        <row r="1920">
          <cell r="E1920" t="str">
            <v>铅粉及铅片状粉末</v>
          </cell>
          <cell r="F1920" t="str">
            <v>包括铅粉、铅片状粉末。</v>
          </cell>
          <cell r="G1920" t="str">
            <v>金属制品业</v>
          </cell>
        </row>
        <row r="1921">
          <cell r="E1921" t="str">
            <v>锌材</v>
          </cell>
          <cell r="F1921" t="str">
            <v>指以锌为基体，加入一种或几种金属经挤压或轧制生产的产品</v>
          </cell>
          <cell r="G1921" t="str">
            <v>有色金属冶炼及压延加工业</v>
          </cell>
        </row>
        <row r="1922">
          <cell r="E1922" t="str">
            <v>锌末、锌粉及锌片状粉末</v>
          </cell>
          <cell r="F1922" t="str">
            <v>包括锌末、锌粉。</v>
          </cell>
          <cell r="G1922" t="str">
            <v>金属制品业</v>
          </cell>
        </row>
        <row r="1923">
          <cell r="E1923" t="str">
            <v>镍材</v>
          </cell>
          <cell r="F1923" t="str">
            <v>指以镍为基体，加入一种或几种金属经挤压或轧制生产的产品</v>
          </cell>
          <cell r="G1923" t="str">
            <v>金属制品业</v>
          </cell>
        </row>
        <row r="1924">
          <cell r="E1924" t="str">
            <v>镍粉及镍片状粉末</v>
          </cell>
          <cell r="F1924" t="str">
            <v>指非合金镍粉、合金镍粉，包括片状粉末。</v>
          </cell>
          <cell r="G1924" t="str">
            <v>金属制品业</v>
          </cell>
        </row>
        <row r="1925">
          <cell r="E1925" t="str">
            <v>锡材</v>
          </cell>
          <cell r="F1925" t="str">
            <v>指以锡为基体，加入一种或几种金属经挤压或轧制及其他加工方法生产的产品</v>
          </cell>
          <cell r="G1925" t="str">
            <v>金属制品业</v>
          </cell>
        </row>
        <row r="1926">
          <cell r="E1926" t="str">
            <v>锡粉及锡片状粉末</v>
          </cell>
          <cell r="F1926" t="str">
            <v>指非锡合金锡粉、锡合金锡粉，包括片状粉末。</v>
          </cell>
          <cell r="G1926" t="str">
            <v>金属制品业</v>
          </cell>
        </row>
        <row r="1927">
          <cell r="E1927" t="str">
            <v>镁材</v>
          </cell>
          <cell r="F1927" t="str">
            <v>指镁棒材、镁型材异型材、镁板材、镁带材、镁箔材、镁丝材、镁管及空心异型材和其他镁材，包括镁金属压延加工材</v>
          </cell>
          <cell r="G1927" t="str">
            <v>金属制品业</v>
          </cell>
        </row>
        <row r="1928">
          <cell r="E1928" t="str">
            <v>钛材</v>
          </cell>
          <cell r="F1928" t="str">
            <v>指钛棒材、钛型材及异型材、钛线材、钛板材、钛带、钛箔材、钛管材、钛锻材和其他钛材，包括钛金属压延加工材</v>
          </cell>
          <cell r="G1928" t="str">
            <v>金属制品业</v>
          </cell>
        </row>
        <row r="1929">
          <cell r="E1929" t="str">
            <v>镉材</v>
          </cell>
          <cell r="F1929" t="str">
            <v>包括镉板材、镉棒材和其他镉材。</v>
          </cell>
          <cell r="G1929" t="str">
            <v>金属制品业</v>
          </cell>
        </row>
        <row r="1930">
          <cell r="E1930" t="str">
            <v>锑材</v>
          </cell>
          <cell r="F1930" t="str">
            <v>包括锑棒材、锑板材和其他锑材。</v>
          </cell>
          <cell r="G1930" t="str">
            <v>金属制品业</v>
          </cell>
        </row>
        <row r="1931">
          <cell r="E1931" t="str">
            <v>铋材</v>
          </cell>
          <cell r="F1931" t="str">
            <v>无说明</v>
          </cell>
          <cell r="G1931" t="str">
            <v>金属制品业</v>
          </cell>
        </row>
        <row r="1932">
          <cell r="E1932" t="str">
            <v>金加工材</v>
          </cell>
          <cell r="F1932" t="str">
            <v>指金棒材和其他金加工材，包括金及金合金压延加工材</v>
          </cell>
          <cell r="G1932" t="str">
            <v>金属制品业</v>
          </cell>
        </row>
        <row r="1933">
          <cell r="E1933" t="str">
            <v>银材</v>
          </cell>
          <cell r="F1933" t="str">
            <v>指银棒材、银型材、银板材、银片材、银带材和其他银材，包括银及银合金压延加工材</v>
          </cell>
          <cell r="G1933" t="str">
            <v>金属制品业</v>
          </cell>
        </row>
        <row r="1934">
          <cell r="E1934" t="str">
            <v>铂加工材</v>
          </cell>
          <cell r="F1934" t="str">
            <v>指铂板材、铂片材、铂带材、铂条材、铂管材和其他铂加工材，包括铂及铂合金压延加工材</v>
          </cell>
          <cell r="G1934" t="str">
            <v>金属制品业</v>
          </cell>
        </row>
        <row r="1935">
          <cell r="E1935" t="str">
            <v>钯材</v>
          </cell>
          <cell r="F1935" t="str">
            <v>指钯板材、钯片材、钯带材、钯条材、钯管材和其他钯材，包括钯及钯合金压延加工材</v>
          </cell>
          <cell r="G1935" t="str">
            <v>金属制品业</v>
          </cell>
        </row>
        <row r="1936">
          <cell r="E1936" t="str">
            <v>铑加工材</v>
          </cell>
          <cell r="F1936" t="str">
            <v>指铑板材、铑片材、铑带材、铑条材和其他铑加工材，包括铑及铑合金压延加工材</v>
          </cell>
          <cell r="G1936" t="str">
            <v>金属制品业</v>
          </cell>
        </row>
        <row r="1937">
          <cell r="E1937" t="str">
            <v>铱加工材</v>
          </cell>
          <cell r="F1937" t="str">
            <v>指铱板材、铱片材、铱薄带材和其他铱加工材，包括半制成品形状的铱、锇、钌及其他贵金属材</v>
          </cell>
          <cell r="G1937" t="str">
            <v>金属制品业</v>
          </cell>
        </row>
        <row r="1938">
          <cell r="E1938" t="str">
            <v>锇加工材</v>
          </cell>
          <cell r="F1938" t="str">
            <v>指锇板材、锇片材和其他锇加工材包括半制成品形状的铱、锇、钌及其他贵金属材</v>
          </cell>
          <cell r="G1938" t="str">
            <v>金属制品业</v>
          </cell>
        </row>
        <row r="1939">
          <cell r="E1939" t="str">
            <v>钌加工材</v>
          </cell>
          <cell r="F1939" t="str">
            <v>包括钌板材、钌片材、钌带材和其他钌加工材。</v>
          </cell>
          <cell r="G1939" t="str">
            <v>金属制品业</v>
          </cell>
        </row>
        <row r="1940">
          <cell r="E1940" t="str">
            <v>其他贵金属压延加工材</v>
          </cell>
          <cell r="F1940" t="str">
            <v>无说明</v>
          </cell>
          <cell r="G1940" t="str">
            <v>金属制品业</v>
          </cell>
        </row>
        <row r="1941">
          <cell r="E1941" t="str">
            <v>包金金属材料</v>
          </cell>
          <cell r="F1941" t="str">
            <v>指包金的金属材料用以制首饰（手镯、表链、耳环等）、表壳、雪茄嘴或香烟嘴、打火机、金器、电触头、化学装置等，包括包金棒、杆、包金板、片、包金带、包金型材、包金丝、包金管和其他包金金属材料。</v>
          </cell>
          <cell r="G1941" t="str">
            <v>金属制品业</v>
          </cell>
        </row>
        <row r="1942">
          <cell r="E1942" t="str">
            <v>包银金属材料</v>
          </cell>
          <cell r="F1942" t="str">
            <v>包括包银棒、杆、包银板、片、包银带、包银型材、包银丝、包银管和其他包银金属材料。</v>
          </cell>
          <cell r="G1942" t="str">
            <v>金属制品业</v>
          </cell>
        </row>
        <row r="1943">
          <cell r="E1943" t="str">
            <v>包铂金属材料</v>
          </cell>
          <cell r="F1943" t="str">
            <v>指以银、金、及其他金属为底的包铂材料，包括包铂棒、杆、包铂板、片、包铂带、包铂型材、包铂丝、包铂管和其他包铂金属材料。</v>
          </cell>
          <cell r="G1943" t="str">
            <v>金属制品业</v>
          </cell>
        </row>
        <row r="1944">
          <cell r="E1944" t="str">
            <v>钨加工材</v>
          </cell>
          <cell r="F1944" t="str">
            <v>指钨棒材、钨型材及异型材、钨板材、钨带材、钨箔、片材、钨丝材、钨高比重材、钨坩埚、钨阳极和其他钨加工材，包括钨及钨合金加工材</v>
          </cell>
          <cell r="G1944" t="str">
            <v>金属制品业</v>
          </cell>
        </row>
        <row r="1945">
          <cell r="E1945" t="str">
            <v>钼加工材</v>
          </cell>
          <cell r="F1945" t="str">
            <v>指钼棒材、钼板材、钼带材、钼箔材、钼丝材、钼板坯、钼坩埚、钼顶头和其他钼材，包括钼及钼合金压延加工材</v>
          </cell>
          <cell r="G1945" t="str">
            <v>金属制品业</v>
          </cell>
        </row>
        <row r="1946">
          <cell r="E1946" t="str">
            <v>钽加工材</v>
          </cell>
          <cell r="F1946" t="str">
            <v>指钽棒、钽板材、钽带、钽箔、钽管材、钽丝材和其他钽加工材，包括钽及钽合金加工材</v>
          </cell>
          <cell r="G1946" t="str">
            <v>金属制品业</v>
          </cell>
        </row>
        <row r="1947">
          <cell r="E1947" t="str">
            <v>锆加工材</v>
          </cell>
          <cell r="F1947" t="str">
            <v>指锆板材、锆棒材、锆丝材、锆管材和其他锆加工材，包括锆及锆合金加工材</v>
          </cell>
          <cell r="G1947" t="str">
            <v>金属制品业</v>
          </cell>
        </row>
        <row r="1948">
          <cell r="E1948" t="str">
            <v>铌加工材</v>
          </cell>
          <cell r="F1948" t="str">
            <v>指铌板材、铌棒材、铌丝材、铌管材和其他铌加工材，包括铌及铌合金加工材</v>
          </cell>
          <cell r="G1948" t="str">
            <v>金属制品业</v>
          </cell>
        </row>
        <row r="1949">
          <cell r="E1949" t="str">
            <v>镓加工材</v>
          </cell>
          <cell r="F1949" t="str">
            <v>指镓板材、镓棒材、镓丝材、镓管材和其他镓加工材，包括镓及镓合金加工材</v>
          </cell>
          <cell r="G1949" t="str">
            <v>金属制品业</v>
          </cell>
        </row>
        <row r="1950">
          <cell r="E1950" t="str">
            <v>铪加工材</v>
          </cell>
          <cell r="F1950" t="str">
            <v>指铪板材、铪棒材、铪丝材、铪管材和其他铪加工材，包括铪及铪合金加工材</v>
          </cell>
          <cell r="G1950" t="str">
            <v>金属制品业</v>
          </cell>
        </row>
        <row r="1951">
          <cell r="E1951" t="str">
            <v>铟加工材</v>
          </cell>
          <cell r="F1951" t="str">
            <v>指铟板材、铟棒材、铟丝材、铟管材和其他铟加工材，包括铟及铟合金加工材</v>
          </cell>
          <cell r="G1951" t="str">
            <v>金属制品业</v>
          </cell>
        </row>
        <row r="1952">
          <cell r="E1952" t="str">
            <v>铼加工材</v>
          </cell>
          <cell r="F1952" t="str">
            <v>指铼板材、铼棒材、铼丝材、铼管材和其他铼加工材，包括铼及铼合金加工材</v>
          </cell>
          <cell r="G1952" t="str">
            <v>金属制品业</v>
          </cell>
        </row>
        <row r="1953">
          <cell r="E1953" t="str">
            <v>钴加工材</v>
          </cell>
          <cell r="F1953" t="str">
            <v>无说明</v>
          </cell>
          <cell r="G1953" t="str">
            <v>金属制品业</v>
          </cell>
        </row>
        <row r="1954">
          <cell r="E1954" t="str">
            <v>铍加工材</v>
          </cell>
          <cell r="F1954" t="str">
            <v>无说明</v>
          </cell>
          <cell r="G1954" t="str">
            <v>金属制品业</v>
          </cell>
        </row>
        <row r="1955">
          <cell r="E1955" t="str">
            <v>铊加工材</v>
          </cell>
          <cell r="F1955" t="str">
            <v>无说明</v>
          </cell>
          <cell r="G1955" t="str">
            <v>金属制品业</v>
          </cell>
        </row>
        <row r="1956">
          <cell r="E1956" t="str">
            <v>锗加工材</v>
          </cell>
          <cell r="F1956" t="str">
            <v>无说明</v>
          </cell>
          <cell r="G1956" t="str">
            <v>金属制品业</v>
          </cell>
        </row>
        <row r="1957">
          <cell r="E1957" t="str">
            <v>钒加工材</v>
          </cell>
          <cell r="F1957" t="str">
            <v>无说明</v>
          </cell>
          <cell r="G1957" t="str">
            <v>金属制品业</v>
          </cell>
        </row>
        <row r="1958">
          <cell r="E1958" t="str">
            <v>其他稀有稀土金属压延加工材</v>
          </cell>
          <cell r="F1958" t="str">
            <v>无说明</v>
          </cell>
          <cell r="G1958" t="str">
            <v>金属制品业</v>
          </cell>
        </row>
        <row r="1959">
          <cell r="E1959" t="str">
            <v>废弃物资冶炼、提纯有色金属及合金</v>
          </cell>
          <cell r="F1959" t="str">
            <v>指以废弃物资为原料，经冶炼、提纯或化合生产的金属、合金及金属化合物，不包括铁（详见1080201）、铁合金（详见1080208）</v>
          </cell>
          <cell r="G1959" t="str">
            <v>金属制品业</v>
          </cell>
        </row>
        <row r="1960">
          <cell r="E1960" t="str">
            <v>钢结构及其产品</v>
          </cell>
          <cell r="F1960" t="str">
            <v>包括钢结构所用的已加工的各种型钢，不包括货架（详见109011602）</v>
          </cell>
          <cell r="G1960" t="str">
            <v>黑色金属冶炼及压延加工业</v>
          </cell>
        </row>
        <row r="1961">
          <cell r="E1961" t="str">
            <v>锌制建筑结构体及其部件</v>
          </cell>
          <cell r="F1961" t="str">
            <v>包括锌制檐槽、屋顶构件、暖房框架及房屋的其他锌制部件</v>
          </cell>
          <cell r="G1961" t="str">
            <v>金属制品业</v>
          </cell>
        </row>
        <row r="1962">
          <cell r="E1962" t="str">
            <v>金属结构预制建筑物（活动房屋）</v>
          </cell>
          <cell r="F1962" t="str">
            <v>无说明</v>
          </cell>
          <cell r="G1962" t="str">
            <v>金属制品业</v>
          </cell>
        </row>
        <row r="1963">
          <cell r="E1963" t="str">
            <v>金属制门及其框架、门槛</v>
          </cell>
          <cell r="F1963" t="str">
            <v>包括钢铁门及其框架、门槛、铝制门及其框架、门槛</v>
          </cell>
          <cell r="G1963" t="str">
            <v>金属制品业</v>
          </cell>
        </row>
        <row r="1964">
          <cell r="E1964" t="str">
            <v>金属制窗及窗框</v>
          </cell>
          <cell r="F1964" t="str">
            <v>包括钢铁制窗及窗框、铝制窗及窗框</v>
          </cell>
          <cell r="G1964" t="str">
            <v>金属制品业</v>
          </cell>
        </row>
        <row r="1965">
          <cell r="E1965" t="str">
            <v>金属护栏及类似品</v>
          </cell>
          <cell r="F1965" t="str">
            <v>包括金属制窗护网、栏、金属制阳台护栏及类似品</v>
          </cell>
          <cell r="G1965" t="str">
            <v>金属制品业</v>
          </cell>
        </row>
        <row r="1966">
          <cell r="E1966" t="str">
            <v>金属切削机床用切削刀具</v>
          </cell>
          <cell r="F1966" t="str">
            <v>包括高速钢与硬质合金材料的刀具等</v>
          </cell>
          <cell r="G1966" t="str">
            <v>金属制品业</v>
          </cell>
        </row>
        <row r="1967">
          <cell r="E1967" t="str">
            <v>工具系统</v>
          </cell>
          <cell r="F1967" t="str">
            <v>包括组合刀具、复合刀具</v>
          </cell>
          <cell r="G1967" t="str">
            <v>金属制品业</v>
          </cell>
        </row>
        <row r="1968">
          <cell r="E1968" t="str">
            <v>机器用刀具及刀片</v>
          </cell>
          <cell r="F1968" t="str">
            <v>指未装配的机器或机械器具的刀具及刀片</v>
          </cell>
          <cell r="G1968" t="str">
            <v>金属制品业</v>
          </cell>
        </row>
        <row r="1969">
          <cell r="E1969" t="str">
            <v>其他金属切削工具</v>
          </cell>
          <cell r="F1969" t="str">
            <v>无说明</v>
          </cell>
          <cell r="G1969" t="str">
            <v>金属制品业</v>
          </cell>
        </row>
        <row r="1970">
          <cell r="E1970" t="str">
            <v>手工锯</v>
          </cell>
          <cell r="F1970" t="str">
            <v>指锯木材、金属、石料或其他材料的手工锯，不论是专业用还是家庭用</v>
          </cell>
          <cell r="G1970" t="str">
            <v>金属制品业</v>
          </cell>
        </row>
        <row r="1971">
          <cell r="E1971" t="str">
            <v>锉及类似工具</v>
          </cell>
          <cell r="F1971" t="str">
            <v>指钢锉、木锉、钢木两用锉及类似工具</v>
          </cell>
          <cell r="G1971" t="str">
            <v>金属制品业</v>
          </cell>
        </row>
        <row r="1972">
          <cell r="E1972" t="str">
            <v>钳子</v>
          </cell>
          <cell r="F1972" t="str">
            <v>指以夹钳原理操作的颚式工具</v>
          </cell>
          <cell r="G1972" t="str">
            <v>金属制品业</v>
          </cell>
        </row>
        <row r="1973">
          <cell r="E1973" t="str">
            <v>手动扳手及扳钳</v>
          </cell>
          <cell r="F1973" t="str">
            <v>包括各种手动扳手及扳钳，不包括消防用扳手及板钳（详见109025305）</v>
          </cell>
          <cell r="G1973" t="str">
            <v>金属制品业</v>
          </cell>
        </row>
        <row r="1974">
          <cell r="E1974" t="str">
            <v>锤子</v>
          </cell>
          <cell r="F1974" t="str">
            <v>包括碎石锤、大木锤、石材修整锤、其他锤子</v>
          </cell>
          <cell r="G1974" t="str">
            <v>金属制品业</v>
          </cell>
        </row>
        <row r="1975">
          <cell r="E1975" t="str">
            <v>螺丝刀</v>
          </cell>
          <cell r="F1975" t="str">
            <v>螺丝刀又称起子或改锥，是用来紧固或拆卸带槽螺钉的常用工具</v>
          </cell>
          <cell r="G1975" t="str">
            <v>金属制品业</v>
          </cell>
        </row>
        <row r="1976">
          <cell r="E1976" t="str">
            <v>钻孔或攻丝工具</v>
          </cell>
          <cell r="F1976" t="str">
            <v>包括手摇曲柄钻、胸压式手摇钻及手钻、板牙铰手、丝锥扳手、搓丝板</v>
          </cell>
          <cell r="G1976" t="str">
            <v>金属制品业</v>
          </cell>
        </row>
        <row r="1977">
          <cell r="E1977" t="str">
            <v>切管器及类似手工工具</v>
          </cell>
          <cell r="F1977" t="str">
            <v>包括钳式切管器（带切割轮）、螺栓切头器、螺栓剪钳、链条切割器、其他切管器及类似手工工具</v>
          </cell>
          <cell r="G1977" t="str">
            <v>金属制品业</v>
          </cell>
        </row>
        <row r="1978">
          <cell r="E1978" t="str">
            <v>白铁剪及类似工具</v>
          </cell>
          <cell r="F1978" t="str">
            <v>包括平头剪、切割剪、其他白铁剪及类似工具</v>
          </cell>
          <cell r="G1978" t="str">
            <v>黑色金属冶炼及压延加工业</v>
          </cell>
        </row>
        <row r="1979">
          <cell r="E1979" t="str">
            <v>打孔冲及类似手工工具</v>
          </cell>
          <cell r="F1979" t="str">
            <v>包括钮孔冲孔器、剪票钳、鞍工冲子、其他打孔冲及类似手工工具</v>
          </cell>
          <cell r="G1979" t="str">
            <v>金属制品业</v>
          </cell>
        </row>
        <row r="1980">
          <cell r="E1980" t="str">
            <v>通用手工具可互换部件</v>
          </cell>
          <cell r="F1980" t="str">
            <v>包括锯片、带锯片、圆锯片、链锯条、直锯片、其他锯片、可互换扳手套筒、其他通用手工具可互换部件</v>
          </cell>
          <cell r="G1980" t="str">
            <v>金属制品业</v>
          </cell>
        </row>
        <row r="1981">
          <cell r="E1981" t="str">
            <v>专用手工具</v>
          </cell>
          <cell r="F1981" t="str">
            <v>不包括消防、防爆专用手工工具（详见109025405）</v>
          </cell>
          <cell r="G1981" t="str">
            <v>金属制品业</v>
          </cell>
        </row>
        <row r="1982">
          <cell r="E1982" t="str">
            <v>农林牧通用金属手工具</v>
          </cell>
          <cell r="F1982" t="str">
            <v>包括锹及铲、叉、镐、锄、耙、斧子、钩刀、砍刀类似砍伐工具、镰刀、秣刀、其他农林牧通用金属手工具</v>
          </cell>
          <cell r="G1982" t="str">
            <v>金属制品业</v>
          </cell>
        </row>
        <row r="1983">
          <cell r="E1983" t="str">
            <v>林业、园艺专用工具</v>
          </cell>
          <cell r="F1983" t="str">
            <v>包括种植器、播种器、点播器、泥铲及移植器、摘果器、其他林业用器类工具、单手操作剪刀、双手操作剪刀、其他园艺专用刀剪手工具、伐木楔子、木钩、木钳、木镐、其他伐木专用工具</v>
          </cell>
          <cell r="G1983" t="str">
            <v>金属制品业</v>
          </cell>
        </row>
        <row r="1984">
          <cell r="E1984" t="str">
            <v>畜牧专用手工具</v>
          </cell>
          <cell r="F1984" t="str">
            <v>包括畜牧专用剪刀、马鬃剪、马蹄剪、羊毛剪、其他畜牧专用剪刀、羊毛抓子、动物用标记钳、牛梳、马梳及猪刮子、其他畜牧专用手工具</v>
          </cell>
          <cell r="G1984" t="str">
            <v>金属制品业</v>
          </cell>
        </row>
        <row r="1985">
          <cell r="E1985" t="str">
            <v>其他农林、畜牧用金属工具</v>
          </cell>
          <cell r="F1985" t="str">
            <v>包括犁铧、铡刀等农具</v>
          </cell>
          <cell r="G1985" t="str">
            <v>金属制品业</v>
          </cell>
        </row>
        <row r="1986">
          <cell r="E1986" t="str">
            <v>专用刀具及类似器具</v>
          </cell>
          <cell r="F1986" t="str">
            <v>指游牧及其他特殊人员使用的金属制长刀、短刀、匕首及类似锐利器具，以及舞台、装饰用刀具和类似器具</v>
          </cell>
          <cell r="G1986" t="str">
            <v>金属制品业</v>
          </cell>
        </row>
        <row r="1987">
          <cell r="E1987" t="str">
            <v>剪刀及类似品</v>
          </cell>
          <cell r="F1987" t="str">
            <v>不包括农林牧渔用剪刀手工具（详见1080405），也不包括电工用剪刀及裁剪金属用剪刀（详见1090132）</v>
          </cell>
          <cell r="G1987" t="str">
            <v>金属制品业</v>
          </cell>
        </row>
        <row r="1988">
          <cell r="E1988" t="str">
            <v>日常用刀及类似制品</v>
          </cell>
          <cell r="F1988" t="str">
            <v>指有刃口的刀及其刀片和利口器，指机器或机械器具的刀及刀片除外（详见108040303）</v>
          </cell>
          <cell r="G1988" t="str">
            <v>金属制品业</v>
          </cell>
        </row>
        <row r="1989">
          <cell r="E1989" t="str">
            <v>理发用手工具</v>
          </cell>
          <cell r="F1989" t="str">
            <v>不包括电动理发用工具(详见1090419)</v>
          </cell>
          <cell r="G1989" t="str">
            <v>金属制品业</v>
          </cell>
        </row>
        <row r="1990">
          <cell r="E1990" t="str">
            <v>修饰用手工具</v>
          </cell>
          <cell r="F1990" t="str">
            <v>包括美容修饰用工具</v>
          </cell>
          <cell r="G1990" t="str">
            <v>金属制品业</v>
          </cell>
        </row>
        <row r="1991">
          <cell r="E1991" t="str">
            <v>其他刀剪及类似日用金属工具</v>
          </cell>
          <cell r="F1991" t="str">
            <v>无说明</v>
          </cell>
          <cell r="G1991" t="str">
            <v>金属制品业</v>
          </cell>
        </row>
        <row r="1992">
          <cell r="E1992" t="str">
            <v>喷灯、台钳，相关金属手工具</v>
          </cell>
          <cell r="F1992" t="str">
            <v>包括喷灯、台钳及类似制品、其他相关金属手工具</v>
          </cell>
          <cell r="G1992" t="str">
            <v>金属制品业</v>
          </cell>
        </row>
        <row r="1993">
          <cell r="E1993" t="str">
            <v>集装箱</v>
          </cell>
          <cell r="F1993" t="str">
            <v>包括邮政集装箱、运输液体的集装箱</v>
          </cell>
          <cell r="G1993" t="str">
            <v>金属制品业</v>
          </cell>
        </row>
        <row r="1994">
          <cell r="E1994" t="str">
            <v>金属容器</v>
          </cell>
          <cell r="F1994" t="str">
            <v>包括金属压力容器、包装容器及其附件</v>
          </cell>
          <cell r="G1994" t="str">
            <v>金属制品业</v>
          </cell>
        </row>
        <row r="1995">
          <cell r="E1995" t="str">
            <v>铁丝</v>
          </cell>
          <cell r="F1995" t="str">
            <v>无说明</v>
          </cell>
          <cell r="G1995" t="str">
            <v>黑色金属冶炼及压延加工业</v>
          </cell>
        </row>
        <row r="1996">
          <cell r="E1996" t="str">
            <v>钢丝</v>
          </cell>
          <cell r="F1996" t="str">
            <v>包括非合金钢钢丝、低合金钢钢丝、合金、钢钢丝、不锈钢钢丝</v>
          </cell>
          <cell r="G1996" t="str">
            <v>黑色金属冶炼及压延加工业</v>
          </cell>
        </row>
        <row r="1997">
          <cell r="E1997" t="str">
            <v>铜丝</v>
          </cell>
          <cell r="F1997" t="str">
            <v>包括铜合金丝、铜合金丝</v>
          </cell>
          <cell r="G1997" t="str">
            <v>金属制品业</v>
          </cell>
        </row>
        <row r="1998">
          <cell r="E1998" t="str">
            <v>铝丝</v>
          </cell>
          <cell r="F1998" t="str">
            <v>包括非合金铝丝、铝合金丝</v>
          </cell>
          <cell r="G1998" t="str">
            <v>金属制品业</v>
          </cell>
        </row>
        <row r="1999">
          <cell r="E1999" t="str">
            <v>铅丝</v>
          </cell>
          <cell r="F1999" t="str">
            <v>包括非合金铅丝、铅合金丝</v>
          </cell>
          <cell r="G1999" t="str">
            <v>金属制品业</v>
          </cell>
        </row>
        <row r="2000">
          <cell r="E2000" t="str">
            <v>锌丝</v>
          </cell>
          <cell r="F2000" t="str">
            <v>包括非合金锌丝、锌合金丝</v>
          </cell>
          <cell r="G2000" t="str">
            <v>金属制品业</v>
          </cell>
        </row>
        <row r="2001">
          <cell r="E2001" t="str">
            <v>镍丝</v>
          </cell>
          <cell r="F2001" t="str">
            <v>包括非合金镍丝、镍合金丝</v>
          </cell>
          <cell r="G2001" t="str">
            <v>金属制品业</v>
          </cell>
        </row>
        <row r="2002">
          <cell r="E2002" t="str">
            <v>锡丝</v>
          </cell>
          <cell r="F2002" t="str">
            <v>包括非锡合金丝、锡合金丝</v>
          </cell>
          <cell r="G2002" t="str">
            <v>金属制品业</v>
          </cell>
        </row>
        <row r="2003">
          <cell r="E2003" t="str">
            <v>钛丝</v>
          </cell>
          <cell r="F2003" t="str">
            <v>包括非合金钛丝、钛合金丝</v>
          </cell>
          <cell r="G2003" t="str">
            <v>金属制品业</v>
          </cell>
        </row>
        <row r="2004">
          <cell r="E2004" t="str">
            <v>镁丝</v>
          </cell>
          <cell r="F2004" t="str">
            <v>包括非合金镁丝、镁合金丝</v>
          </cell>
          <cell r="G2004" t="str">
            <v>金属制品业</v>
          </cell>
        </row>
        <row r="2005">
          <cell r="E2005" t="str">
            <v>金丝</v>
          </cell>
          <cell r="F2005" t="str">
            <v>包括纯金丝、金合金丝</v>
          </cell>
          <cell r="G2005" t="str">
            <v>金属制品业</v>
          </cell>
        </row>
        <row r="2006">
          <cell r="E2006" t="str">
            <v>银丝</v>
          </cell>
          <cell r="F2006" t="str">
            <v>包括纯银丝、银合金丝</v>
          </cell>
          <cell r="G2006" t="str">
            <v>金属制品业</v>
          </cell>
        </row>
        <row r="2007">
          <cell r="E2007" t="str">
            <v>钨丝</v>
          </cell>
          <cell r="F2007" t="str">
            <v>无说明</v>
          </cell>
          <cell r="G2007" t="str">
            <v>金属制品业</v>
          </cell>
        </row>
        <row r="2008">
          <cell r="E2008" t="str">
            <v>钼丝</v>
          </cell>
          <cell r="F2008" t="str">
            <v>无说明</v>
          </cell>
          <cell r="G2008" t="str">
            <v>金属制品业</v>
          </cell>
        </row>
        <row r="2009">
          <cell r="E2009" t="str">
            <v>铂丝</v>
          </cell>
          <cell r="F2009" t="str">
            <v>包括非合金铂丝、铂合金丝</v>
          </cell>
          <cell r="G2009" t="str">
            <v>金属制品业</v>
          </cell>
        </row>
        <row r="2010">
          <cell r="E2010" t="str">
            <v>钯丝</v>
          </cell>
          <cell r="F2010" t="str">
            <v>包括非合金钯丝、钯合金丝</v>
          </cell>
          <cell r="G2010" t="str">
            <v>金属制品业</v>
          </cell>
        </row>
        <row r="2011">
          <cell r="E2011" t="str">
            <v>铑丝</v>
          </cell>
          <cell r="F2011" t="str">
            <v>包括非合金铑丝、铑合金丝</v>
          </cell>
          <cell r="G2011" t="str">
            <v>金属制品业</v>
          </cell>
        </row>
        <row r="2012">
          <cell r="E2012" t="str">
            <v>铱丝</v>
          </cell>
          <cell r="F2012" t="str">
            <v>无说明</v>
          </cell>
          <cell r="G2012" t="str">
            <v>金属制品业</v>
          </cell>
        </row>
        <row r="2013">
          <cell r="E2013" t="str">
            <v>钌丝</v>
          </cell>
          <cell r="F2013" t="str">
            <v>无说明</v>
          </cell>
          <cell r="G2013" t="str">
            <v>金属制品业</v>
          </cell>
        </row>
        <row r="2014">
          <cell r="E2014" t="str">
            <v>其他金属丝</v>
          </cell>
          <cell r="F2014" t="str">
            <v>无说明</v>
          </cell>
          <cell r="G2014" t="str">
            <v>金属制品业</v>
          </cell>
        </row>
        <row r="2015">
          <cell r="E2015" t="str">
            <v>钢铁制绳、缆、带</v>
          </cell>
          <cell r="F2015" t="str">
            <v>包括钢丝绳、钢绞线、钢绳缆、钢铁编带、钢丝绳吊具、其他钢铁制绳、缆、带</v>
          </cell>
          <cell r="G2015" t="str">
            <v>黑色金属冶炼及压延加工业</v>
          </cell>
        </row>
        <row r="2016">
          <cell r="E2016" t="str">
            <v>铜丝绞线、缆、编带</v>
          </cell>
          <cell r="F2016" t="str">
            <v>包括铜丝绞线、缆、编带、铜丝绞线、铜丝缆、铜丝编带</v>
          </cell>
          <cell r="G2016" t="str">
            <v>金属制品业</v>
          </cell>
        </row>
        <row r="2017">
          <cell r="E2017" t="str">
            <v>铝制绞股线、缆、编带</v>
          </cell>
          <cell r="F2017" t="str">
            <v>包括铝制绞股线、缆、编带、钢芯铝绞股线、钢芯铝制缆、钢芯铝制编带及类似品、其他铝制绞股线、缆、编带</v>
          </cell>
          <cell r="G2017" t="str">
            <v>金属制品业</v>
          </cell>
        </row>
        <row r="2018">
          <cell r="E2018" t="str">
            <v>铅绞线、束或绳</v>
          </cell>
          <cell r="F2018" t="str">
            <v>指用于包装或管子接口堵缝的铅线绞、束或绳</v>
          </cell>
          <cell r="G2018" t="str">
            <v>金属制品业</v>
          </cell>
        </row>
        <row r="2019">
          <cell r="E2019" t="str">
            <v>其他金属制绳、缆</v>
          </cell>
          <cell r="F2019" t="str">
            <v>无说明</v>
          </cell>
          <cell r="G2019" t="str">
            <v>金属制品业</v>
          </cell>
        </row>
        <row r="2020">
          <cell r="E2020" t="str">
            <v>钢铁丝制品</v>
          </cell>
          <cell r="F2020" t="str">
            <v>包括钢铁丝环形带、钢丝布、钢铁丝网、钢铁丝篱及格栅、网眼钢铁板、围篱用钢铁带及丝、其他钢铁丝制品</v>
          </cell>
          <cell r="G2020" t="str">
            <v>黑色金属冶炼及压延加工业</v>
          </cell>
        </row>
        <row r="2021">
          <cell r="E2021" t="str">
            <v>铜丝制品</v>
          </cell>
          <cell r="F2021" t="str">
            <v>包括铜丝布（包括环型带）、网、格栅</v>
          </cell>
          <cell r="G2021" t="str">
            <v>金属制品业</v>
          </cell>
        </row>
        <row r="2022">
          <cell r="E2022" t="str">
            <v>铝丝制品</v>
          </cell>
          <cell r="F2022" t="str">
            <v>包括铝丝布、格栅、网及栏栅及类似铝丝制品</v>
          </cell>
          <cell r="G2022" t="str">
            <v>金属制品业</v>
          </cell>
        </row>
        <row r="2023">
          <cell r="E2023" t="str">
            <v>镍丝制品</v>
          </cell>
          <cell r="F2023" t="str">
            <v>包括镍丝布、格栅及网</v>
          </cell>
          <cell r="G2023" t="str">
            <v>金属制品业</v>
          </cell>
        </row>
        <row r="2024">
          <cell r="E2024" t="str">
            <v>锌丝制品</v>
          </cell>
          <cell r="F2024" t="str">
            <v>包括锌丝制的布、网、篱、格栅以及网眼锌板</v>
          </cell>
          <cell r="G2024" t="str">
            <v>金属制品业</v>
          </cell>
        </row>
        <row r="2025">
          <cell r="E2025" t="str">
            <v>其他金属丝绳制品</v>
          </cell>
          <cell r="F2025" t="str">
            <v>无说明</v>
          </cell>
          <cell r="G2025" t="str">
            <v>金属制品业</v>
          </cell>
        </row>
        <row r="2026">
          <cell r="E2026" t="str">
            <v>钢铁制紧固件</v>
          </cell>
          <cell r="F2026" t="str">
            <v>包括螺钉、螺栓、螺母、钢铁制垫圈、铆钉、开尾销、销及锥形销、簧环、其他钢铁制紧固件</v>
          </cell>
          <cell r="G2026" t="str">
            <v>黑色金属冶炼及压延加工业</v>
          </cell>
        </row>
        <row r="2027">
          <cell r="E2027" t="str">
            <v>铜制紧固件</v>
          </cell>
          <cell r="F2027" t="str">
            <v>包括铜制螺钉、铜制木螺钉、其他铜制螺钉、铜制螺栓、铜制螺母、铜制垫圈、其他铜制紧固件</v>
          </cell>
          <cell r="G2027" t="str">
            <v>金属制品业</v>
          </cell>
        </row>
        <row r="2028">
          <cell r="E2028" t="str">
            <v>铝制紧固件</v>
          </cell>
          <cell r="F2028" t="str">
            <v>包括铝制螺钉、铝制螺栓、铝制螺母、铝制铆钉、其他铝制紧固件</v>
          </cell>
          <cell r="G2028" t="str">
            <v>金属制品业</v>
          </cell>
        </row>
        <row r="2029">
          <cell r="E2029" t="str">
            <v>其他金属紧固件</v>
          </cell>
          <cell r="F2029" t="str">
            <v>指除钢铁制紧固件（详见108041401）、铜制紧固件（详见108041402）、铝制紧固件（详见108041403）以外的金属紧固件</v>
          </cell>
          <cell r="G2029" t="str">
            <v>金属制品业</v>
          </cell>
        </row>
        <row r="2030">
          <cell r="E2030" t="str">
            <v>金属钉</v>
          </cell>
          <cell r="F2030" t="str">
            <v>包括钢铁制钉、铜制钉、铝制钉、其他金属钉</v>
          </cell>
          <cell r="G2030" t="str">
            <v>金属制品业</v>
          </cell>
        </row>
        <row r="2031">
          <cell r="E2031" t="str">
            <v>钢铁制弹簧</v>
          </cell>
          <cell r="F2031" t="str">
            <v>包括钢铁制弹簧及弹簧片</v>
          </cell>
          <cell r="G2031" t="str">
            <v>黑色金属冶炼及压延加工业</v>
          </cell>
        </row>
        <row r="2032">
          <cell r="E2032" t="str">
            <v>铜弹簧</v>
          </cell>
          <cell r="F2032" t="str">
            <v>包括磷青铜弹簧、铍铜弹簧、铝青铜弹簧、硅青铜弹簧、黄铜弹簧、德银弹簧、其他铜弹簧</v>
          </cell>
          <cell r="G2032" t="str">
            <v>金属制品业</v>
          </cell>
        </row>
        <row r="2033">
          <cell r="E2033" t="str">
            <v>锁及其附件</v>
          </cell>
          <cell r="F2033" t="str">
            <v>包括金属制的锁及带锁的扣环及扣环框架和钥匙</v>
          </cell>
          <cell r="G2033" t="str">
            <v>金属制品业</v>
          </cell>
        </row>
        <row r="2034">
          <cell r="E2034" t="str">
            <v>家具、建筑用金属附件及架座；金属制建筑装饰及其零件</v>
          </cell>
          <cell r="F2034" t="str">
            <v>包括用于家具、门窗、箱等的贱金属附件及架座</v>
          </cell>
          <cell r="G2034" t="str">
            <v>金属制品业</v>
          </cell>
        </row>
        <row r="2035">
          <cell r="E2035" t="str">
            <v>供暖用散热器（暖气片）</v>
          </cell>
          <cell r="F2035" t="str">
            <v>指集中供暖用散热器；包括非电热的钢铁制集中供暖用散热器及其零件</v>
          </cell>
          <cell r="G2035" t="str">
            <v>金属制品业</v>
          </cell>
        </row>
        <row r="2036">
          <cell r="E2036" t="str">
            <v>暖气分布器及零件</v>
          </cell>
          <cell r="F2036" t="str">
            <v>指非电热钢铁制暖气分布器及零件</v>
          </cell>
          <cell r="G2036" t="str">
            <v>金属制品业</v>
          </cell>
        </row>
        <row r="2037">
          <cell r="E2037" t="str">
            <v>其他散热器及其零件</v>
          </cell>
          <cell r="F2037" t="str">
            <v>无说明</v>
          </cell>
          <cell r="G2037" t="str">
            <v>金属制品业</v>
          </cell>
        </row>
        <row r="2038">
          <cell r="E2038" t="str">
            <v>保险箱、柜、库门及钱箱</v>
          </cell>
          <cell r="F2038" t="str">
            <v>指其壁已装甲（即用高强度合金钢铠装）的或其钢板已用钢筋混凝土等加强的用以保管贵重物品、珠宝首饰、文件等，可防盗防火的钢制容器及保险库的门</v>
          </cell>
          <cell r="G2038" t="str">
            <v>金属制品业</v>
          </cell>
        </row>
        <row r="2039">
          <cell r="E2039" t="str">
            <v>文件、档案柜</v>
          </cell>
          <cell r="F2039" t="str">
            <v>指非落地式的文件、档案柜，落地式的文件档案柜（详见108041901）</v>
          </cell>
          <cell r="G2039" t="str">
            <v>金属制品业</v>
          </cell>
        </row>
        <row r="2040">
          <cell r="E2040" t="str">
            <v>金属制安全帽</v>
          </cell>
          <cell r="F2040" t="str">
            <v>不包括体育专用头盔（详见106040606）</v>
          </cell>
          <cell r="G2040" t="str">
            <v>金属制品业</v>
          </cell>
        </row>
        <row r="2041">
          <cell r="E2041" t="str">
            <v>其他安全、消防用金属制品</v>
          </cell>
          <cell r="F2041" t="str">
            <v>无说明</v>
          </cell>
          <cell r="G2041" t="str">
            <v>金属制品业</v>
          </cell>
        </row>
        <row r="2042">
          <cell r="E2042" t="str">
            <v>搪瓷制品</v>
          </cell>
          <cell r="F2042" t="str">
            <v>包括工业生产配套用搪瓷制品、搪瓷洗涤器具、医、疗、卫生用搪瓷制品、搪瓷制厨房用具、搪瓷餐具、搪瓷铸铁制厨房、餐桌用具、其他搪瓷制品</v>
          </cell>
          <cell r="G2042" t="str">
            <v>金属制品业</v>
          </cell>
        </row>
        <row r="2043">
          <cell r="E2043" t="str">
            <v>金属制卫生器具</v>
          </cell>
          <cell r="F2043" t="str">
            <v>指供水或接受、排出污水或污物的金属容器或装置。包括便溺用金属卫生器具：如大便器、小便器等；盥洗、淋浴用金属卫生器具：如洗脸盆、淋浴器等；洗涤用卫生器具：如洗涤盆、污水盆等；专用金属卫生器具：如医疗、科学研究实验室等特殊需要的卫生器具</v>
          </cell>
          <cell r="G2043" t="str">
            <v>金属制品业</v>
          </cell>
        </row>
        <row r="2044">
          <cell r="E2044" t="str">
            <v>金属制烹饪炊具</v>
          </cell>
          <cell r="F2044" t="str">
            <v>包括钢铝复合底炒锅、煎锅等锅具</v>
          </cell>
          <cell r="G2044" t="str">
            <v>金属制品业</v>
          </cell>
        </row>
        <row r="2045">
          <cell r="E2045" t="str">
            <v>金属制餐具</v>
          </cell>
          <cell r="F2045" t="str">
            <v>指以金属或其合金为基本材料制成的食器</v>
          </cell>
          <cell r="G2045" t="str">
            <v>金属制品业</v>
          </cell>
        </row>
        <row r="2046">
          <cell r="E2046" t="str">
            <v>金属制日用杂品</v>
          </cell>
          <cell r="F2046" t="str">
            <v>包括金属制烟具及类似制品、金属制缝衣针及类似制品、服装、鞋帽及类似品金属附件、厨房用金属丝绒、擦锅器、非电动金属制铃、钟、锣、铝箔纸制品、金属制普通标牌、奖杯、奖章及类似品、金属制钥匙扣及类似品、其他金属制日用杂品</v>
          </cell>
          <cell r="G2046" t="str">
            <v>金属制品业</v>
          </cell>
        </row>
        <row r="2047">
          <cell r="E2047" t="str">
            <v>铸币及贵金属制实验室用品</v>
          </cell>
          <cell r="F2047" t="str">
            <v>包括硬币、工业或实验室用贵金属制品、贵金属或包贵金属制品</v>
          </cell>
          <cell r="G2047" t="str">
            <v>金属制品业</v>
          </cell>
        </row>
        <row r="2048">
          <cell r="E2048" t="str">
            <v>金属焊接材料</v>
          </cell>
          <cell r="F2048" t="str">
            <v>包括金属、硬质合金焊接丝、条、管、板及类似品</v>
          </cell>
          <cell r="G2048" t="str">
            <v>金属制品业</v>
          </cell>
        </row>
        <row r="2049">
          <cell r="E2049" t="str">
            <v>金属链条及零件</v>
          </cell>
          <cell r="F2049" t="str">
            <v>包括金属链条、金属链零件</v>
          </cell>
          <cell r="G2049" t="str">
            <v>金属制品业</v>
          </cell>
        </row>
        <row r="2050">
          <cell r="E2050" t="str">
            <v>其他金属制品</v>
          </cell>
          <cell r="F2050" t="str">
            <v>包括金属真空容器、其他未列明金属制品</v>
          </cell>
          <cell r="G2050" t="str">
            <v>金属制品业</v>
          </cell>
        </row>
        <row r="2051">
          <cell r="E2051" t="str">
            <v>核燃料</v>
          </cell>
          <cell r="F2051" t="str">
            <v>无说明</v>
          </cell>
          <cell r="G2051" t="str">
            <v>金属制品业</v>
          </cell>
        </row>
        <row r="2052">
          <cell r="E2052" t="str">
            <v>锅炉、辅助设备、零件</v>
          </cell>
          <cell r="F2052" t="str">
            <v>包括电站锅炉（如：超临界电站锅炉、超超临界电站锅炉、亚临界电站锅炉、超高压电站锅炉、高压电站锅炉、中压电站锅炉、低压电站锅炉）、工业锅炉（如：蒸汽锅炉、热水锅炉、其他蒸汽锅炉）、有机热载体锅炉、船用蒸汽锅炉、锅炉用辅助设备及装置（如：蒸汽冷凝器；节热器、蒸汽收集器、蓄能器、烟垢清除器、气体回收器、泥渣刮除器、空气预热器、其他锅炉用辅助设备；蒸汽锅炉零件、热水锅炉零件、集中供暖用锅炉零件、蒸汽锅炉辅助设备零件）。</v>
          </cell>
          <cell r="G2052" t="str">
            <v>普通机械制造业</v>
          </cell>
        </row>
        <row r="2053">
          <cell r="E2053" t="str">
            <v>核反应堆及其零件</v>
          </cell>
          <cell r="F2053" t="str">
            <v>包括核反应堆；核反应堆零件（如：未辐照相关组件、堆内构件、其他核反应堆零件）。</v>
          </cell>
          <cell r="G2053" t="str">
            <v>普通机械制造业</v>
          </cell>
        </row>
        <row r="2054">
          <cell r="E2054" t="str">
            <v>汽车用发动机</v>
          </cell>
          <cell r="F2054" t="str">
            <v>包括汽车用汽油发动机、汽车用柴油发动机、其他汽车用发动机。</v>
          </cell>
          <cell r="G2054" t="str">
            <v>普通机械制造业</v>
          </cell>
        </row>
        <row r="2055">
          <cell r="E2055" t="str">
            <v>航空器用发动机</v>
          </cell>
          <cell r="F2055" t="str">
            <v>包括飞机、其他航空器、航天器用发动机。</v>
          </cell>
          <cell r="G2055" t="str">
            <v>普通机械制造业</v>
          </cell>
        </row>
        <row r="2056">
          <cell r="E2056" t="str">
            <v>船舶用发动机</v>
          </cell>
          <cell r="F2056" t="str">
            <v>包括船舶用汽油发动机、船舶用柴油发动机。</v>
          </cell>
          <cell r="G2056" t="str">
            <v>普通机械制造业</v>
          </cell>
        </row>
        <row r="2057">
          <cell r="E2057" t="str">
            <v>摩托车用发动机</v>
          </cell>
          <cell r="F2057" t="str">
            <v>包括摩托车用汽油机、摩托车用柴油发动机。</v>
          </cell>
          <cell r="G2057" t="str">
            <v>普通机械制造业</v>
          </cell>
        </row>
        <row r="2058">
          <cell r="E2058" t="str">
            <v>农用柴油机</v>
          </cell>
          <cell r="F2058" t="str">
            <v>指主要配套于农田拖拉机、田间作业机具、农副产品加工机械以及排灌机械，以柴油为燃料的往复式内燃动力机械。</v>
          </cell>
          <cell r="G2058" t="str">
            <v>普通机械制造业</v>
          </cell>
        </row>
        <row r="2059">
          <cell r="E2059" t="str">
            <v>发动机零部件</v>
          </cell>
          <cell r="F2059" t="str">
            <v>主要是指汽油机零件、柴油机零件、涡轮发动机零件、其他发动机零部件。包括活塞、活塞环、活塞销、气缸套、气缸体、气缸盖、气缸垫、进气门、排气门、进气或排气歧管；连杆；轴瓦、化油器、曲轴、凸轮轴、滤清器、发动机起动电机及电动机、发动机冷却水泵及机油泵、增压器及中冷器、喷油泵、油嘴、发动机废气再循环装置、发动机废气后处理装置、电控高压共轨系统、代用内燃机零件和混合动力内燃机零件等。</v>
          </cell>
          <cell r="G2059" t="str">
            <v>普通机械制造业</v>
          </cell>
        </row>
        <row r="2060">
          <cell r="E2060" t="str">
            <v>其他发动机</v>
          </cell>
          <cell r="F2060" t="str">
            <v>无说明</v>
          </cell>
          <cell r="G2060" t="str">
            <v>普通机械制造业</v>
          </cell>
        </row>
        <row r="2061">
          <cell r="E2061" t="str">
            <v>汽轮机</v>
          </cell>
          <cell r="F2061" t="str">
            <v>包括船舶动力用汽轮机、电站用汽轮机、工业用汽轮机、其他用汽轮机。</v>
          </cell>
          <cell r="G2061" t="str">
            <v>普通机械制造业</v>
          </cell>
        </row>
        <row r="2062">
          <cell r="E2062" t="str">
            <v>燃气轮机</v>
          </cell>
          <cell r="F2062" t="str">
            <v>包括专供工业用的燃气轮机设备，也包括具有其他用途的涡轮喷气发动机、涡轮风扇发动机或涡轮螺桨发动机。</v>
          </cell>
          <cell r="G2062" t="str">
            <v>普通机械制造业</v>
          </cell>
        </row>
        <row r="2063">
          <cell r="E2063" t="str">
            <v>水轮机</v>
          </cell>
          <cell r="F2063" t="str">
            <v>包括水轮机、水轮及辅机。</v>
          </cell>
          <cell r="G2063" t="str">
            <v>普通机械制造业</v>
          </cell>
        </row>
        <row r="2064">
          <cell r="E2064" t="str">
            <v>汽轮机、燃气轮机、水轮机零件</v>
          </cell>
          <cell r="F2064" t="str">
            <v>包括汽轮机转子、定子及其部件；转子轮叶或定子叶片；涡轮轴发动机用零件；燃气轮机的转子、涡轮喷气发动机的零件（定子环、不论是否带叶片；转子圆盘或轮子、不论是否带翅片；叶片及翅片）、燃料供给调节器、燃料喷嘴；水轮机调节器；水轮机及水轮的转子、定子、定子或转子的叶片、螺旋导管的壳套、调节器的阀针。</v>
          </cell>
          <cell r="G2064" t="str">
            <v>普通机械制造业</v>
          </cell>
        </row>
        <row r="2065">
          <cell r="E2065" t="str">
            <v>潮汐能源原动机</v>
          </cell>
          <cell r="F2065" t="str">
            <v>指利用潮汐能源产生原动力的机械。</v>
          </cell>
          <cell r="G2065" t="str">
            <v>普通机械制造业</v>
          </cell>
        </row>
        <row r="2066">
          <cell r="E2066" t="str">
            <v>风力提水机组</v>
          </cell>
          <cell r="F2066" t="str">
            <v>不包括风力发电机组（详见109040201）。</v>
          </cell>
          <cell r="G2066" t="str">
            <v>普通机械制造业</v>
          </cell>
        </row>
        <row r="2067">
          <cell r="E2067" t="str">
            <v>风力发动机（风车）</v>
          </cell>
          <cell r="F2067" t="str">
            <v>利用风力驱动的带有可调节的叶片或梯级横木的轮子所产生的能量来运转的机械装置。</v>
          </cell>
          <cell r="G2067" t="str">
            <v>普通机械制造业</v>
          </cell>
        </row>
        <row r="2068">
          <cell r="E2068" t="str">
            <v>太阳能源原动机</v>
          </cell>
          <cell r="F2068" t="str">
            <v>指利用太阳能源产生原动力的机械。</v>
          </cell>
          <cell r="G2068" t="str">
            <v>普通机械制造业</v>
          </cell>
        </row>
        <row r="2069">
          <cell r="E2069" t="str">
            <v>其他非电力相关原动机</v>
          </cell>
          <cell r="F2069" t="str">
            <v>无说明</v>
          </cell>
          <cell r="G2069" t="str">
            <v>普通机械制造业</v>
          </cell>
        </row>
        <row r="2070">
          <cell r="E2070" t="str">
            <v>组合机床</v>
          </cell>
          <cell r="F2070" t="str">
            <v>以通用部件为基础，配以按工件特定形状和加工工艺设计的专用部件和夹具、组成的半自动或自动专用机床。</v>
          </cell>
          <cell r="G2070" t="str">
            <v>普通机械制造业</v>
          </cell>
        </row>
        <row r="2071">
          <cell r="E2071" t="str">
            <v>特种加工机床</v>
          </cell>
          <cell r="F2071" t="str">
            <v>包括激光及其他光子束处理机床、超声波加工机床、放电加工机床、干法蚀刻半导体材料加工机床、化学电化学（电解）法加工机床、离子束加工机床、电子束加工机床、快速成形加工机床、高压水射流加工机床、其他特种加工机床。</v>
          </cell>
          <cell r="G2071" t="str">
            <v>普通机械制造业</v>
          </cell>
        </row>
        <row r="2072">
          <cell r="E2072" t="str">
            <v>车床</v>
          </cell>
          <cell r="F2072" t="str">
            <v>指切削金属的车床，包括车床、卧式车床、立式车床、转塔车床、回转车床。</v>
          </cell>
          <cell r="G2072" t="str">
            <v>普通机械制造业</v>
          </cell>
        </row>
        <row r="2073">
          <cell r="E2073" t="str">
            <v>钻床</v>
          </cell>
          <cell r="F2073" t="str">
            <v>指主要用钻头在工件上加工孔的机床。包括立式钻床、龙门式钻床、摇臂钻床、深孔钻床、不包括台钻（详见109010703）。</v>
          </cell>
          <cell r="G2073" t="str">
            <v>普通机械制造业</v>
          </cell>
        </row>
        <row r="2074">
          <cell r="E2074" t="str">
            <v>镗床</v>
          </cell>
          <cell r="F2074" t="str">
            <v>指用镗刀对工件已有的预制孔进行镗削的机床，包括坐标镗床、立式镗床、卧式镗床、落地式铣镗床、龙门式铣镗床、深孔镗床、精镗床。</v>
          </cell>
          <cell r="G2074" t="str">
            <v>普通机械制造业</v>
          </cell>
        </row>
        <row r="2075">
          <cell r="E2075" t="str">
            <v>铣床</v>
          </cell>
          <cell r="F2075" t="str">
            <v>指用铣刀在工件上加工多种表面的机床，包括升降台式铣床、龙门铣床、床身铣床、成形铣床、钻铣床、龙门镗铣床。</v>
          </cell>
          <cell r="G2075" t="str">
            <v>普通机械制造业</v>
          </cell>
        </row>
        <row r="2076">
          <cell r="E2076" t="str">
            <v>螺纹加工机床</v>
          </cell>
          <cell r="F2076" t="str">
            <v>指加工螺纹（包括蜗杆、滚刀等）型面的专门化机床，包括螺纹车床、螺纹铣床。</v>
          </cell>
          <cell r="G2076" t="str">
            <v>普通机械制造业</v>
          </cell>
        </row>
        <row r="2077">
          <cell r="E2077" t="str">
            <v>磨床</v>
          </cell>
          <cell r="F2077" t="str">
            <v>指利用磨具对工件表面进行磨削加工的机床。包括平面磨床、导轨磨床、外圆磨床、内圆磨床、坐标磨床、立式磨床、曲轴、凸轮磨床、轧辊磨床、工具磨床、金属珩磨机床、金属研磨机床，不包括砂轮机（详见109010701）、抛光机（详见109010702）。</v>
          </cell>
          <cell r="G2077" t="str">
            <v>普通机械制造业</v>
          </cell>
        </row>
        <row r="2078">
          <cell r="E2078" t="str">
            <v>刨床</v>
          </cell>
          <cell r="F2078" t="str">
            <v>指用刨刀对工件的平面、沟槽或成形表面进行刨削的直线运动机床。包括龙门刨床。</v>
          </cell>
          <cell r="G2078" t="str">
            <v>普通机械制造业</v>
          </cell>
        </row>
        <row r="2079">
          <cell r="E2079" t="str">
            <v>插床</v>
          </cell>
          <cell r="F2079" t="str">
            <v>指利用插刀的竖直往复运动插削键槽和型孔的机床。</v>
          </cell>
          <cell r="G2079" t="str">
            <v>普通机械制造业</v>
          </cell>
        </row>
        <row r="2080">
          <cell r="E2080" t="str">
            <v>拉床</v>
          </cell>
          <cell r="F2080" t="str">
            <v>指用拉刀作为刀具加工工件通孔、平面和成形表面的机床。</v>
          </cell>
          <cell r="G2080" t="str">
            <v>普通机械制造业</v>
          </cell>
        </row>
        <row r="2081">
          <cell r="E2081" t="str">
            <v>齿轮加工机床</v>
          </cell>
          <cell r="F2081" t="str">
            <v>指加工各种圆柱齿轮、锥齿轮和其他带齿零件齿部的机床。包括滚齿机、插齿机、磨齿机、珩齿机、剃齿机、成形铣齿机、成形磨齿机。</v>
          </cell>
          <cell r="G2081" t="str">
            <v>普通机械制造业</v>
          </cell>
        </row>
        <row r="2082">
          <cell r="E2082" t="str">
            <v>锯床</v>
          </cell>
          <cell r="F2082" t="str">
            <v>包括弓锯床、圆锯床、带锯床、砂轮锯床。</v>
          </cell>
          <cell r="G2082" t="str">
            <v>普通机械制造业</v>
          </cell>
        </row>
        <row r="2083">
          <cell r="E2083" t="str">
            <v>直线移动式动力头机床</v>
          </cell>
          <cell r="F2083" t="str">
            <v>指没有底座，仅配有动力机支架及刀杆，另外配有导轨，以便放置在合适的底座上时可来回移动工件插入独立于直线移动式动力头钻床的工件夹具中，由直线移动式动力头钻床作水平来回移动，进行钻孔、镗削等加工活动的机床。</v>
          </cell>
          <cell r="G2083" t="str">
            <v>普通机械制造业</v>
          </cell>
        </row>
        <row r="2084">
          <cell r="E2084" t="str">
            <v>其他金属切削机床</v>
          </cell>
          <cell r="F2084" t="str">
            <v>无说明</v>
          </cell>
          <cell r="G2084" t="str">
            <v>普通机械制造业</v>
          </cell>
        </row>
        <row r="2085">
          <cell r="E2085" t="str">
            <v>锻造机及冲压机</v>
          </cell>
          <cell r="F2085" t="str">
            <v>包括机械式、液压式或气压式锻锤以及蒸汽锻锤。</v>
          </cell>
          <cell r="G2085" t="str">
            <v>普通机械制造业</v>
          </cell>
        </row>
        <row r="2086">
          <cell r="E2086" t="str">
            <v>金属加工压力机</v>
          </cell>
          <cell r="F2086" t="str">
            <v>包括液压式压力机、机械式压力机、开式机械式压力机、气压式压力机。</v>
          </cell>
          <cell r="G2086" t="str">
            <v>普通机械制造业</v>
          </cell>
        </row>
        <row r="2087">
          <cell r="E2087" t="str">
            <v>弯曲、折叠、矫直或矫平机床</v>
          </cell>
          <cell r="F2087" t="str">
            <v>包括弯曲、折叠、矫直、矫平、矫正机床、其他弯曲、折叠、矫直或矫平机床。</v>
          </cell>
          <cell r="G2087" t="str">
            <v>普通机械制造业</v>
          </cell>
        </row>
        <row r="2088">
          <cell r="E2088" t="str">
            <v>剪切机床</v>
          </cell>
          <cell r="F2088" t="str">
            <v>无说明</v>
          </cell>
          <cell r="G2088" t="str">
            <v>普通机械制造业</v>
          </cell>
        </row>
        <row r="2089">
          <cell r="E2089" t="str">
            <v>冲床</v>
          </cell>
          <cell r="F2089" t="str">
            <v>无说明</v>
          </cell>
          <cell r="G2089" t="str">
            <v>普通机械制造业</v>
          </cell>
        </row>
        <row r="2090">
          <cell r="E2090" t="str">
            <v>冲孔机床</v>
          </cell>
          <cell r="F2090" t="str">
            <v>无说明</v>
          </cell>
          <cell r="G2090" t="str">
            <v>普通机械制造业</v>
          </cell>
        </row>
        <row r="2091">
          <cell r="E2091" t="str">
            <v>开槽机床</v>
          </cell>
          <cell r="F2091" t="str">
            <v>无说明</v>
          </cell>
          <cell r="G2091" t="str">
            <v>普通机械制造业</v>
          </cell>
        </row>
        <row r="2092">
          <cell r="E2092" t="str">
            <v>其他金属成形机床</v>
          </cell>
          <cell r="F2092" t="str">
            <v>包括金属螺纹滚轧机（滚丝机）、旋压螺纹机床、旋压车床、其他未列明金属成形机床；</v>
          </cell>
          <cell r="G2092" t="str">
            <v>普通机械制造业</v>
          </cell>
        </row>
        <row r="2093">
          <cell r="E2093" t="str">
            <v>砂轮机</v>
          </cell>
          <cell r="F2093" t="str">
            <v>指用来刃磨各种刀具、工具的常用设备。</v>
          </cell>
          <cell r="G2093" t="str">
            <v>普通机械制造业</v>
          </cell>
        </row>
        <row r="2094">
          <cell r="E2094" t="str">
            <v>抛光机床</v>
          </cell>
          <cell r="F2094" t="str">
            <v>指用磨石、磨料或抛光材料对金属进行精加工的机床。</v>
          </cell>
          <cell r="G2094" t="str">
            <v>普通机械制造业</v>
          </cell>
        </row>
        <row r="2095">
          <cell r="E2095" t="str">
            <v>台钻</v>
          </cell>
          <cell r="F2095" t="str">
            <v>无说明</v>
          </cell>
          <cell r="G2095" t="str">
            <v>普通机械制造业</v>
          </cell>
        </row>
        <row r="2096">
          <cell r="E2096" t="str">
            <v>切断机</v>
          </cell>
          <cell r="F2096" t="str">
            <v>无说明</v>
          </cell>
          <cell r="G2096" t="str">
            <v>普通机械制造业</v>
          </cell>
        </row>
        <row r="2097">
          <cell r="E2097" t="str">
            <v>金属拉拔机</v>
          </cell>
          <cell r="F2097" t="str">
            <v>包括金属杆、型材、异型材、丝等的拉拔机，不包括管棒材拉拔机、管棒材拉拔机（详见109010705）。</v>
          </cell>
          <cell r="G2097" t="str">
            <v>普通机械制造业</v>
          </cell>
        </row>
        <row r="2098">
          <cell r="E2098" t="str">
            <v>金属丝加工机</v>
          </cell>
          <cell r="F2098" t="str">
            <v>无说明</v>
          </cell>
          <cell r="G2098" t="str">
            <v>普通机械制造业</v>
          </cell>
        </row>
        <row r="2099">
          <cell r="E2099" t="str">
            <v>旋锻机</v>
          </cell>
          <cell r="F2099" t="str">
            <v>无说明</v>
          </cell>
          <cell r="G2099" t="str">
            <v>普通机械制造业</v>
          </cell>
        </row>
        <row r="2100">
          <cell r="E2100" t="str">
            <v>软管加工机</v>
          </cell>
          <cell r="F2100" t="str">
            <v>无说明</v>
          </cell>
          <cell r="G2100" t="str">
            <v>普通机械制造业</v>
          </cell>
        </row>
        <row r="2101">
          <cell r="E2101" t="str">
            <v>其他金属非切削、成形加工机械</v>
          </cell>
          <cell r="F2101" t="str">
            <v>无说明</v>
          </cell>
          <cell r="G2101" t="str">
            <v>普通机械制造业</v>
          </cell>
        </row>
        <row r="2102">
          <cell r="E2102" t="str">
            <v>加工中心</v>
          </cell>
          <cell r="F2102" t="str">
            <v>全部为数控机床，包括加工中心、立式加工中心、卧式加工中心、超重型龙门式加工中心、重型龙门式加工中心、大型龙门式加工中心、中小型龙门式加工中心、其他加工中心。</v>
          </cell>
          <cell r="G2102" t="str">
            <v>普通机械制造业</v>
          </cell>
        </row>
        <row r="2103">
          <cell r="E2103" t="str">
            <v>数控金属切削机床</v>
          </cell>
          <cell r="F2103" t="str">
            <v>本类及下面各个类别均属于金属切削机床及各个类别的其中项，包括数控金属切削机床、数控组合机床、数控特种加工机床、数控激光、相关光子束加工机床、数控超声波加工机床、数控电火花成形加工机床、数控电火花线切割加工机床、数控电火花小孔加工机床、数控相关放电加工机床、数控化学、电化学（电解）加工机床、数控离子束加工机床、数控电子束加工机床、数控快速成形加工机床、数控高压水射流切割机床、其他数控特种加工机床、数控车床、数控超重型卧式车床、数控重型卧式车床、数控大型卧式车床、数控中小型卧式车床、数控超重型立式车床、数控重型立式车床、数控大型立式车床、数控中小型立式车床、数控钻床、数控立式钻床、数控龙门式钻床、数控摇臂钻床、数控深孔钻床、钻削中心、其他数控钻床、数控镗床、数控坐标镗床、数控立式镗床、数控卧式镗床、数控超重型落地式铣镗床、数控重型落地式铣镗床、数控大型落地式铣镗床、其他数控镗床、数控铣床、数控升降台式铣床、数控超重型龙门铣床、数控重型龙门铣床、数控大型龙门铣床、数控床身铣床、数控钻铣床、数控成形铣床、其他数控铣床、数控螺纹加工机床、数控螺纹车床、数控螺纹铣床、数控螺纹磨床、其他数控螺纹加工机床、数控磨床、数控平面磨床、数控导轨磨床、数控外圆磨床、数控内圆磨床、数控坐标磨床、数控成形磨床、数控曲轴、凸轮磨床、数控轧辊磨床、数控工具机床、数控金属珩磨机床、数控金属研磨机床、其他数控磨床、数控刨床、数控龙门刨床、其他数控刨床、数控插床、数控拉床、数控齿轮加工机床、数控超重型滚齿机、数控重型滚齿机、数控大型滚齿机、数控中小型滚齿机、数控插齿机、数控磨齿机、数控珩齿机、数控剃齿机、数控锯床、数控弓锯床、数控圆锯床、数控带锯床、数控砂轮锯床、金属切削机床用零件。</v>
          </cell>
          <cell r="G2103" t="str">
            <v>普通机械制造业</v>
          </cell>
        </row>
        <row r="2104">
          <cell r="E2104" t="str">
            <v>数控金属成形机床（数控锻压设备）</v>
          </cell>
          <cell r="F2104" t="str">
            <v>本类及下面各类别均属于金属成形机床及各类别的其中项，包括数控金属成形机床、数控锻压设备、数控锻造机及冲压机、数控自由锻锤、数控模锻锤、数控自由锻液压机、数控模锻压机、数控多向模锤压机、数控液压挤压机、数控机械式挤压机、数控金属滚压机、数控金属辊锻机、其他数控锻造机及冲压机、数控金属加工压力机、数控重型液压式压力机、数控大型液压式压力机、数控中型液压式压力机、数控小型液压式压力机、数控重型闭式机械式压力机、数控大型闭式机械式压力机、数控中型闭式机械式压力机、数控小型闭式机械式压力机、数控气压式压力机、数控弯曲、折叠、矫直或矫平机床、数控折弯机、数控折叠机、数控矫直机床、数控矫平机、数控矫正机、折叠、矫直或矫平机床、数控剪切机床、数控板带纵剪机床、数控板带横剪机床、数控冲床、数控转塔冲床、高速数控冲床、数控冲孔机床、自动模式数控步冲压力机、数控开槽机床、数控旋压螺纹机床、数控旋压车床、其他数控金属成形机床、金属成形机床用零件。</v>
          </cell>
          <cell r="G2104" t="str">
            <v>普通机械制造业</v>
          </cell>
        </row>
        <row r="2105">
          <cell r="E2105" t="str">
            <v>机床数控系统</v>
          </cell>
          <cell r="F2105" t="str">
            <v>包括机床数控装置、数控机床用伺服驱动单元、数控机床用电机。</v>
          </cell>
          <cell r="G2105" t="str">
            <v>普通机械制造业</v>
          </cell>
        </row>
        <row r="2106">
          <cell r="E2106" t="str">
            <v>机床附件及辅助装置</v>
          </cell>
          <cell r="F2106" t="str">
            <v>包括金属切削机床、金属成形加工机床、其他金属加工机床附件、零件。</v>
          </cell>
          <cell r="G2106" t="str">
            <v>普通机械制造业</v>
          </cell>
        </row>
        <row r="2107">
          <cell r="E2107" t="str">
            <v>电焊机</v>
          </cell>
          <cell r="F2107" t="str">
            <v>包括电焊机及装置。</v>
          </cell>
          <cell r="G2107" t="str">
            <v>普通机械制造业</v>
          </cell>
        </row>
        <row r="2108">
          <cell r="E2108" t="str">
            <v>气体焊接机械</v>
          </cell>
          <cell r="F2108" t="str">
            <v>指利用气体焊接金属用的器具包括表面回火机。</v>
          </cell>
          <cell r="G2108" t="str">
            <v>普通机械制造业</v>
          </cell>
        </row>
        <row r="2109">
          <cell r="E2109" t="str">
            <v>钎焊机械</v>
          </cell>
          <cell r="F2109" t="str">
            <v>包括软钎焊、硬钎焊或其他熔焊机械。</v>
          </cell>
          <cell r="G2109" t="str">
            <v>普通机械制造业</v>
          </cell>
        </row>
        <row r="2110">
          <cell r="E2110" t="str">
            <v>焊接设备用零件</v>
          </cell>
          <cell r="F2110" t="str">
            <v>无说明</v>
          </cell>
          <cell r="G2110" t="str">
            <v>普通机械制造业</v>
          </cell>
        </row>
        <row r="2111">
          <cell r="E2111" t="str">
            <v>起重滑车</v>
          </cell>
          <cell r="F2111" t="str">
            <v>指用于起吊物品、带有吊钩、链环或吊环的滑轮组；包括单轮、双轮、三轮及其他多轮滑车等通用滑车及林业滑车等。</v>
          </cell>
          <cell r="G2111" t="str">
            <v>普通机械制造业</v>
          </cell>
        </row>
        <row r="2112">
          <cell r="E2112" t="str">
            <v>手动葫芦</v>
          </cell>
          <cell r="F2112" t="str">
            <v>指由人力通过环链与链轮或板柄驱动链条或钢丝绳，以带动重物升降或运动的起重工具。</v>
          </cell>
          <cell r="G2112" t="str">
            <v>普通机械制造业</v>
          </cell>
        </row>
        <row r="2113">
          <cell r="E2113" t="str">
            <v>电动葫芦</v>
          </cell>
          <cell r="F2113" t="str">
            <v>指由电机或其他动力驱动，通过起升机构卷筒装置或链轮卷放钢丝绳或链条以升降重物的简易起重设备。</v>
          </cell>
          <cell r="G2113" t="str">
            <v>普通机械制造业</v>
          </cell>
        </row>
        <row r="2114">
          <cell r="E2114" t="str">
            <v>卷扬机及绞盘</v>
          </cell>
          <cell r="F2114" t="str">
            <v>指由动力或人力驱动卷筒，通过挠性件起升，运移重物的简易起重装置。</v>
          </cell>
          <cell r="G2114" t="str">
            <v>普通机械制造业</v>
          </cell>
        </row>
        <row r="2115">
          <cell r="E2115" t="str">
            <v>千斤顶</v>
          </cell>
          <cell r="F2115" t="str">
            <v>指利用高压油或机械传动，使刚性承载件在小行程内顶举或提升重物的起重工具。</v>
          </cell>
          <cell r="G2115" t="str">
            <v>普通机械制造业</v>
          </cell>
        </row>
        <row r="2116">
          <cell r="E2116" t="str">
            <v>汽车举升机</v>
          </cell>
          <cell r="F2116" t="str">
            <v>包括液压式汽车举升机、机械式汽车举升机、其他汽车举升机。</v>
          </cell>
          <cell r="G2116" t="str">
            <v>普通机械制造业</v>
          </cell>
        </row>
        <row r="2117">
          <cell r="E2117" t="str">
            <v>单轨（猫头）小车</v>
          </cell>
          <cell r="F2117" t="str">
            <v>指具有2轮或4轮，能带物品或起重葫芦及物品沿悬挂单轨行走的简易小车，与工字梁单轨配套使用，包括手推、手链、电动小车等。</v>
          </cell>
          <cell r="G2117" t="str">
            <v>普通机械制造业</v>
          </cell>
        </row>
        <row r="2118">
          <cell r="E2118" t="str">
            <v>其他轻小型起重设备</v>
          </cell>
          <cell r="F2118" t="str">
            <v>包括举升机车车辆的架车机等。</v>
          </cell>
          <cell r="G2118" t="str">
            <v>普通机械制造业</v>
          </cell>
        </row>
        <row r="2119">
          <cell r="E2119" t="str">
            <v>轻小型起重设备配套件</v>
          </cell>
          <cell r="F2119" t="str">
            <v>指专用配套的附（配）件。</v>
          </cell>
          <cell r="G2119" t="str">
            <v>普通机械制造业</v>
          </cell>
        </row>
        <row r="2120">
          <cell r="E2120" t="str">
            <v>桥式起重机</v>
          </cell>
          <cell r="F2120" t="str">
            <v>指具有桥架结构梁、桥架两端通过行走装置直接支承在高架轨道上，取物装置悬挂在可沿桥架运行的起重小车或起重葫芦上的起重机。</v>
          </cell>
          <cell r="G2120" t="str">
            <v>普通机械制造业</v>
          </cell>
        </row>
        <row r="2121">
          <cell r="E2121" t="str">
            <v>门式起重机（龙门起重机）</v>
          </cell>
          <cell r="F2121" t="str">
            <v>指具有桥架结构梁、桥架两端通过两侧支腿支承在地面轨道或地基上，取物装置悬挂在可沿桥架运行的起重小车或葫芦小车上的桥架型起重机；包括半门式起重机。</v>
          </cell>
          <cell r="G2121" t="str">
            <v>普通机械制造业</v>
          </cell>
        </row>
        <row r="2122">
          <cell r="E2122" t="str">
            <v>装卸桥</v>
          </cell>
          <cell r="F2122" t="str">
            <v>指小车运行及提升速度大、跨度大运行距离长、生产效率高并以抓斗为主的一类门式起重机。</v>
          </cell>
          <cell r="G2122" t="str">
            <v>普通机械制造业</v>
          </cell>
        </row>
        <row r="2123">
          <cell r="E2123" t="str">
            <v>缆索起重机</v>
          </cell>
          <cell r="F2123" t="str">
            <v>无说明</v>
          </cell>
          <cell r="G2123" t="str">
            <v>普通机械制造业</v>
          </cell>
        </row>
        <row r="2124">
          <cell r="E2124" t="str">
            <v>门座起重机</v>
          </cell>
          <cell r="F2124" t="str">
            <v>指具有起重臂架和门型座架结构，取物装置悬挂在臂架顶端，可沿地面轨道运行的可回转的臂架型起重机。</v>
          </cell>
          <cell r="G2124" t="str">
            <v>普通机械制造业</v>
          </cell>
        </row>
        <row r="2125">
          <cell r="E2125" t="str">
            <v>塔式起重机</v>
          </cell>
          <cell r="F2125" t="str">
            <v>指起重臂架安装在垂直塔身顶部，取物装置悬挂在可沿臂架运行的起重小车上的可回转的臂架型起重机。</v>
          </cell>
          <cell r="G2125" t="str">
            <v>普通机械制造业</v>
          </cell>
        </row>
        <row r="2126">
          <cell r="E2126" t="str">
            <v>流动式起重机</v>
          </cell>
          <cell r="F2126" t="str">
            <v>指工作场所经常变换，能在带载或空载情况下沿无轨路面运行，依靠自保持稳定的臂架型起重机。</v>
          </cell>
          <cell r="G2126" t="str">
            <v>普通机械制造业</v>
          </cell>
        </row>
        <row r="2127">
          <cell r="E2127" t="str">
            <v>桅杆起重机及甲板起重机</v>
          </cell>
          <cell r="F2127" t="str">
            <v>包括船舶起重机、船用升降机、电动起货机等。</v>
          </cell>
          <cell r="G2127" t="str">
            <v>普通机械制造业</v>
          </cell>
        </row>
        <row r="2128">
          <cell r="E2128" t="str">
            <v>悬臂起重机</v>
          </cell>
          <cell r="F2128" t="str">
            <v>包括柱式臂架起重机、壁上起重机、平衡起重机、其他悬臂起重机。</v>
          </cell>
          <cell r="G2128" t="str">
            <v>普通机械制造业</v>
          </cell>
        </row>
        <row r="2129">
          <cell r="E2129" t="str">
            <v>移动式吊运架</v>
          </cell>
          <cell r="F2129" t="str">
            <v>包括胶轮移动式吊运架、其他移动式吊运架。</v>
          </cell>
          <cell r="G2129" t="str">
            <v>普通机械制造业</v>
          </cell>
        </row>
        <row r="2130">
          <cell r="E2130" t="str">
            <v>铁路起重机</v>
          </cell>
          <cell r="F2130" t="str">
            <v>无说明</v>
          </cell>
          <cell r="G2130" t="str">
            <v>普通机械制造业</v>
          </cell>
        </row>
        <row r="2131">
          <cell r="E2131" t="str">
            <v>浮式起重机</v>
          </cell>
          <cell r="F2131" t="str">
            <v>指安装在专用的船体或囤船上的固定式起重机。</v>
          </cell>
          <cell r="G2131" t="str">
            <v>普通机械制造业</v>
          </cell>
        </row>
        <row r="2132">
          <cell r="E2132" t="str">
            <v>其他起重机</v>
          </cell>
          <cell r="F2132" t="str">
            <v>包括浮式起重机（自航、非自航、驳船式等）、铁路起重机等。</v>
          </cell>
          <cell r="G2132" t="str">
            <v>普通机械制造业</v>
          </cell>
        </row>
        <row r="2133">
          <cell r="E2133" t="str">
            <v>起重机专用配套件</v>
          </cell>
          <cell r="F2133" t="str">
            <v>指专用配套附（配）件，包括抓斗、吊具、索具、夹轨器、缓冲器等。</v>
          </cell>
          <cell r="G2133" t="str">
            <v>普通机械制造业</v>
          </cell>
        </row>
        <row r="2134">
          <cell r="E2134" t="str">
            <v>电动（起升）车辆</v>
          </cell>
          <cell r="F2134" t="str">
            <v>指采用货叉或其他取物装置，以高能蓄电池作动力，对成件货物进行装卸、堆垛、短距离搬运作业的无轨起升车辆，俗称电动叉车。</v>
          </cell>
          <cell r="G2134" t="str">
            <v>普通机械制造业</v>
          </cell>
        </row>
        <row r="2135">
          <cell r="E2135" t="str">
            <v>内燃叉车</v>
          </cell>
          <cell r="F2135" t="str">
            <v>指采用货叉或其他属具，以内燃机作动力，对成件货物进行装卸、堆垛、短距离搬运作业的无轨高起升车辆。</v>
          </cell>
          <cell r="G2135" t="str">
            <v>普通机械制造业</v>
          </cell>
        </row>
        <row r="2136">
          <cell r="E2136" t="str">
            <v>越野叉车</v>
          </cell>
          <cell r="F2136" t="str">
            <v>指在机场、码头、车站等路况条件较差的物资集散地装卸物资的设备。</v>
          </cell>
          <cell r="G2136" t="str">
            <v>普通机械制造业</v>
          </cell>
        </row>
        <row r="2137">
          <cell r="E2137" t="str">
            <v>其他工业车辆</v>
          </cell>
          <cell r="F2137" t="str">
            <v>无说明</v>
          </cell>
          <cell r="G2137" t="str">
            <v>普通机械制造业</v>
          </cell>
        </row>
        <row r="2138">
          <cell r="E2138" t="str">
            <v>工业车辆专用配套件</v>
          </cell>
          <cell r="F2138" t="str">
            <v>指专用配套附（配）件，包括专用夹具、货叉、托盘等。</v>
          </cell>
          <cell r="G2138" t="str">
            <v>普通机械制造业</v>
          </cell>
        </row>
        <row r="2139">
          <cell r="E2139" t="str">
            <v>输送机械（输送机和提升机）</v>
          </cell>
          <cell r="F2139" t="str">
            <v>指在同一方向上，连续或间断地沿预定的线路上输送散状物料和成件物品的搬运设备。</v>
          </cell>
          <cell r="G2139" t="str">
            <v>普通机械制造业</v>
          </cell>
        </row>
        <row r="2140">
          <cell r="E2140" t="str">
            <v>装卸机械</v>
          </cell>
          <cell r="F2140" t="str">
            <v>指具有自行装卸功能或具有转载装置和连续装卸功能、，能按照规定线路连续或间歇装卸作业的搬运设备。</v>
          </cell>
          <cell r="G2140" t="str">
            <v>普通机械制造业</v>
          </cell>
        </row>
        <row r="2141">
          <cell r="E2141" t="str">
            <v>给料机械</v>
          </cell>
          <cell r="F2141" t="str">
            <v>指将物料由储料装置输送到受料装置中，并可控制物料输送速度和流量的机械设备。</v>
          </cell>
          <cell r="G2141" t="str">
            <v>普通机械制造业</v>
          </cell>
        </row>
        <row r="2142">
          <cell r="E2142" t="str">
            <v>其他连续搬运设备</v>
          </cell>
          <cell r="F2142" t="str">
            <v>无说明</v>
          </cell>
          <cell r="G2142" t="str">
            <v>普通机械制造业</v>
          </cell>
        </row>
        <row r="2143">
          <cell r="E2143" t="str">
            <v>电梯</v>
          </cell>
          <cell r="F2143" t="str">
            <v>指靠电力拖动（或液压缸顶举），使轿厢沿垂直导轨升降，在规定的楼层间运送人和货物的固定提升设备。</v>
          </cell>
          <cell r="G2143" t="str">
            <v>普通机械制造业</v>
          </cell>
        </row>
        <row r="2144">
          <cell r="E2144" t="str">
            <v>自动扶梯等连续运载乘客输送机</v>
          </cell>
          <cell r="F2144" t="str">
            <v>包括自动扶梯、自动人行道、其他连续运载乘客输送机。</v>
          </cell>
          <cell r="G2144" t="str">
            <v>普通机械制造业</v>
          </cell>
        </row>
        <row r="2145">
          <cell r="E2145" t="str">
            <v>升降机</v>
          </cell>
          <cell r="F2145" t="str">
            <v>是指重物或取物装置只能沿导轨升降的设备。</v>
          </cell>
          <cell r="G2145" t="str">
            <v>普通机械制造业</v>
          </cell>
        </row>
        <row r="2146">
          <cell r="E2146" t="str">
            <v>电梯自动扶梯及升降机专用配套件</v>
          </cell>
          <cell r="F2146" t="str">
            <v>指专用配套附（配）件。</v>
          </cell>
          <cell r="G2146" t="str">
            <v>普通机械制造业</v>
          </cell>
        </row>
        <row r="2147">
          <cell r="E2147" t="str">
            <v>立体（高架）仓库存储系统</v>
          </cell>
          <cell r="F2147" t="str">
            <v>包括有轨巷道堆垛机、有轨巷道堆垛机转移机、穿梭车、自动拣选机、立体仓库循环货架系统、其他立体仓库存储系统。</v>
          </cell>
          <cell r="G2147" t="str">
            <v>普通机械制造业</v>
          </cell>
        </row>
        <row r="2148">
          <cell r="E2148" t="str">
            <v>仓储货物堆放架</v>
          </cell>
          <cell r="F2148" t="str">
            <v>包括钢铁制仓储用货架、铝制仓储用货架、锌制货架、其他仓储货物堆放架。</v>
          </cell>
          <cell r="G2148" t="str">
            <v>普通机械制造业</v>
          </cell>
        </row>
        <row r="2149">
          <cell r="E2149" t="str">
            <v>灌装码垛系统搬运设备</v>
          </cell>
          <cell r="F2149" t="str">
            <v>包括灌装码垛系统专用输送设备、码包、堆包设备等。</v>
          </cell>
          <cell r="G2149" t="str">
            <v>普通机械制造业</v>
          </cell>
        </row>
        <row r="2150">
          <cell r="E2150" t="str">
            <v>机械式停车设备</v>
          </cell>
          <cell r="F2150" t="str">
            <v>包括升降横移类停车设备、平面移动类停车设备、简易升降类停车设备、垂直循环类停车设备、水平循环类停车设备、巷道堆垛类停车设备、其他机械式停车设备。</v>
          </cell>
          <cell r="G2150" t="str">
            <v>普通机械制造业</v>
          </cell>
        </row>
        <row r="2151">
          <cell r="E2151" t="str">
            <v>机场专用搬运机械</v>
          </cell>
          <cell r="F2151" t="str">
            <v>包括旅客登机桥、行李传送设备、飞机牵引车、机场集装箱（板）升降平台车、机场集装箱（板）搬运车、其他机场专用搬运机械、其他机械式停车设备。</v>
          </cell>
          <cell r="G2151" t="str">
            <v>普通机械制造业</v>
          </cell>
        </row>
        <row r="2152">
          <cell r="E2152" t="str">
            <v>搬运机械及装置</v>
          </cell>
          <cell r="F2152" t="str">
            <v>包括矿车推动机、货车倾卸装置、铁路货车推车器、电动平车、薄气垫搬运设备（装置）、舞台机械化搬运设备、其他搬运机械及装置。</v>
          </cell>
          <cell r="G2152" t="str">
            <v>普通机械制造业</v>
          </cell>
        </row>
        <row r="2153">
          <cell r="E2153" t="str">
            <v>其他相关物料搬运设备</v>
          </cell>
          <cell r="F2153" t="str">
            <v>无说明</v>
          </cell>
          <cell r="G2153" t="str">
            <v>普通机械制造业</v>
          </cell>
        </row>
        <row r="2154">
          <cell r="E2154" t="str">
            <v>立体仓储及物料搬运设备专用配套件</v>
          </cell>
          <cell r="F2154" t="str">
            <v>指专用配套附（配）件。</v>
          </cell>
          <cell r="G2154" t="str">
            <v>普通机械制造业</v>
          </cell>
        </row>
        <row r="2155">
          <cell r="E2155" t="str">
            <v>泵</v>
          </cell>
          <cell r="F2155" t="str">
            <v>指是输送液体或使液体增压的机械，不包括液压泵（详见1090120010000）、农用水泵（详见1090117020000）。</v>
          </cell>
          <cell r="G2155" t="str">
            <v>普通机械制造业</v>
          </cell>
        </row>
        <row r="2156">
          <cell r="E2156" t="str">
            <v>农用水泵</v>
          </cell>
          <cell r="F2156" t="str">
            <v>指主要用于农业生产的水泵，包括农村水井用泵、农田作业面潜水泵、农用轻便离心泵、与喷灌机配套的喷灌自吸泵。</v>
          </cell>
          <cell r="G2156" t="str">
            <v>普通机械制造业</v>
          </cell>
        </row>
        <row r="2157">
          <cell r="E2157" t="str">
            <v>液体提升机</v>
          </cell>
          <cell r="F2157" t="str">
            <v>包括升运鼓轮、链式或缆式提升机、带式提升机、阿基米德螺旋式提升机、其他液体提升机。</v>
          </cell>
          <cell r="G2157" t="str">
            <v>普通机械制造业</v>
          </cell>
        </row>
        <row r="2158">
          <cell r="E2158" t="str">
            <v>泵、液体提升机零件</v>
          </cell>
          <cell r="F2158" t="str">
            <v>包括泵零件、液体提升机零件、液体泵零件、液体提升机零件、空气泵和真空泵零件。</v>
          </cell>
          <cell r="G2158" t="str">
            <v>普通机械制造业</v>
          </cell>
        </row>
        <row r="2159">
          <cell r="E2159" t="str">
            <v>气体压缩机</v>
          </cell>
          <cell r="F2159" t="str">
            <v>包括制冷设备用压缩机（空调压缩机、冰箱压缩机、车用空调压缩机、其他制冷设备用压缩机）；非制冷设备用压缩机（容积式压缩机、回转式压缩机、速度式压缩机、其他非制冷设备用压缩机）；气体压缩机零件。</v>
          </cell>
          <cell r="G2159" t="str">
            <v>普通机械制造业</v>
          </cell>
        </row>
        <row r="2160">
          <cell r="E2160" t="str">
            <v>阀门</v>
          </cell>
          <cell r="F2160" t="str">
            <v>包括普通阀门中的闸阀、截止阀、止回阀、蝶阀、球阀、安全阀、旋塞阀、隔膜阀、疏水阀、节流阀、减压阀、自动阻止气体倒流的阀门、高温高压截止阀、接头针形截止阀、内丝口针形截止阀、其他普通阀门、真空阀门中的蝶阀类、球阀类、挡板阀、翻板阀、电磁压差阀、充气阀类、微调阀类、隔膜阀类、角座阀类、管道阀类、其他真空阀门，不包括液压阀（详见109012001）。</v>
          </cell>
          <cell r="G2160" t="str">
            <v>普通机械制造业</v>
          </cell>
        </row>
        <row r="2161">
          <cell r="E2161" t="str">
            <v>龙头</v>
          </cell>
          <cell r="F2161" t="str">
            <v>包括水龙头（水嘴）、单柄单控水嘴、冷热水混合水嘴、散热器放水龙头、润滑油龙头、带有软管或伸缩套管的润滑油龙头、用以润滑轮船的轴、罐瓶机用龙头、其他龙头。</v>
          </cell>
          <cell r="G2161" t="str">
            <v>普通机械制造业</v>
          </cell>
        </row>
        <row r="2162">
          <cell r="E2162" t="str">
            <v>阀门、龙头零件</v>
          </cell>
          <cell r="F2162" t="str">
            <v>各类用于阀门和龙头的零配件。</v>
          </cell>
          <cell r="G2162" t="str">
            <v>普通机械制造业</v>
          </cell>
        </row>
        <row r="2163">
          <cell r="E2163" t="str">
            <v>液压元件</v>
          </cell>
          <cell r="F2163" t="str">
            <v>包括液压泵、齿轮式液压泵、叶片式液压泵、轴向柱塞泵、径向柱塞泵、螺杆式液压泵、液压马达、齿轮马达、叶片马达、柱塞马达、摆动马达、低速大扭矩马达、液压阀、方向阀、压力阀、流量阀、比例阀、伺服阀、多路阀、插装阀、叠加阀、液压缸、高压重型液压缸、车辆工程系列液压缸、拉杆式液压缸、回转液压缸、摆动液压缸。</v>
          </cell>
          <cell r="G2163" t="str">
            <v>普通机械制造业</v>
          </cell>
        </row>
        <row r="2164">
          <cell r="E2164" t="str">
            <v>液压系统及装置</v>
          </cell>
          <cell r="F2164" t="str">
            <v>指用液压技术实现的满足主机需要的动力传输或控制的系统，包括整体静液压传动装置、液压泵站、其他液压系统装置（包括机动船只用的喷水推进器（水力机））。</v>
          </cell>
          <cell r="G2164" t="str">
            <v>普通机械制造业</v>
          </cell>
        </row>
        <row r="2165">
          <cell r="E2165" t="str">
            <v>液压辅件</v>
          </cell>
          <cell r="F2165" t="str">
            <v>包括液压蓄能器、冷却器、吸油系列过滤器、磁性系列过滤器、压力管路过滤器、回油系列过滤器、双筒系列过滤器、液压管件、油箱辅件。</v>
          </cell>
          <cell r="G2165" t="str">
            <v>普通机械制造业</v>
          </cell>
        </row>
        <row r="2166">
          <cell r="E2166" t="str">
            <v>液力机械及装置</v>
          </cell>
          <cell r="F2166" t="str">
            <v>指将流体动能转换为机械能的装置，包括液力变矩器、向心涡轮定轴式、内分流双涡轮、向心涡轮三项、单向轴流式涡轮、单向向心涡轮、液力耦合器、调速型、限矩型、传动装置、液粘调速、调速机组、液粘离合器、其他液力机械及装置。</v>
          </cell>
          <cell r="G2166" t="str">
            <v>普通机械制造业</v>
          </cell>
        </row>
        <row r="2167">
          <cell r="E2167" t="str">
            <v>气动元件</v>
          </cell>
          <cell r="F2167" t="str">
            <v>指使用受压的空气作为介质来进行能量转换、传递、控制和分配的元件，包括气动执行元件、气缸、气马达、管道式气动阀、管道式气动调节阀、气动控制元件（气阀）、方向控制阀、压力控制阀、流量控制阀、气源处理元件、二、三联件、油雾器（气动元件）、过滤器（气动元件）、干燥器（气动元件）、消声器（气动元件）。</v>
          </cell>
          <cell r="G2167" t="str">
            <v>普通机械制造业</v>
          </cell>
        </row>
        <row r="2168">
          <cell r="E2168" t="str">
            <v>气动系统及机械</v>
          </cell>
          <cell r="F2168" t="str">
            <v>由气动动力源（包括气源处理元件）、气动控制元件、气动执行元件及所需的管道组成，完成工作机构的动作，包括气动系统和气动机械。</v>
          </cell>
          <cell r="G2168" t="str">
            <v>普通机械制造业</v>
          </cell>
        </row>
        <row r="2169">
          <cell r="E2169" t="str">
            <v>气动电磁线圈、气动管件系列</v>
          </cell>
          <cell r="F2169" t="str">
            <v>用以气阀的电磁铁线圈以及气动管路用管接头、管夹、塑料管等，包括气动电磁线圈、气动管接头及管路。</v>
          </cell>
          <cell r="G2169" t="str">
            <v>普通机械制造业</v>
          </cell>
        </row>
        <row r="2170">
          <cell r="E2170" t="str">
            <v>其他气动装置</v>
          </cell>
          <cell r="F2170" t="str">
            <v>无说明</v>
          </cell>
          <cell r="G2170" t="str">
            <v>普通机械制造业</v>
          </cell>
        </row>
        <row r="2171">
          <cell r="E2171" t="str">
            <v>真空镀膜设备</v>
          </cell>
          <cell r="F2171" t="str">
            <v>包括真空卷绕镀膜机、光学镀膜机、太阳能镀膜设备、其他真空镀膜设备。</v>
          </cell>
          <cell r="G2171" t="str">
            <v>普通机械制造业</v>
          </cell>
        </row>
        <row r="2172">
          <cell r="E2172" t="str">
            <v>真空浸渍设备</v>
          </cell>
          <cell r="F2172" t="str">
            <v>包括其他真空浸渍设备、真空压力浸渍设备。</v>
          </cell>
          <cell r="G2172" t="str">
            <v>普通机械制造业</v>
          </cell>
        </row>
        <row r="2173">
          <cell r="E2173" t="str">
            <v>真空干燥设备</v>
          </cell>
          <cell r="F2173" t="str">
            <v>包括真空耙式干燥机、双锥真空回转干燥机、真空冷冻干燥机、真空热风干燥设备、倾斜式真空干燥机、圆筒式真空干燥器、回转真空干燥机、其他真空干燥设备。</v>
          </cell>
          <cell r="G2173" t="str">
            <v>普通机械制造业</v>
          </cell>
        </row>
        <row r="2174">
          <cell r="E2174" t="str">
            <v>真空炉</v>
          </cell>
          <cell r="F2174" t="str">
            <v>包括真空充氮退火炉、真空热处理炉、真空烧结炉、高温真空钎焊炉、真空熔炼炉、其他真空炉。</v>
          </cell>
          <cell r="G2174" t="str">
            <v>普通机械制造业</v>
          </cell>
        </row>
        <row r="2175">
          <cell r="E2175" t="str">
            <v>其他真空应用设备</v>
          </cell>
          <cell r="F2175" t="str">
            <v>无说明</v>
          </cell>
          <cell r="G2175" t="str">
            <v>普通机械制造业</v>
          </cell>
        </row>
        <row r="2176">
          <cell r="E2176" t="str">
            <v>滚动轴承</v>
          </cell>
          <cell r="F2176" t="str">
            <v>包括球轴承、深沟球轴承、调心球轴承、角接触球轴承、推力球轴承、滚子轴承、锥形滚子轴承、调心滚子轴承、滚针轴承、圆柱滚子轴承、带座外球面球轴承、组合轴承、直线运动轴承、关节轴承、转盘轴承、回转支承、其他滚动轴承。</v>
          </cell>
          <cell r="G2176" t="str">
            <v>普通机械制造业</v>
          </cell>
        </row>
        <row r="2177">
          <cell r="E2177" t="str">
            <v>滑动轴承</v>
          </cell>
          <cell r="F2177" t="str">
            <v>包括未装配轴承座滑动轴承、已装配轴承座滑动轴承、其他滑动轴承。</v>
          </cell>
          <cell r="G2177" t="str">
            <v>普通机械制造业</v>
          </cell>
        </row>
        <row r="2178">
          <cell r="E2178" t="str">
            <v>轴承零配件</v>
          </cell>
          <cell r="F2178" t="str">
            <v>包括钢球、滚珠、滚针、滚子、轴承保持器、轴承座、其他轴承零件（包括环（套圈）、定位圈、紧定套、固定座套等）。</v>
          </cell>
          <cell r="G2178" t="str">
            <v>普通机械制造业</v>
          </cell>
        </row>
        <row r="2179">
          <cell r="E2179" t="str">
            <v>齿轮传动轴</v>
          </cell>
          <cell r="F2179" t="str">
            <v>包括齿轮传动轴、船舶用传动轴、曲柄及曲柄轴、活动关节轴、挠性轴、凸轮轴及偏心轴、副轴、其他齿轮传动轴。</v>
          </cell>
          <cell r="G2179" t="str">
            <v>普通机械制造业</v>
          </cell>
        </row>
        <row r="2180">
          <cell r="E2180" t="str">
            <v>齿轮</v>
          </cell>
          <cell r="F2180" t="str">
            <v>包括圆柱齿轮、锥齿轮、非圆齿轮、齿条、差动齿轮、其他齿轮、其他粉末冶金齿轮、其他塑料齿轮、其他未列明齿轮。</v>
          </cell>
          <cell r="G2180" t="str">
            <v>普通机械制造业</v>
          </cell>
        </row>
        <row r="2181">
          <cell r="E2181" t="str">
            <v>齿轮传动装置（齿轮箱）</v>
          </cell>
          <cell r="F2181" t="str">
            <v>指用于传递动力和转速，由齿轮传动件组成的传动装置，也称齿轮箱；主要包括齿轮减速机及变速箱。</v>
          </cell>
          <cell r="G2181" t="str">
            <v>普通机械制造业</v>
          </cell>
        </row>
        <row r="2182">
          <cell r="E2182" t="str">
            <v>滚珠、滚子螺杆及传动装置</v>
          </cell>
          <cell r="F2182" t="str">
            <v>包括滚珠、滚子螺杆及传动装置、滚子螺杆传动轴、滚珠螺杆传动装置、摩擦圆盘联轴节、摩擦锥体联轴节、其他滚珠、滚子螺杆及传动装置。</v>
          </cell>
          <cell r="G2182" t="str">
            <v>普通机械制造业</v>
          </cell>
        </row>
        <row r="2183">
          <cell r="E2183" t="str">
            <v>飞轮及滑轮</v>
          </cell>
          <cell r="F2183" t="str">
            <v>包括飞轮、滑轮、滑轮组。</v>
          </cell>
          <cell r="G2183" t="str">
            <v>普通机械制造业</v>
          </cell>
        </row>
        <row r="2184">
          <cell r="E2184" t="str">
            <v>离合器</v>
          </cell>
          <cell r="F2184" t="str">
            <v>包括摩擦离合器、犬牙式（爪形）离合器、自动离心离合器、压缩空气离合器、液压离合器、超越离合器、其他离合器，不包括液粘离合器（详见109012004）。</v>
          </cell>
          <cell r="G2184" t="str">
            <v>普通机械制造业</v>
          </cell>
        </row>
        <row r="2185">
          <cell r="E2185" t="str">
            <v>联轴器</v>
          </cell>
          <cell r="F2185" t="str">
            <v>包括套管联轴器、凸轮联轴器、挠性联轴器、液压联轴器、万向联轴器、其他联轴器。</v>
          </cell>
          <cell r="G2185" t="str">
            <v>普通机械制造业</v>
          </cell>
        </row>
        <row r="2186">
          <cell r="E2186" t="str">
            <v>齿轮、传动和驱动部件零件</v>
          </cell>
          <cell r="F2186" t="str">
            <v>指各类用于齿轮、传动和驱动部件零配件。</v>
          </cell>
          <cell r="G2186" t="str">
            <v>普通机械制造业</v>
          </cell>
        </row>
        <row r="2187">
          <cell r="E2187" t="str">
            <v>密封垫及类似接合衬垫</v>
          </cell>
          <cell r="F2187" t="str">
            <v>指用金属、非金属材料或金属片与其他材料复合制成的密封垫或类似接合衬垫，用于静连接部位的密封，由相对运动的并与旋转轴垂直的组成多组摩擦副，借机械力与介质压力产生密封作用的密封装置，其摩擦副可以是金属、石墨、陶瓷等各种材料，包括金属密封件、金属密封垫、多层金属片制密封垫、其他金属密封件、机械密封件、滑动密封环、弹簧密封环、其他机械密封件、其他密封垫及类似接合衬垫。</v>
          </cell>
          <cell r="G2187" t="str">
            <v>普通机械制造业</v>
          </cell>
        </row>
        <row r="2188">
          <cell r="E2188" t="str">
            <v>炉用燃烧器</v>
          </cell>
          <cell r="F2188" t="str">
            <v>指供各种液体、气体、煤粉、混合燃料燃烧的炉用燃烧器，包括重油燃烧器（雾化燃烧器）、油燃烧器、气体燃烧器、天然气燃烧器、煤气燃烧器、其他气体燃烧器、煤粉燃烧器、油气混合燃烧器、其他炉用燃烧器。</v>
          </cell>
          <cell r="G2188" t="str">
            <v>普通机械制造业</v>
          </cell>
        </row>
        <row r="2189">
          <cell r="E2189" t="str">
            <v>机械加煤机</v>
          </cell>
          <cell r="F2189" t="str">
            <v>包括给煤机、机械炉篦（机械筛）、机械吹灰器、自动出渣器、其他机械加煤机。</v>
          </cell>
          <cell r="G2189" t="str">
            <v>普通机械制造业</v>
          </cell>
        </row>
        <row r="2190">
          <cell r="E2190" t="str">
            <v>工业电炉</v>
          </cell>
          <cell r="F2190" t="str">
            <v>包括工业或实验室用电炉及电烘箱等加热设备。</v>
          </cell>
          <cell r="G2190" t="str">
            <v>普通机械制造业</v>
          </cell>
        </row>
        <row r="2191">
          <cell r="E2191" t="str">
            <v>非电热金属处理用炉</v>
          </cell>
          <cell r="F2191" t="str">
            <v>指燃气或煤的矿砂或金属热处理用炉。</v>
          </cell>
          <cell r="G2191" t="str">
            <v>普通机械制造业</v>
          </cell>
        </row>
        <row r="2192">
          <cell r="E2192" t="str">
            <v>其他电炉</v>
          </cell>
          <cell r="F2192" t="str">
            <v>无说明</v>
          </cell>
          <cell r="G2192" t="str">
            <v>普通机械制造业</v>
          </cell>
        </row>
        <row r="2193">
          <cell r="E2193" t="str">
            <v>窑炉</v>
          </cell>
          <cell r="F2193" t="str">
            <v>包括辊道窑、电热辊道窑、非电热辊道窑、隧道窑、电热隧道窑、非电热隧道窑、梭式窑、电热梭式窑、非电热梭式窑、推板窑、电推板窑炉、非电推板窑、保护气氛窑炉、电热保护气氛窑、非电热保护气氛窑炉、氮化窑、电热氮化窑、非电热氮化窑、烧成窑炉、电子陶瓷烧成窑炉、纳米材料烧成窑、其他烧成窑炉、电热全辊道窑、电热全自控催化剂辊道窑、燃气、煤辊道窑、高温推板式隧道电窑等、稀土隧道窑、铁粉还原隧道窑、空心砖烧成隧道窑、西式瓦烧成隧道窑、微晶玻璃晶化隧道窑、卫生洁具装配式隧道窑、空心砖干燥隧道窑等、卫生瓷重烧梭式窑、卫生瓷本烧梭式窑、耐火材料梭式窑、高压电瓷梭式窑、微晶玻璃板材梭式窑、纳米材料梭式窑、日用、美术、化工色料梭式窑等、隧道电推板窑、磁性材料烧结隧道式推板电窑、化工粉末煅烧隧道推板电炉、煅烧稀土材料隧道推板电窑、氢氮保护钼棒加热推板电窑等、氮气保护推板窑炉、氮气保护推板电隧道窑、纯氧保护气氛推板窑、钴酸锂电池材料双孔推板窑、多温区多点补氧工艺隧道式推板窑、氢还原窑炉、全自控高温氮化窑。</v>
          </cell>
          <cell r="G2193" t="str">
            <v>普通机械制造业</v>
          </cell>
        </row>
        <row r="2194">
          <cell r="E2194" t="str">
            <v>熔炉</v>
          </cell>
          <cell r="F2194" t="str">
            <v>指烘烤干燥炉。</v>
          </cell>
          <cell r="G2194" t="str">
            <v>普通机械制造业</v>
          </cell>
        </row>
        <row r="2195">
          <cell r="E2195" t="str">
            <v>窑炉、熔炉及电炉用零件</v>
          </cell>
          <cell r="F2195" t="str">
            <v>包括炉用燃烧器、机械加煤机零件、工业电炉及电烘箱零件、非电热炉及烘箱零件。</v>
          </cell>
          <cell r="G2195" t="str">
            <v>普通机械制造业</v>
          </cell>
        </row>
        <row r="2196">
          <cell r="E2196" t="str">
            <v>风机</v>
          </cell>
          <cell r="F2196" t="str">
            <v>包括纺织专用风机、防爆风机、离心式通风机、电站锅炉鼓引风机、锅炉用通风机（离心式）、通风换气用通风机（离心式）、工业炉用通风机（离心式）、矿井用风机（离心式）、煤粉用通风机（离心式）、高温风机（离心式）、空调风机（离心式）、消防风机（离心式）、烟草风机（离心式）、粮食风机（离心式）、船用风机（离心式）、排尘风机（离心式）、屋顶风机（离心式）、其他离心通风机、贯流通风机、轴流式通风机、锅炉用通风机（轴流式）、通风换气用通风机（轴流式）、工业炉用通风机（轴流式）、矿井用风机（轴流式）、煤粉用通风机（轴流式）、高温风机（轴流式）、空调风机（轴流式）、消防风机（轴流式）、烟草风机（轴流式）、粮食风机（轴流式）、船用风机（轴流式）、排尘风机（轴流式）、屋顶风机（轴流式）、纺织风机（轴流式）、其他轴流通风机、横流式通风机、混流式通风机、鼓风机、离心、轴流鼓风机、罗茨鼓风机、叶氏鼓风机、造气鼓风机、螺杆式鼓风机、其他鼓风机、其他风机。</v>
          </cell>
          <cell r="G2196" t="str">
            <v>普通机械制造业</v>
          </cell>
        </row>
        <row r="2197">
          <cell r="E2197" t="str">
            <v>工业风扇</v>
          </cell>
          <cell r="F2197" t="str">
            <v>包括工业吊扇、工业换气扇、工业壁扇、工业用排气风扇、工业用排风扇（功率≤5W）、百叶排气风扇、机器和仪器（如计算机）等设备用排风扇、农牧风机（扇）、其他工业用排气风扇、其他工业风扇，不包括5W＜功率≤125W的家用和类似用途电风扇（详见109041601）。</v>
          </cell>
          <cell r="G2197" t="str">
            <v>普通机械制造业</v>
          </cell>
        </row>
        <row r="2198">
          <cell r="E2198" t="str">
            <v>工业用通风罩、循环气罩</v>
          </cell>
          <cell r="F2198" t="str">
            <v>包括循环气罩、自由活塞式发生器、通风罩、循环气罩。</v>
          </cell>
          <cell r="G2198" t="str">
            <v>普通机械制造业</v>
          </cell>
        </row>
        <row r="2199">
          <cell r="E2199" t="str">
            <v>风机、工业风扇用零件</v>
          </cell>
          <cell r="F2199" t="str">
            <v>指各类用于风机、工业风扇的零配件。</v>
          </cell>
          <cell r="G2199" t="str">
            <v>普通机械制造业</v>
          </cell>
        </row>
        <row r="2200">
          <cell r="E2200" t="str">
            <v>气体发生器</v>
          </cell>
          <cell r="F2200" t="str">
            <v>包括发生炉煤气发生器、水煤气发生器、水解乙炔气体发生器、氧气发生器、氢气发生器、氮气发生器、空气发生器、乙烯发生器、其他气体发生器。</v>
          </cell>
          <cell r="G2200" t="str">
            <v>普通机械制造业</v>
          </cell>
        </row>
        <row r="2201">
          <cell r="E2201" t="str">
            <v>制氮设备</v>
          </cell>
          <cell r="F2201" t="str">
            <v>包括深冷法制氮设备、变压吸附制氮设备、膜分离制氮设备、其他制氮设备</v>
          </cell>
          <cell r="G2201" t="str">
            <v>普通机械制造业</v>
          </cell>
        </row>
        <row r="2202">
          <cell r="E2202" t="str">
            <v>制氢设备</v>
          </cell>
          <cell r="F2202" t="str">
            <v>包括水电解制氢设备、甲醇重整制氢设备、氨分解制氢设备、其他制氢设备。</v>
          </cell>
          <cell r="G2202" t="str">
            <v>普通机械制造业</v>
          </cell>
        </row>
        <row r="2203">
          <cell r="E2203" t="str">
            <v>制氧设备</v>
          </cell>
          <cell r="F2203" t="str">
            <v>指制氧机，包括深冷法制氧设备、变压吸附制氧设备、膜分离制氧设备、其他制氧设备。</v>
          </cell>
          <cell r="G2203" t="str">
            <v>普通机械制造业</v>
          </cell>
        </row>
        <row r="2204">
          <cell r="E2204" t="str">
            <v>稀有气体提取设备</v>
          </cell>
          <cell r="F2204" t="str">
            <v>指主要产品不是稀有气体的设备不列入此。</v>
          </cell>
          <cell r="G2204" t="str">
            <v>普通机械制造业</v>
          </cell>
        </row>
        <row r="2205">
          <cell r="E2205" t="str">
            <v>气体纯化设备</v>
          </cell>
          <cell r="F2205" t="str">
            <v>指适用于含氧量≤3%的氮气、氢气、一氧化碳、二氧化碳、甲烷和惰性气体纯化，包括氢气提纯装置、加氢脱氧纯化装置、其他气体纯化设备。</v>
          </cell>
          <cell r="G2205" t="str">
            <v>普通机械制造业</v>
          </cell>
        </row>
        <row r="2206">
          <cell r="E2206" t="str">
            <v>气体液化设备</v>
          </cell>
          <cell r="F2206" t="str">
            <v>包括天然气液化设备、氧液化设备、氮液化设备、氩液化设备、煤气液化设备、其他气体液化设备。</v>
          </cell>
          <cell r="G2206" t="str">
            <v>普通机械制造业</v>
          </cell>
        </row>
        <row r="2207">
          <cell r="E2207" t="str">
            <v>其他气体分离及液化设备</v>
          </cell>
          <cell r="F2207" t="str">
            <v>无说明</v>
          </cell>
          <cell r="G2207" t="str">
            <v>普通机械制造业</v>
          </cell>
        </row>
        <row r="2208">
          <cell r="E2208" t="str">
            <v>蒸馏或精馏设备</v>
          </cell>
          <cell r="F2208" t="str">
            <v>包括制药用蒸馏水机、提净塔、粗馏塔、泡罩式粗馏塔、其他粗馏塔、精馏塔、斜孔板式精馏塔、釜式精镏塔、玻璃降膜再沸式精馏塔、高真空蒸馏塔、分子蒸馏设备、其他精馏塔、酒精回收设备、甲醇回收塔、酒精回收塔、多功能酒精回收器、废酒精回收系统、其他酒精回收设备、水洗塔、蒸馏锅、蒸馏釜、油酸蒸馏装置、挥发油提取器、填料式回收塔和列管式换热器、其他蒸馏或精馏设备。</v>
          </cell>
          <cell r="G2208" t="str">
            <v>普通机械制造业</v>
          </cell>
        </row>
        <row r="2209">
          <cell r="E2209" t="str">
            <v>发酵、提取设备</v>
          </cell>
          <cell r="F2209" t="str">
            <v>包括发酵设备、普通罐型发酵设备、伍式罐型发酵设备、自吸式罐型发酵设备、锥型发酵设备、其他发酵设备、提取罐、多功能提取罐、动态提取罐、其他提取罐、物料罐（主要用于生化发酵生产、如生产味精、柠檬酸、酶制剂、甘油、制药、食品等行业）、其他发酵、提取设备。</v>
          </cell>
          <cell r="G2209" t="str">
            <v>普通机械制造业</v>
          </cell>
        </row>
        <row r="2210">
          <cell r="E2210" t="str">
            <v>浓缩设备</v>
          </cell>
          <cell r="F2210" t="str">
            <v>包括污水处理用蒸发装置、蒸发器、真空蒸发器、薄膜蒸发器、氨蒸发器、旋转蒸发器、悬框式蒸发器、螺旋管蒸发器、其他蒸发器、浓缩机（罐）、真空减压浓缩罐、外循环浓缩锅、动态热回流提取浓缩机、真空浓缩器、其他浓缩机（罐）、结晶设备、套管结晶机、结晶釜、其他结晶设备、冻干设备、多功能真空冻干设备、其他冻干设备、外加热式真空蒸发器、离心式刮板薄膜蒸发器、刮膜式薄膜蒸发器、三效节能外循换环真空浓缩器、其他浓缩设备</v>
          </cell>
          <cell r="G2210" t="str">
            <v>普通机械制造业</v>
          </cell>
        </row>
        <row r="2211">
          <cell r="E2211" t="str">
            <v>干燥、分散、混合设备及类似设备</v>
          </cell>
          <cell r="F2211" t="str">
            <v>包括干燥设备、流化床干燥设备、喷雾干燥设备、气流干燥设备、桨叶式干燥设备、盘式干燥设备、耙式干燥设备、厢式和带式干燥设备、回转干燥设备、转鼓干燥设备、太阳能干燥、微波干燥设备、远红外干燥设备、造粒设备、煅烧设备、蒸汽回转干燥机、流态化煅烧机、组合干燥设备、管束式干燥机、旋转闪蒸干燥机、其他干燥设备、均质乳化设备、真空均质乳化成套设备、真空均质乳化锅、高剪切混合乳化机、其他均质乳化设备、分散、混合设备、GF系列分散机、调速分散机、高速分散机、臂式非对称双螺锥形混合机、ZKH-V型混合机、其他分散、混合设备。</v>
          </cell>
          <cell r="G2211" t="str">
            <v>普通机械制造业</v>
          </cell>
        </row>
        <row r="2212">
          <cell r="E2212" t="str">
            <v>热交换装置</v>
          </cell>
          <cell r="F2212" t="str">
            <v>包括浮头列管式换热器、石墨制浮头列管式换热器、其他浮头列管式换热器、重整换热器、加氢换热器、螺纹锁紧环式加氢换热器、其他加氢换热器、圆块孔式换热器、石墨制圆块孔式换热器、其他圆块孔式换热器、矩形块孔式换热器、石墨制矩形块孔式换热器、其他矩形块孔式换热器、螺旋板式换热器、淋洒式换热器、套筒式换热器、碟片式换热器、列管式再沸器、石墨制浮头列管式再沸器、其他列管式再沸器、其他热交换装置。</v>
          </cell>
          <cell r="G2212" t="str">
            <v>普通机械制造业</v>
          </cell>
        </row>
        <row r="2213">
          <cell r="E2213" t="str">
            <v>加热设备</v>
          </cell>
          <cell r="F2213" t="str">
            <v>包括蒸煮设备、蒸煮器、汽蒸设备、杀菌锅、碱熔锅、中和槽、固碱锅、洗液锅、水油相溶解锅、其他蒸煮设备、压热器、水解木材用压热器、硫化橡胶用压热器、其他压热器、退火炉、分汽缸、其他加热设备，不包括造纸用蒸煮设备（详见109022101）。</v>
          </cell>
          <cell r="G2213" t="str">
            <v>普通机械制造业</v>
          </cell>
        </row>
        <row r="2214">
          <cell r="E2214" t="str">
            <v>冷却设备</v>
          </cell>
          <cell r="F2214" t="str">
            <v>包括冰盐冷却装置、气体冷凝器、氮或其他气体的冷凝器、冷却塔、供粮食磨粉工业用的冷却塔、炼油、化工用高压空气冷却器、胶片冷却装置、注塑模具冷却机、其他冷却设备，不包括蒸汽冷凝器（详见109010101）。</v>
          </cell>
          <cell r="G2214" t="str">
            <v>普通机械制造业</v>
          </cell>
        </row>
        <row r="2215">
          <cell r="E2215" t="str">
            <v>其他利用温度变化加工机械</v>
          </cell>
          <cell r="F2215" t="str">
            <v>无说明</v>
          </cell>
          <cell r="G2215" t="str">
            <v>普通机械制造业</v>
          </cell>
        </row>
        <row r="2216">
          <cell r="E2216" t="str">
            <v>液体过滤、净化机械</v>
          </cell>
          <cell r="F2216" t="str">
            <v>包括水过滤、净化机械及装置、反渗透装置、EDI装置、超滤设备、医用滤水器（超滤）、纳滤装置、精滤装置、机械过滤装置、软水器、离子交换器、中水回用装置（指洗车废水回用水处理设备）、其他水过滤、净化机械及装、压滤机、厢式压滤机、隔膜压榨式压滤机、板框式压滤机、带式压滤机、全自动压滤机、制药用水设备、其他压滤机、袋式过滤器、单式过滤器、双联过滤器、其他袋式过滤器、烛式过滤机、预涂式烛式过滤机、ZL烛式过滤机、倒立式烛式过滤机、ZTG烛式过滤机、烛式硅藻土过滤机、其他烛式过滤机、液体真空过滤器、转筒式真空过滤机、间歇式真空过滤机、高效真空净油机、其他液体真空过滤器、电渗析器、自动频繁倒极电渗析器、其他电渗析器、反渗透制水装置、PO反渗透净水设备系统、其他反渗透制水装置、其他液体过滤、净化机械，不包括家用型滤水器（详见1090417）、农产品加工专用压滤机（详见109018）。</v>
          </cell>
          <cell r="G2216" t="str">
            <v>普通机械制造业</v>
          </cell>
        </row>
        <row r="2217">
          <cell r="E2217" t="str">
            <v>气体过滤、净化机械及装置</v>
          </cell>
          <cell r="F2217" t="str">
            <v>包括机械法气体过滤器、滤袋式过滤器、网式过滤器、转鼓过滤器、纸质过滤器、纤维填充过滤器、滤烟器、机械或物理法气体过滤器及净化器、板框过滤机、叶滤机、其他过滤机、其他机械法气体过滤器、气体真空过滤机、圆盘真空过滤机、转台真空过滤机、带式真空过滤机、转鼓真空过滤机、外滤面转鼓真空过滤机、密闭式转鼓真空过滤机、其他转鼓真空过滤机、其他气体真空过滤机、气体净化器、再生式气体净化器、有害气体净化器、其他气体净化器、涤气器（用于净化发生炉煤气或煤气）、干湿涤气器、旋转涤气器、其他涤气器、吸收器（塔）、降膜吸收器、石墨降膜吸收器、石墨制浮头列管式吸收器、其他吸收器（塔）、其他气体过滤、净化机械及装置（物理式或静电式），不包括家用型气体过滤、净化器（详见1090417）、大气污染治理净化装置（详见1090250）。</v>
          </cell>
          <cell r="G2217" t="str">
            <v>普通机械制造业</v>
          </cell>
        </row>
        <row r="2218">
          <cell r="E2218" t="str">
            <v>发动机燃油、进气过滤器</v>
          </cell>
          <cell r="F2218" t="str">
            <v>包括滤油器（指供内燃发动机、机床等用的滤油器）、吸气过滤器、机动车净化装置、其他发动机燃油、进气过滤器。</v>
          </cell>
          <cell r="G2218" t="str">
            <v>普通机械制造业</v>
          </cell>
        </row>
        <row r="2219">
          <cell r="E2219" t="str">
            <v>离心机</v>
          </cell>
          <cell r="F2219" t="str">
            <v>包括脱水离心机、污泥脱水离心机、高速脱水离心机、其他脱水用离心机、固液分离机、螺旋卸料沉降离心机、三足式沉降离心机、管式分离机、碟式分离机、刮刀卸料沉降离心机、其他固液分离机、过滤离心机、三足式上卸料过滤离心机、立式锥篮离心机、上悬式离心机、卧式刮刀卸料离心机、卧式活塞推料离心机、螺旋卸料过滤离心机、螺旋卸料沉降-过滤离心机、旁滤式离心机、其他过滤离心机、离心干燥机、颗粒离心干燥机、热风离心干燥机、普通离心式喷雾干燥机、高速离心喷雾干燥机、离心真空干燥机、其他离心干燥机、医用离心机、冷冻超速离心机、冷冻高速离心机、高速离心机、低速离心机、其他医用离心机、密闭离心机、SB密闭离心机、SB直联式密闭离心机、人工卸料密闭离心机、其他密闭离心机、供实验室用的离心机、其他离心机，不包括奶油分离器（详见1090215）、干衣机（详见1090253）和家用清洁卫生电器具（详见1090418）。</v>
          </cell>
          <cell r="G2219" t="str">
            <v>普通机械制造业</v>
          </cell>
        </row>
        <row r="2220">
          <cell r="E2220" t="str">
            <v>离心、过滤、净化机设备及其零件</v>
          </cell>
          <cell r="F2220" t="str">
            <v>包括分离、过滤、净化机械零件、离心机零件、离心干燥机零件。</v>
          </cell>
          <cell r="G2220" t="str">
            <v>普通机械制造业</v>
          </cell>
        </row>
        <row r="2221">
          <cell r="E2221" t="str">
            <v>工商用制冷设备</v>
          </cell>
          <cell r="F2221" t="str">
            <v>包括工商用制冰机（最大产冰量为310kg/24h）、速冻机（制造冰的制冷设备）、冷饮机（降温速率很快的冻结、以便在被冻结的食品或其他物品中产生预期结晶结构的设备）、雪泥机、工商用冰淇淋机、软冰淇淋机、硬冰淇淋机、冰淇淋原料杀菌机炒冰机、单锅炒冰机、双锅炒冰机、食品真空冷冻干燥机（由使食品干燥的真空容器及加热系统、制冷系统、真空系统和电气空气系统等组成的成套设备）、谷物冷却机（一种用于粮食低温处藏、向粮仓提供一定温度、湿度空气的设备；主要包括制冷系统以及送风和净化装置、还可以包括调湿和风量调节装置）、组合式冷库、气调库、其他工商用制冷设备，不包括家用型制冰机（详见190414）、家用型冰淇淋机（详见190414）。</v>
          </cell>
          <cell r="G2221" t="str">
            <v>普通机械制造业</v>
          </cell>
        </row>
        <row r="2222">
          <cell r="E2222" t="str">
            <v>工商用冷藏、冷冻柜</v>
          </cell>
          <cell r="F2222" t="str">
            <v>指工业用、医用及商用等非家用冷藏、冷冻柜，包括工商用冷藏、冷冻柜、冷冻冷藏陈列展示柜（带制冷机组的能展示内放冷藏商品的货柜）、冷冻陈列展示柜、冷藏陈列展示柜、食品冷冻冷藏箱（柜）（比家用冰箱容量大的隔热体、如厨房冰箱、商用冷藏柜等）、医用及科研用冷冻冷藏箱（柜）、工作台冰箱、其他工商用冷藏、冷冻柜，不包括家用和类似用途的冷藏冷冻箱、冷藏箱、冷冻箱、冷藏冷冻箱展示柜（详见190414）。</v>
          </cell>
          <cell r="G2222" t="str">
            <v>普通机械制造业</v>
          </cell>
        </row>
        <row r="2223">
          <cell r="E2223" t="str">
            <v>中央空调冷水/热泵机组</v>
          </cell>
          <cell r="F2223" t="str">
            <v>指通过四通换向阀实现蒸发器与冷凝器的功能切换，达到使载冷剂（一般为水）被冷却（加热）的制冷机组；该机组一般被用作公共建筑中中央空调的主机。包括活塞式冷水（热泵）机组、涡旋式冷水（热泵）机组、螺杆式冷水（热泵）机组、离心式冷水（热泵）机组、溴化锂式冷水机组（以水为制冷剂、溴化锂水溶液为吸收剂、按吸收式制冷循环工作的冷水机组）、水源热泵机组（一种采用循环流动于共用管路中的水、从水井、湖泊或河流中抽取的水或在地下盘管中循环流动的水为冷（热）源、制取冷（热）风或冷（热）水的设备；包括一个使用侧换热设备、压缩机、热源侧换热设备、具有单制冷或制冷和制热功能；水源热泵机组按使用侧换热设备的形式分为冷热风型水源热泵机组（即水－空气型水源热泵机组）和冷热水型水源热泵机组（水－水型水源热泵机组））。</v>
          </cell>
          <cell r="G2223" t="str">
            <v>普通机械制造业</v>
          </cell>
        </row>
        <row r="2224">
          <cell r="E2224" t="str">
            <v>工商用空调设备</v>
          </cell>
          <cell r="F2224" t="str">
            <v>包括房间空调器、制冷量＞14000W、窗式空调器、制冷量＞14000W、壁挂式空调器、制冷量＞14000W、其他房间空调器、制冷量＞14000W、单元式空调机组、屋顶式空调（热泵）机组、多联式空调（热泵）机组、风管送风式空调（热泵）机组、专用空调机组（工艺性）、机房空调机、洁净空调、医用空调、恒湿机、防爆空调、车用空调设备、轿车用空调、中/大巴用空调、工程车用空调、加湿设备、除湿设备、其他工商用空调设备，不包括制冷量≤14000W的家用和类似用途空调设备、家用房间空气调节器、家用加湿器、家用除湿器（详见1090415）。</v>
          </cell>
          <cell r="G2224" t="str">
            <v>普通机械制造业</v>
          </cell>
        </row>
        <row r="2225">
          <cell r="E2225" t="str">
            <v>工商用制冷、空调设备零部件</v>
          </cell>
          <cell r="F2225" t="str">
            <v>指各类用于工商用制冷、空调设备零部件。</v>
          </cell>
          <cell r="G2225" t="str">
            <v>普通机械制造业</v>
          </cell>
        </row>
        <row r="2226">
          <cell r="E2226" t="str">
            <v>风动手提工具</v>
          </cell>
          <cell r="F2226" t="str">
            <v>指手提式风动或液压工具，包括装有气动机（或气动活塞）、内燃机或其他非电动的动力机（例如、小型液力涡轮机）的工具、包括风动钻机、风镐（气镐）、风铲、手提式气动锯、手提式链锯、液压混凝土振动器、风动攻丝机、风动铰孔机、气动冲击扳手/液压扳手、风动镗孔机、风砂轮、风动锤、錾平锤、敲锈锤、堵缝锤、铆钉锤等、风动锉机、气动锉刀、风动研磨机、风板机、气动螺刀、机动螺丝刀、螺帽拧入或拧出器、气动剪刀、气动式手提夹钳工具、气动手提打包机、气动式油脂枪、手提式气动羊毛取样钻、其他手提式风动工具。</v>
          </cell>
          <cell r="G2226" t="str">
            <v>普通机械制造业</v>
          </cell>
        </row>
        <row r="2227">
          <cell r="E2227" t="str">
            <v>电动手提式工具</v>
          </cell>
          <cell r="F2227" t="str">
            <v>指手提式电动液压开孔器，包括电钻（手提式）、冲击钻、手电钻、其他电钻、电锯、电动链锯、其他电锯、手提式电刨（包括电动刨削、修整、磨平器具及类似工具）、电动锤、电动琢锤、铲锤、捻缝锤、铆钉锤、电动锉削机、电动雕刻工具、电动射钉枪、电动铆钉枪、电动锉具、电动手提磨床、电动手提砂光机、电动手提抛光器、电剪刀、电动刷具、电动钢丝刷机、其他电动手提式工具。</v>
          </cell>
          <cell r="G2227" t="str">
            <v>普通机械制造业</v>
          </cell>
        </row>
        <row r="2228">
          <cell r="E2228" t="str">
            <v>风动和电动工具零件</v>
          </cell>
          <cell r="F2228" t="str">
            <v>包括手提式链锯零件、风动手提式工具零件、电动手提式链锯用零件、其他风动和电动工具零件。</v>
          </cell>
          <cell r="G2228" t="str">
            <v>普通机械制造业</v>
          </cell>
        </row>
        <row r="2229">
          <cell r="E2229" t="str">
            <v>喷枪</v>
          </cell>
          <cell r="F2229" t="str">
            <v>包括金属线材喷涂枪、自动喷枪、自动无气喷枪、空气自动喷枪、空气辅助无气自动喷枪、手动喷枪、手动无气喷枪、离子风喷枪（适用于电子、胶片）、精细空气喷枪、光触媒喷枪、光触媒喷涂专用喷枪、其他喷枪。</v>
          </cell>
          <cell r="G2229" t="str">
            <v>普通机械制造业</v>
          </cell>
        </row>
        <row r="2230">
          <cell r="E2230" t="str">
            <v>喷涂机</v>
          </cell>
          <cell r="F2230" t="str">
            <v>包括喷漆设备、高能喷涂枪、推式喷涂枪、拉式喷涂枪、静电喷涂机、手动静电喷涂机、自动静电喷涂机、手动静电双系统喷涂机、手动静电漆枪、实验喷涂机、高压无气喷涂机（建筑装饰用）、二液无气喷涂机、管道内壁喷涂器、旋蝶喷漆设备、其他喷涂机。</v>
          </cell>
          <cell r="G2230" t="str">
            <v>普通机械制造业</v>
          </cell>
        </row>
        <row r="2231">
          <cell r="E2231" t="str">
            <v>喷射机械</v>
          </cell>
          <cell r="F2231" t="str">
            <v>包括喷砂机、液体喷砂机、干式喷砂机、循环回收式喷砂机（指集喷砂、回收、循环、分离、除尘于一体、无污染及砂料四处飞扬现象、是新一代的环保型喷砂设备）、普压式手动喷砂机、其他喷砂机、喷汽机（用以除去金属机件上的油漆等）、灰浆机、喷砂房、其他喷射机械。</v>
          </cell>
          <cell r="G2231" t="str">
            <v>普通机械制造业</v>
          </cell>
        </row>
        <row r="2232">
          <cell r="E2232" t="str">
            <v>喷水器、喷雾器</v>
          </cell>
          <cell r="F2232" t="str">
            <v>包括家用喷雾器、喷壶及类似喷射器具、船用洗舱机、水枪（指可喷射强大的水柱、用以从山坡等处冲落矿物（例如、金矿砂）的器具）、冲洗机械装置（包括汽车挡风玻璃及车头灯的冲洗机械装置）、其他喷水器、喷雾器，不包括农用喷射机械及器具（详见109023708）。</v>
          </cell>
          <cell r="G2232" t="str">
            <v>普通机械制造业</v>
          </cell>
        </row>
        <row r="2233">
          <cell r="E2233" t="str">
            <v>喷枪及类似器具零件</v>
          </cell>
          <cell r="F2233" t="str">
            <v>包括家用液体或粉末喷射机械零件、其他喷枪及类似器具零件。</v>
          </cell>
          <cell r="G2233" t="str">
            <v>普通机械制造业</v>
          </cell>
        </row>
        <row r="2234">
          <cell r="E2234" t="str">
            <v>包装容器洗涤及干燥机械</v>
          </cell>
          <cell r="F2234" t="str">
            <v>包括药品包装容器的清洁、洗涤、冲洗机械、清洁、洗涤、冲洗机械、安瓿擦瓶机、包装容器专用干燥机械、灭菌检漏设备、其他包装容器洗涤及干燥机械。</v>
          </cell>
          <cell r="G2234" t="str">
            <v>普通机械制造业</v>
          </cell>
        </row>
        <row r="2235">
          <cell r="E2235" t="str">
            <v>灌装、装填容器用机械</v>
          </cell>
          <cell r="F2235" t="str">
            <v>指桶、琵琶桶、罐、瓶、坛、管、安瓿、箱、包、袋等容器的装填机器，常配有辅助性的自动计量或计重控制装置，以及对容器进行封口的设备，包括饮料及液体食品灌装设备、手提式液体食品灌装机、电动手提式的饮料及液体食品罐装设备、非手提式液体食品灌装机械、饮料真空包装机、饮料收缩包装机、饮料充气机、其他饮料及液体食品灌装设备、水泥灌装机、全自动水泥灌包机、其他水泥灌装机、固体产品灌装机（包括固体食品及其他产品灌装机、包装机）、包装机、固体产品真空包装机、裹包机、充填机、贴体包装机、吸塑包装机、塑料袋封口机、泡罩包装机、热成型包装机、物料整理排列机、移动式定量包装车、其他固体产品灌装机、包装机、其他灌装、装填容器用机械。</v>
          </cell>
          <cell r="G2235" t="str">
            <v>普通机械制造业</v>
          </cell>
        </row>
        <row r="2236">
          <cell r="E2236" t="str">
            <v>容器装封、贴标签及包封机</v>
          </cell>
          <cell r="F2236" t="str">
            <v>指本类机械可配有定型、印刷、捆扎、装订、包边、胶贴、封口装置或对包装进行最后整理的装置包括把已装填好的罐头、瓶子等装入外包装（板条箱、箱子等）的机械，包括装箱机、装盒机、纸箱封口机、其他纸板箱装箱包装机、瓶、坛封口、加塞或压盖机械、封罐机、焊接封口机、封盖机、压盖机、旋盖机、振荡落盖装置、掀盖装置、其他瓶、坛封口、加塞或压盖机械、贴标签机械、贴标机、安瓿色标机、喷码机、标签压印器、其他贴标签机械、打包机及捆扎机、扎口机、捆扎机、便携式打包器械（指手工操作的便携式打包器械）、热缩包装机、其他打包机及捆扎机、其他容器装封、贴标签及包封机。</v>
          </cell>
          <cell r="G2236" t="str">
            <v>普通机械制造业</v>
          </cell>
        </row>
        <row r="2237">
          <cell r="E2237" t="str">
            <v>包装专用设备零件</v>
          </cell>
          <cell r="F2237" t="str">
            <v>包括饮料及液体食品灌装设备零件、其他包装专用设备零件。</v>
          </cell>
          <cell r="G2237" t="str">
            <v>普通机械制造业</v>
          </cell>
        </row>
        <row r="2238">
          <cell r="E2238" t="str">
            <v>工业用衡器</v>
          </cell>
          <cell r="F2238" t="str">
            <v>包括地上衡、地上平台秤、地上汽车衡、地上钢材秤、地上轴重秤、地上轮重秤、地上牲畜秤、地上飞机秤、其他地上衡、地中衡、地中平台秤、地中汽车衡、地中钢材秤、地中轴重秤、地中轮重秤、地中牲畜秤、地中飞机秤、其他地中衡、轨道衡、标准轨道衡、自动轨道衡、静态轨道衡、轻轨衡（矿车衡）、煤塔秤、其他轨道衡、料斗秤、粮食秤、液体秤、容器秤、配料秤、秤量车、灌装秤、定量秤、包装秤、其他料斗秤、吊秤、有线式吊秤、无线式吊秤、无线直示式吊秤、无线传输式吊秤、其他吊秤、皮带秤、单托辊皮带秤、多托辊皮带秤、悬浮式皮带秤、悬臂式皮带秤、滚轮式皮带秤、核子皮带秤、其他皮带秤、分类秤、重量检验秤、重量分选秤、重量标签秤、其他分类秤、特种秤、叉车秤、容重秤、宝石秤、病床秤、其他特种秤、其他工业用衡器。</v>
          </cell>
          <cell r="G2238" t="str">
            <v>普通机械制造业</v>
          </cell>
        </row>
        <row r="2239">
          <cell r="E2239" t="str">
            <v>商业用衡器</v>
          </cell>
          <cell r="F2239" t="str">
            <v>包括商业用案秤、计价案秤、计重案秤、计数案秤、包裹案秤、信函案秤、运费案秤、度盘案秤、百分案秤、其他商业用案秤、商业用台秤、计价台秤、计重台秤、计数台秤、包裹台秤、度盘台秤、百分台秤、其他商业用台秤。</v>
          </cell>
          <cell r="G2239" t="str">
            <v>普通机械制造业</v>
          </cell>
        </row>
        <row r="2240">
          <cell r="E2240" t="str">
            <v>称重系统</v>
          </cell>
          <cell r="F2240" t="str">
            <v>包括机械式台秤和电子式台秤。</v>
          </cell>
          <cell r="G2240" t="str">
            <v>普通机械制造业</v>
          </cell>
        </row>
        <row r="2241">
          <cell r="E2241" t="str">
            <v>家用秤</v>
          </cell>
          <cell r="F2241" t="str">
            <v>包括人体秤、婴儿秤、配餐秤、浴室秤、家用便携秤（指家用或类似用途的便于携带的秤（又称口袋秤、手掌秤、袖珍秤等））、其他家用秤、其他衡器（秤）。</v>
          </cell>
          <cell r="G2241" t="str">
            <v>普通机械制造业</v>
          </cell>
        </row>
        <row r="2242">
          <cell r="E2242" t="str">
            <v>衡器零配件</v>
          </cell>
          <cell r="F2242" t="str">
            <v>包括衡器用砝码、秤砣、称重显示控制器、称重传感器、应变计、其他衡器零配件。</v>
          </cell>
          <cell r="G2242" t="str">
            <v>普通机械制造业</v>
          </cell>
        </row>
        <row r="2243">
          <cell r="E2243" t="str">
            <v>其他衡器（秤）</v>
          </cell>
          <cell r="F2243" t="str">
            <v>无说明</v>
          </cell>
          <cell r="G2243" t="str">
            <v>普通机械制造业</v>
          </cell>
        </row>
        <row r="2244">
          <cell r="E2244" t="str">
            <v>铸铁件</v>
          </cell>
          <cell r="F2244" t="str">
            <v>指无可锻性铸铁制品，包括灰铸铁、球墨铸铁、可锻铸铁、特种铸铁制品（包括耐热、耐磨、耐蚀铸铁件）、工业用灰铸铁制品（指工业领域中各行业、如汽车、机床、重型机械、工程机城、通用机械、轻工机械、纺织机械、石化机械、航天、航空、电站、造船、机车车辆等行业用铸铁件）、非工业用灰铸铁制品、工业用球墨铸铁制品、非工业用球墨铸铁制品、工业用可锻铸铁制品、非工业用可锻铸铁制品、消防用铸铁件、井盖井圈、供暖散热器、景观铸件等如消防栓及盖、火警柱；路旁栅栏、下水道及供水系统用铸件；电讯盖板、边侧防水盖板、进水井箅子、漏水箅子、下水道检查闸门、滤栅、阴沟盖及类似铸件等。</v>
          </cell>
          <cell r="G2244" t="str">
            <v>普通机械制造业</v>
          </cell>
        </row>
        <row r="2245">
          <cell r="E2245" t="str">
            <v>铸钢件</v>
          </cell>
          <cell r="F2245" t="str">
            <v>指工业领域中各行业如汽车、机床、重型机械、工程机械、通用机械、轻工机械、纺织机械、石化机械、航天、航空、电站、造船机车车辆等行业用铸钢件，包括碳钢铸钢件、合金钢铸钢件、不锈钢铸钢件。</v>
          </cell>
          <cell r="G2245" t="str">
            <v>普通机械制造业</v>
          </cell>
        </row>
        <row r="2246">
          <cell r="E2246" t="str">
            <v>铜铸件</v>
          </cell>
          <cell r="F2246" t="str">
            <v>包括工业用铜铸件、非工业用铜铸件。</v>
          </cell>
          <cell r="G2246" t="str">
            <v>普通机械制造业</v>
          </cell>
        </row>
        <row r="2247">
          <cell r="E2247" t="str">
            <v>铝铸件</v>
          </cell>
          <cell r="F2247" t="str">
            <v>包括工业用铝铸件、非工业用铝铸件。</v>
          </cell>
          <cell r="G2247" t="str">
            <v>普通机械制造业</v>
          </cell>
        </row>
        <row r="2248">
          <cell r="E2248" t="str">
            <v>锌铸件</v>
          </cell>
          <cell r="F2248" t="str">
            <v>无说明</v>
          </cell>
          <cell r="G2248" t="str">
            <v>普通机械制造业</v>
          </cell>
        </row>
        <row r="2249">
          <cell r="E2249" t="str">
            <v>镁铸件</v>
          </cell>
          <cell r="F2249" t="str">
            <v>无说明</v>
          </cell>
          <cell r="G2249" t="str">
            <v>普通机械制造业</v>
          </cell>
        </row>
        <row r="2250">
          <cell r="E2250" t="str">
            <v>其他金属铸件</v>
          </cell>
          <cell r="F2250" t="str">
            <v>无说明</v>
          </cell>
          <cell r="G2250" t="str">
            <v>普通机械制造业</v>
          </cell>
        </row>
        <row r="2251">
          <cell r="E2251" t="str">
            <v>锻件</v>
          </cell>
          <cell r="F2251" t="str">
            <v>包括模锻件（指在模锻锤、无砧座锤、模锻压机等锻造设备上闭模成形锻件）、自由锻件（指在自由锻锤、自由锻压机、快锻压机等锻造设备上开模、胎模成形锻件及钢锭、钢坯的开坯锻坯件等）、钢锭、钢坯开坯（各种锻材）、其他自由锻件、冷锻件、特殊成形锻件（指旋压成形、辊锻成形、环轧成形等特殊成形工艺成形的锻件）、有色金属锻件、铜锻件、铝锻件、钛合金锻件、其他有色金属锻件。</v>
          </cell>
          <cell r="G2251" t="str">
            <v>普通机械制造业</v>
          </cell>
        </row>
        <row r="2252">
          <cell r="E2252" t="str">
            <v>冲压件、钣金件</v>
          </cell>
          <cell r="F2252" t="str">
            <v>包括冲压件、拉深件、冲裁件、其他冲压件（包括黑色金属和有色金属制品件）、钣金件、汽车、摩托车等运输机械钣金件、其他钣金件。</v>
          </cell>
          <cell r="G2252" t="str">
            <v>普通机械制造业</v>
          </cell>
        </row>
        <row r="2253">
          <cell r="E2253" t="str">
            <v>粉末冶金零件</v>
          </cell>
          <cell r="F2253" t="str">
            <v>包括粉末冶金结构件、粉末冶金含油轴承、粉末冶金双金属制品、粉末冶金摩擦片、粉末冶金软、硬磁性零件。</v>
          </cell>
          <cell r="G2253" t="str">
            <v>普通机械制造业</v>
          </cell>
        </row>
        <row r="2254">
          <cell r="E2254" t="str">
            <v>其他通用设备和零件</v>
          </cell>
          <cell r="F2254" t="str">
            <v>包括砑光机及类似机械、平整机、砑光机（包括橡胶砑光机、塑料砑光机、造纸砑光机等）、其他砑光机及类似机械（指其他滚压机械）、其他未列明通用设备、砑光机零件、滚筒、滚压机械零件、其他未列明通用设备用零件（包括非自动润滑脂壶、加脂嘴、手轮、杠杆及手柄、安全防护罩及底板、油封环、其他通用机械设备用零件）。</v>
          </cell>
          <cell r="G2254" t="str">
            <v>普通机械制造业</v>
          </cell>
        </row>
        <row r="2255">
          <cell r="E2255" t="str">
            <v>建井设备</v>
          </cell>
          <cell r="F2255" t="str">
            <v>包括钻井机、平巷掘进机、天井掘进设备、伞形钻架、抓岩机、其他建井设备</v>
          </cell>
          <cell r="G2255" t="str">
            <v>普通机械制造业</v>
          </cell>
        </row>
        <row r="2256">
          <cell r="E2256" t="str">
            <v>采掘、凿岩设备</v>
          </cell>
          <cell r="F2256" t="str">
            <v>包括凿岩机、矿用钻车、钻孔设备、穿孔设备、装药填充设备、矿用挖掘机、装岩机、矿用铲斗式装载机、矿用装运机、矿用地下铲运机、矿用连续式装载机、矿车翻车机、刨煤机、截煤机、采掘辅助设备、其他采掘凿岩设备</v>
          </cell>
          <cell r="G2256" t="str">
            <v>普通机械制造业</v>
          </cell>
        </row>
        <row r="2257">
          <cell r="E2257" t="str">
            <v>矿山提升设备</v>
          </cell>
          <cell r="F2257" t="str">
            <v>包括矿山提升设备、矿用提升绞车、矿用辅助绞车、其他矿山提升设备</v>
          </cell>
          <cell r="G2257" t="str">
            <v>普通机械制造业</v>
          </cell>
        </row>
        <row r="2258">
          <cell r="E2258" t="str">
            <v>矿物破碎机械</v>
          </cell>
          <cell r="F2258" t="str">
            <v>包括颚式破碎机、旋回破碎机、圆锥破碎机、辊式破碎机、锤式破碎机、旋盘破碎机、反击式破碎机、立式复合破碎机、立式冲击破碎机、辊压机、破碎筛分联合设备（破碎站）、其他矿物破碎机械</v>
          </cell>
          <cell r="G2258" t="str">
            <v>普通机械制造业</v>
          </cell>
        </row>
        <row r="2259">
          <cell r="E2259" t="str">
            <v>矿物粉磨机械</v>
          </cell>
          <cell r="F2259" t="str">
            <v>包括球、棒磨机、自（半）磨机、振动磨机、钢球磨煤机、辊盘式磨煤机、风扇磨煤机、微介质水泥磨机、摆式磨粉机（雷蒙磨）、砾磨机、管磨机、立式水泥磨机、其他矿物磨粉机械</v>
          </cell>
          <cell r="G2259" t="str">
            <v>普通机械制造业</v>
          </cell>
        </row>
        <row r="2260">
          <cell r="E2260" t="str">
            <v>矿物筛分、洗选设备</v>
          </cell>
          <cell r="F2260" t="str">
            <v>包括振动筛、分级设备、磁选设备、浮选设备、重力选矿设备、脱水设备、其他矿物筛分设备、其他矿物洗选设备</v>
          </cell>
          <cell r="G2260" t="str">
            <v>普通机械制造业</v>
          </cell>
        </row>
        <row r="2261">
          <cell r="E2261" t="str">
            <v>矿山用牵引车及其矿车</v>
          </cell>
          <cell r="F2261" t="str">
            <v>包括露天矿用移设车、地下矿用车辆、其他矿山用牵引车及矿车</v>
          </cell>
          <cell r="G2261" t="str">
            <v>普通机械制造业</v>
          </cell>
        </row>
        <row r="2262">
          <cell r="E2262" t="str">
            <v>矿山设备专用配套件</v>
          </cell>
          <cell r="F2262" t="str">
            <v>指专用配套附（配）件</v>
          </cell>
          <cell r="G2262" t="str">
            <v>普通机械制造业</v>
          </cell>
        </row>
        <row r="2263">
          <cell r="E2263" t="str">
            <v>其他矿山专用设备</v>
          </cell>
          <cell r="F2263" t="str">
            <v>无说明</v>
          </cell>
          <cell r="G2263" t="str">
            <v>普通机械制造业</v>
          </cell>
        </row>
        <row r="2264">
          <cell r="E2264" t="str">
            <v>石油钻井设备</v>
          </cell>
          <cell r="F2264" t="str">
            <v>包括陆地石油钻机、海洋石油钻采设备</v>
          </cell>
          <cell r="G2264" t="str">
            <v>普通机械制造业</v>
          </cell>
        </row>
        <row r="2265">
          <cell r="E2265" t="str">
            <v>采油设备</v>
          </cell>
          <cell r="F2265" t="str">
            <v>指在经济有效的前提下，最大限度地把原油从油层中抽到地面上来所需要的设备；陆地采油设备包括抽油机有杆泵、潜油电动离心泵、水力活塞泵、射流泵等；海上采油设备是指专门为海上采油而设计的装置（平台或浮船）；按种类可分为固定式和移动式两种；固定式采油平台分为人工岛和固定式平台两类；移动式采油平台又可分为移动式采油平台（简称MPI）和移动式采油储油平台（简称MPSU）等；不包括开采近海油田或天然气田的固定式平台（详见109020201）。</v>
          </cell>
          <cell r="G2265" t="str">
            <v>普通机械制造业</v>
          </cell>
        </row>
        <row r="2266">
          <cell r="E2266" t="str">
            <v>修井设备</v>
          </cell>
          <cell r="F2266" t="str">
            <v>系列修井机、其他修井设备</v>
          </cell>
          <cell r="G2266" t="str">
            <v>普通机械制造业</v>
          </cell>
        </row>
        <row r="2267">
          <cell r="E2267" t="str">
            <v>固井压裂设备</v>
          </cell>
          <cell r="F2267" t="str">
            <v>包括泥浆固控系统、泥浆振动筛、防喷器及井口装置、除砂清洁器、泥浆清洁器、真空除气器、圆弧齿蜗轮泥浆搅拌器、砂泵、其他固井压裂设备</v>
          </cell>
          <cell r="G2267" t="str">
            <v>普通机械制造业</v>
          </cell>
        </row>
        <row r="2268">
          <cell r="E2268" t="str">
            <v>原油稳定站专用设备</v>
          </cell>
          <cell r="F2268" t="str">
            <v>包括普通型高效分水器、智能型高效分水器、油井多项存储收集器、其他原油稳定站专用设备</v>
          </cell>
          <cell r="G2268" t="str">
            <v>普通机械制造业</v>
          </cell>
        </row>
        <row r="2269">
          <cell r="E2269" t="str">
            <v>石油专用工程车辆设备</v>
          </cell>
          <cell r="F2269" t="str">
            <v>包括石油测井车、石油压裂车、石油混砂车、其他石油专用工程车辆设备</v>
          </cell>
          <cell r="G2269" t="str">
            <v>普通机械制造业</v>
          </cell>
        </row>
        <row r="2270">
          <cell r="E2270" t="str">
            <v>石油测井仪器设备</v>
          </cell>
          <cell r="F2270" t="str">
            <v>包括双侧向测井仪、双感应-球形聚焦测井仪、微球型聚焦测井仪、高分辨率声波测井仪、声波变密度测井仪、自然伽马测井仪、补偿中子测井仪、小井眼系列测井仪、其他石油测井仪器设备</v>
          </cell>
          <cell r="G2270" t="str">
            <v>普通机械制造业</v>
          </cell>
        </row>
        <row r="2271">
          <cell r="E2271" t="str">
            <v>石油钻井工具</v>
          </cell>
          <cell r="F2271" t="str">
            <v>包括井上工具、井下工具</v>
          </cell>
          <cell r="G2271" t="str">
            <v>普通机械制造业</v>
          </cell>
        </row>
        <row r="2272">
          <cell r="E2272" t="str">
            <v>石油钻探、开采专用设备零件</v>
          </cell>
          <cell r="F2272" t="str">
            <v>包括石油或天然气钻机零件，其他石油钻探、开采专用设备零件</v>
          </cell>
          <cell r="G2272" t="str">
            <v>普通机械制造业</v>
          </cell>
        </row>
        <row r="2273">
          <cell r="E2273" t="str">
            <v>挖掘、铲土运输机械</v>
          </cell>
          <cell r="F2273" t="str">
            <v>包括挖掘机、推土机、平地机、铲运机、装载机、机械铲、路面开凿机、非自推进铲运机、其他挖掘、铲土运输机械。</v>
          </cell>
          <cell r="G2273" t="str">
            <v>专用设备制造业</v>
          </cell>
        </row>
        <row r="2274">
          <cell r="E2274" t="str">
            <v>压实机械</v>
          </cell>
          <cell r="F2274" t="str">
            <v>包括机动压路机、非机动压路机、打夯机、其他压实机械</v>
          </cell>
          <cell r="G2274" t="str">
            <v>专用设备制造业</v>
          </cell>
        </row>
        <row r="2275">
          <cell r="E2275" t="str">
            <v>捣固机（车）</v>
          </cell>
          <cell r="F2275" t="str">
            <v>包括机动捣固机、捣固车（建筑工程用）、非自推进式捣固机等</v>
          </cell>
          <cell r="G2275" t="str">
            <v>专用设备制造业</v>
          </cell>
        </row>
        <row r="2276">
          <cell r="E2276" t="str">
            <v>工程钻机</v>
          </cell>
          <cell r="F2276" t="str">
            <v>包括锚固工程钻机、锚杆旋喷工程钻机、冲击式工程钻机、回旋工程钻机、三轴深搅工程钻机、其他工程钻机</v>
          </cell>
          <cell r="G2276" t="str">
            <v>专用设备制造业</v>
          </cell>
        </row>
        <row r="2277">
          <cell r="E2277" t="str">
            <v>桩工机械</v>
          </cell>
          <cell r="F2277" t="str">
            <v>包括打桩机、拔桩机、压桩机、打桩锤、柴油锤打桩架、其他桩工机械</v>
          </cell>
          <cell r="G2277" t="str">
            <v>专用设备制造业</v>
          </cell>
        </row>
        <row r="2278">
          <cell r="E2278" t="str">
            <v>公共工程用机械</v>
          </cell>
          <cell r="F2278" t="str">
            <v>包括摊铺机械、筑路机械、线路铺装机械、扫雪设备、管道疏通机械、其他公共工程用机械，不包括垃圾车（详见1090306），及其他类似的市政环卫车辆（详见109030702）。</v>
          </cell>
          <cell r="G2278" t="str">
            <v>专用设备制造业</v>
          </cell>
        </row>
        <row r="2279">
          <cell r="E2279" t="str">
            <v>建筑工程用货运自卸车</v>
          </cell>
          <cell r="F2279" t="str">
            <v>不包括垃圾车（详见1090306）。</v>
          </cell>
          <cell r="G2279" t="str">
            <v>专用设备制造业</v>
          </cell>
        </row>
        <row r="2280">
          <cell r="E2280" t="str">
            <v>混凝土机械</v>
          </cell>
          <cell r="F2280" t="str">
            <v>包括混凝土泵、混凝土泵车、混凝土搅拌车、散装水泥车、布料杆、其他混凝土机械</v>
          </cell>
          <cell r="G2280" t="str">
            <v>专用设备制造业</v>
          </cell>
        </row>
        <row r="2281">
          <cell r="E2281" t="str">
            <v>建筑工程用机械零件</v>
          </cell>
          <cell r="F2281" t="str">
            <v>包括推土机机铲、挖掘机用铲、其他建筑工程用机械零件</v>
          </cell>
          <cell r="G2281" t="str">
            <v>专用设备制造业</v>
          </cell>
        </row>
        <row r="2282">
          <cell r="E2282" t="str">
            <v>水泥专用设备</v>
          </cell>
          <cell r="F2282" t="str">
            <v>包括水泥生产的全套设备及散装水泥专用设备</v>
          </cell>
          <cell r="G2282" t="str">
            <v>普通机械制造业</v>
          </cell>
        </row>
        <row r="2283">
          <cell r="E2283" t="str">
            <v>建筑材料专用窑炉</v>
          </cell>
          <cell r="F2283" t="str">
            <v>窑外分解窑、干法回转窑、其他水泥回转窑、混凝土砌块（砖）生产用养护窑、其他砖瓦生产专用窑炉。不包括粉碎、磨粉等通用设备</v>
          </cell>
          <cell r="G2283" t="str">
            <v>普通机械制造业</v>
          </cell>
        </row>
        <row r="2284">
          <cell r="E2284" t="str">
            <v>平板玻璃制造及深加工机械</v>
          </cell>
          <cell r="F2284" t="str">
            <v>包括平板玻璃制造机械、平板玻璃深加工设备、其他平板玻璃及深加工制造机械</v>
          </cell>
          <cell r="G2284" t="str">
            <v>普通机械制造业</v>
          </cell>
        </row>
        <row r="2285">
          <cell r="E2285" t="str">
            <v>玻璃纤维加工机械</v>
          </cell>
          <cell r="F2285" t="str">
            <v>包括光导纤维生产机械、玻璃纤维专用加工机械、其他玻璃纤维加工机械</v>
          </cell>
          <cell r="G2285" t="str">
            <v>普通机械制造业</v>
          </cell>
        </row>
        <row r="2286">
          <cell r="E2286" t="str">
            <v>建筑卫生陶瓷机械</v>
          </cell>
          <cell r="F2286" t="str">
            <v>包括原料制备设备、建筑陶瓷机械、卫生陶瓷机械等</v>
          </cell>
          <cell r="G2286" t="str">
            <v>普通机械制造业</v>
          </cell>
        </row>
        <row r="2287">
          <cell r="E2287" t="str">
            <v>复合材料成型设备</v>
          </cell>
          <cell r="F2287" t="str">
            <v>包括缠绕机、拉挤机、连续制板机、其他复合材料成型设备</v>
          </cell>
          <cell r="G2287" t="str">
            <v>普通机械制造业</v>
          </cell>
        </row>
        <row r="2288">
          <cell r="E2288" t="str">
            <v>非金属矿物混合搅拌机械</v>
          </cell>
          <cell r="F2288" t="str">
            <v>包括混凝土配料机、混凝土或砂浆混合机、混凝土搅拌机（站）、沥青混凝土搅拌设备、干粉砂浆生产设备、双混式干混砂浆生产设备、矿石混合机、其他非金属矿物混合搅拌机械</v>
          </cell>
          <cell r="G2288" t="str">
            <v>普通机械制造业</v>
          </cell>
        </row>
        <row r="2289">
          <cell r="E2289" t="str">
            <v>建筑材料制品成型机械</v>
          </cell>
          <cell r="F2289" t="str">
            <v>包括制管机械、非配筋小型混凝土块材生产机械、烧结类制砖生产机械、加气混凝土装备、瓦片模压机、石棉瓦设备、路面砖、路缘石成型机、电杆及类似制品成型机械、轻质隔墙体板成型设备、石膏制品模制成型机械、人工制砂成型机械、防水材料加工成型设备、保温绝热材料加工设备、其他建筑材料制品成型机械</v>
          </cell>
          <cell r="G2289" t="str">
            <v>普通机械制造业</v>
          </cell>
        </row>
        <row r="2290">
          <cell r="E2290" t="str">
            <v>矿石烘干机</v>
          </cell>
          <cell r="F2290" t="str">
            <v>包括转筒烘干机、转筒干燥机、矿用烘干机、矿石干燥机、其他矿石烘干机</v>
          </cell>
          <cell r="G2290" t="str">
            <v>普通机械制造业</v>
          </cell>
        </row>
        <row r="2291">
          <cell r="E2291" t="str">
            <v>石材加工机床</v>
          </cell>
          <cell r="F2291" t="str">
            <v>包括石材加工锯床、石材研磨及抛光机床、石材板材薄板生产线设备、其他石材加工机床</v>
          </cell>
          <cell r="G2291" t="str">
            <v>普通机械制造业</v>
          </cell>
        </row>
        <row r="2292">
          <cell r="E2292" t="str">
            <v>建筑材料及制品专用机械零件</v>
          </cell>
          <cell r="F2292" t="str">
            <v>包括平板玻璃制造及深加工机械零件、其他建筑材料及制品专用机械零件</v>
          </cell>
          <cell r="G2292" t="str">
            <v>普通机械制造业</v>
          </cell>
        </row>
        <row r="2293">
          <cell r="E2293" t="str">
            <v>玻璃制品制造机械</v>
          </cell>
          <cell r="F2293" t="str">
            <v>包括玻璃热加工机械、压制玻璃器皿专用机械、玻璃吹制机械、其他玻璃制品制造机械</v>
          </cell>
          <cell r="G2293" t="str">
            <v>普通机械制造业</v>
          </cell>
        </row>
        <row r="2294">
          <cell r="E2294" t="str">
            <v>玻璃材料加工机床</v>
          </cell>
          <cell r="F2294" t="str">
            <v>包括玻璃冷加工机床、其他玻璃材料加工机床</v>
          </cell>
          <cell r="G2294" t="str">
            <v>普通机械制造业</v>
          </cell>
        </row>
        <row r="2295">
          <cell r="E2295" t="str">
            <v>日用陶瓷制品成型机械</v>
          </cell>
          <cell r="F2295" t="str">
            <v>指日用陶瓷坯泥粘聚或成型机械</v>
          </cell>
          <cell r="G2295" t="str">
            <v>普通机械制造业</v>
          </cell>
        </row>
        <row r="2296">
          <cell r="E2296" t="str">
            <v>玻璃、陶瓷制品专用设备零件</v>
          </cell>
          <cell r="F2296" t="str">
            <v>包括玻璃冷加工机床零件、附件，其他玻璃、陶瓷制品专用设备零件。</v>
          </cell>
          <cell r="G2296" t="str">
            <v>普通机械制造业</v>
          </cell>
        </row>
        <row r="2297">
          <cell r="E2297" t="str">
            <v>金属冶炼设备</v>
          </cell>
          <cell r="F2297" t="str">
            <v>包括造块设备、炼焦设备、炼铁设备、炼钢设备、铁合金冶炼设备、有色金属冶炼设备等</v>
          </cell>
          <cell r="G2297" t="str">
            <v>普通机械制造业</v>
          </cell>
        </row>
        <row r="2298">
          <cell r="E2298" t="str">
            <v>铸造机械</v>
          </cell>
          <cell r="F2298" t="str">
            <v>包括连续铸钢设备、铸锭设备、铸造机、铸砂造型制芯机、自动造型线、砂处理机、铸造清理机、熔炼浇注设备、金属型压铸机、砂芯或铸模烘干炉、铸造工具、其他铸造机械</v>
          </cell>
          <cell r="G2298" t="str">
            <v>普通机械制造业</v>
          </cell>
        </row>
        <row r="2299">
          <cell r="E2299" t="str">
            <v>金属轧制设备</v>
          </cell>
          <cell r="F2299" t="str">
            <v>包括开坯轧机、板带材轧机、无缝钢管轧机、型材轧机、线材轧机、特殊轧机、轧材精整设备（轧机辅机设备）、轧材深加工设备等</v>
          </cell>
          <cell r="G2299" t="str">
            <v>普通机械制造业</v>
          </cell>
        </row>
        <row r="2300">
          <cell r="E2300" t="str">
            <v>冶金专用有轨车辆</v>
          </cell>
          <cell r="F2300" t="str">
            <v>指专门为冶金企业生产配套的运送冶炼材料或其他功能的专用有轨车辆</v>
          </cell>
          <cell r="G2300" t="str">
            <v>普通机械制造业</v>
          </cell>
        </row>
        <row r="2301">
          <cell r="E2301" t="str">
            <v>冶金专用设备配套件</v>
          </cell>
          <cell r="F2301" t="str">
            <v>指专用配套附（配）件，包括金属冶炼设备配套件、铸锭及连铸机用配套件、金属轧制设备用配套件、冶金专用有轨车辆配套件、其他冶金专用设备配套件</v>
          </cell>
          <cell r="G2301" t="str">
            <v>普通机械制造业</v>
          </cell>
        </row>
        <row r="2302">
          <cell r="E2302" t="str">
            <v>其他冶金专用设备</v>
          </cell>
          <cell r="F2302" t="str">
            <v>无说明</v>
          </cell>
          <cell r="G2302" t="str">
            <v>普通机械制造业</v>
          </cell>
        </row>
        <row r="2303">
          <cell r="E2303" t="str">
            <v>塔类设备</v>
          </cell>
          <cell r="F2303" t="str">
            <v>包括板式塔（包括筛板、浮网、泡罩）、填料塔、焦炭塔、干燥塔、冷却塔、造粒塔</v>
          </cell>
          <cell r="G2303" t="str">
            <v>普通机械制造业</v>
          </cell>
        </row>
        <row r="2304">
          <cell r="E2304" t="str">
            <v>反应器（釜）</v>
          </cell>
          <cell r="F2304" t="str">
            <v>包括高压反应釜、聚合釜、烷化歧化反应釜、树脂反应釜、回转筒式反应器、多功能分散反应釜、石油化工用加氢反应器、其他反应器（釜）</v>
          </cell>
          <cell r="G2304" t="str">
            <v>普通机械制造业</v>
          </cell>
        </row>
        <row r="2305">
          <cell r="E2305" t="str">
            <v>化工专用炉</v>
          </cell>
          <cell r="F2305" t="str">
            <v>包括变换炉、蒸汽煅烧炉、合成炉、乙烯裂解炉、电石炉、电烷化炉、废热锅炉、沸腾干氨炉、沸腾凉碱炉、其他化工专用炉</v>
          </cell>
          <cell r="G2305" t="str">
            <v>普通机械制造业</v>
          </cell>
        </row>
        <row r="2306">
          <cell r="E2306" t="str">
            <v>混合搅拌设备</v>
          </cell>
          <cell r="F2306" t="str">
            <v>包括搅拌器（碳钢、碳钢制衬不锈钢、不锈钢）</v>
          </cell>
          <cell r="G2306" t="str">
            <v>普通机械制造业</v>
          </cell>
        </row>
        <row r="2307">
          <cell r="E2307" t="str">
            <v>化工用液体运送机械</v>
          </cell>
          <cell r="F2307" t="str">
            <v>包括液环泵、化工用屏蔽泵、内圆弧齿轮输送泵、高粘度旋转活塞泵、蜗壳辐流泵、循环水泵、陶瓷清液泵、其他化工用液体运送机械</v>
          </cell>
          <cell r="G2307" t="str">
            <v>普通机械制造业</v>
          </cell>
        </row>
        <row r="2308">
          <cell r="E2308" t="str">
            <v>橡胶前加工机械</v>
          </cell>
          <cell r="F2308" t="str">
            <v>包括橡胶破碎、搅拌、研磨、筛选、均化机械</v>
          </cell>
          <cell r="G2308" t="str">
            <v>普通机械制造业</v>
          </cell>
        </row>
        <row r="2309">
          <cell r="E2309" t="str">
            <v>橡胶初加工机械</v>
          </cell>
          <cell r="F2309" t="str">
            <v>包括约片机、压片机（橡胶加工用）、压薄机、选粒机、胶乳凝固槽、洗涤机等</v>
          </cell>
          <cell r="G2309" t="str">
            <v>普通机械制造业</v>
          </cell>
        </row>
        <row r="2310">
          <cell r="E2310" t="str">
            <v>炼胶机械</v>
          </cell>
          <cell r="F2310" t="str">
            <v>指橡胶或塑料等用的一种加工机械设备；主要供塑炼或混炼胶料之用；常用的油开放式炼胶机和密闭式炼胶机等；包括翻新炼胶机械。不包括再生橡胶精炼机（详见109020809）。</v>
          </cell>
          <cell r="G2310" t="str">
            <v>普通机械制造业</v>
          </cell>
        </row>
        <row r="2311">
          <cell r="E2311" t="str">
            <v>橡胶挤出机</v>
          </cell>
          <cell r="F2311" t="str">
            <v>指热塑性塑料和橡胶主要加工成型的设备；将原料由挤出机的加料漏斗连续加入加热的料筒中，软化后借料筒内螺旋杆的作用，电机头口型挤出，经冷却定形，成为一定形状的连续制品，如管、棒、板等；包括橡胶胎面挤出机</v>
          </cell>
          <cell r="G2311" t="str">
            <v>普通机械制造业</v>
          </cell>
        </row>
        <row r="2312">
          <cell r="E2312" t="str">
            <v>橡胶压延机械</v>
          </cell>
          <cell r="F2312" t="str">
            <v>指将混炼胶（或塑料）进行压片或压型的一种机械设备；根据用途可分为下列主要类型：⑴压型压延机，用以将胶料压成一定厚度和一定断面形状；⑵万能压延机，能进行擦胶、贴胶和压片各项工作；⑶实验用压延机，供试验用</v>
          </cell>
          <cell r="G2312" t="str">
            <v>普通机械制造业</v>
          </cell>
        </row>
        <row r="2313">
          <cell r="E2313" t="str">
            <v>橡胶注射机</v>
          </cell>
          <cell r="F2313" t="str">
            <v>简称注射机，主要用于生产密封圈、防震垫、防尘罩、电器绝缘零件、瓶塞、鞋底、工矿雨鞋、吸尘软管、劳保手套以及热水袋和气门嘴胶垫等橡胶模型制品</v>
          </cell>
          <cell r="G2313" t="str">
            <v>普通机械制造业</v>
          </cell>
        </row>
        <row r="2314">
          <cell r="E2314" t="str">
            <v>橡胶成型压力机</v>
          </cell>
          <cell r="F2314" t="str">
            <v>指将混炼胶（或塑料）进行压型的一种机械设备，包括充气轮胎模塑成型机、力车胎成型机、胶管成型机、橡胶带成组成型机、胶球成型机、其他橡胶成型压力机</v>
          </cell>
          <cell r="G2314" t="str">
            <v>普通机械制造业</v>
          </cell>
        </row>
        <row r="2315">
          <cell r="E2315" t="str">
            <v>橡胶硫化设备</v>
          </cell>
          <cell r="F2315" t="str">
            <v>在橡胶工业中，指生橡胶与硫磺和促进剂等在一定的温度和压力下作用而成熟橡胶的加工设备</v>
          </cell>
          <cell r="G2315" t="str">
            <v>普通机械制造业</v>
          </cell>
        </row>
        <row r="2316">
          <cell r="E2316" t="str">
            <v>再生橡胶设备</v>
          </cell>
          <cell r="F2316" t="str">
            <v>包括破胶机、橡胶精炼机、其他再生橡胶设备</v>
          </cell>
          <cell r="G2316" t="str">
            <v>普通机械制造业</v>
          </cell>
        </row>
        <row r="2317">
          <cell r="E2317" t="str">
            <v>裁切橡胶专用机械</v>
          </cell>
          <cell r="F2317" t="str">
            <v>包括胶丝切割机、单刀切胶机、橡胶定长裁断装置、内胎阀孔切割机、海绵滚切机、橡胶切条机、衬里片割机、其他裁切橡胶专用机械</v>
          </cell>
          <cell r="G2317" t="str">
            <v>普通机械制造业</v>
          </cell>
        </row>
        <row r="2318">
          <cell r="E2318" t="str">
            <v>橡胶制品卷绕、包覆机械</v>
          </cell>
          <cell r="F2318" t="str">
            <v>指橡胶轮胎、管件卷绕、包覆机械</v>
          </cell>
          <cell r="G2318" t="str">
            <v>普通机械制造业</v>
          </cell>
        </row>
        <row r="2319">
          <cell r="E2319" t="str">
            <v>橡胶干燥、去水、刺孔机械</v>
          </cell>
          <cell r="F2319" t="str">
            <v>包括辊式干燥机、螺杆去水机、转筒式脱胶罐</v>
          </cell>
          <cell r="G2319" t="str">
            <v>普通机械制造业</v>
          </cell>
        </row>
        <row r="2320">
          <cell r="E2320" t="str">
            <v>橡胶制品加工机械</v>
          </cell>
          <cell r="F2320" t="str">
            <v>包括二爪加重式扩胎机、内胎接头机、轮胎胎胚刺孔机、胶管穿管机、吸引胶管解绳机、吸引胶管解水布机、其他橡胶制品加工机械</v>
          </cell>
          <cell r="G2320" t="str">
            <v>普通机械制造业</v>
          </cell>
        </row>
        <row r="2321">
          <cell r="E2321" t="str">
            <v>橡胶专用生产设备零件</v>
          </cell>
          <cell r="F2321" t="str">
            <v>包括炼胶辊、其他橡胶专用生产设备零件</v>
          </cell>
          <cell r="G2321" t="str">
            <v>普通机械制造业</v>
          </cell>
        </row>
        <row r="2322">
          <cell r="E2322" t="str">
            <v>注塑机</v>
          </cell>
          <cell r="F2322" t="str">
            <v>不包括用于光盘的精密注塑机（详见109022301）。</v>
          </cell>
          <cell r="G2322" t="str">
            <v>普通机械制造业</v>
          </cell>
        </row>
        <row r="2323">
          <cell r="E2323" t="str">
            <v>挤塑机</v>
          </cell>
          <cell r="F2323" t="str">
            <v>包括单螺杆挤出机、双螺杆挤出机、组合式挤出机、双阶式挤出机、往复式挤出机、塑料造粒机、其他挤塑机</v>
          </cell>
          <cell r="G2323" t="str">
            <v>普通机械制造业</v>
          </cell>
        </row>
        <row r="2324">
          <cell r="E2324" t="str">
            <v>吹塑机</v>
          </cell>
          <cell r="F2324" t="str">
            <v>包括塑料吹瓶机、自动模内贴标机、其他吹塑机</v>
          </cell>
          <cell r="G2324" t="str">
            <v>普通机械制造业</v>
          </cell>
        </row>
        <row r="2325">
          <cell r="E2325" t="str">
            <v>塑料成型机械</v>
          </cell>
          <cell r="F2325" t="str">
            <v>包括塑料中空成型机、塑料压延成型机、压塑机、滚塑机、发泡成型机、真空模塑机、其他塑料成型机械</v>
          </cell>
          <cell r="G2325" t="str">
            <v>普通机械制造业</v>
          </cell>
        </row>
        <row r="2326">
          <cell r="E2326" t="str">
            <v>塑料破碎、研磨、筛选、均化机械</v>
          </cell>
          <cell r="F2326" t="str">
            <v>包括塑料破碎机、塑料研磨机、塑料搅拌机、塑料切粒机、其他塑料筛选、均化机械</v>
          </cell>
          <cell r="G2326" t="str">
            <v>普通机械制造业</v>
          </cell>
        </row>
        <row r="2327">
          <cell r="E2327" t="str">
            <v>塑料二次加工机械</v>
          </cell>
          <cell r="F2327" t="str">
            <v>包括塑料热成型机、塑料真空蒸镀机、塑料异型材拼装机械、其他塑料二次加工机械</v>
          </cell>
          <cell r="G2327" t="str">
            <v>普通机械制造业</v>
          </cell>
        </row>
        <row r="2328">
          <cell r="E2328" t="str">
            <v>塑料加工辅助机械或装置</v>
          </cell>
          <cell r="F2328" t="str">
            <v>包括自动计量供料装置、塑料边角料自动回收装置、注塑制品自动取出装置、注塑模具冷却机等</v>
          </cell>
          <cell r="G2328" t="str">
            <v>普通机械制造业</v>
          </cell>
        </row>
        <row r="2329">
          <cell r="E2329" t="str">
            <v>连续混炼挤出造粒机</v>
          </cell>
          <cell r="F2329" t="str">
            <v>无说明</v>
          </cell>
          <cell r="G2329" t="str">
            <v>普通机械制造业</v>
          </cell>
        </row>
        <row r="2330">
          <cell r="E2330" t="str">
            <v>塑料加工专用设备零件</v>
          </cell>
          <cell r="F2330" t="str">
            <v>无说明</v>
          </cell>
          <cell r="G2330" t="str">
            <v>普通机械制造业</v>
          </cell>
        </row>
        <row r="2331">
          <cell r="E2331" t="str">
            <v>木工机床</v>
          </cell>
          <cell r="F2331" t="str">
            <v>包括木材、软木加工机床</v>
          </cell>
          <cell r="G2331" t="str">
            <v>普通机械制造业</v>
          </cell>
        </row>
        <row r="2332">
          <cell r="E2332" t="str">
            <v>木质板材挤压加工机械</v>
          </cell>
          <cell r="F2332" t="str">
            <v>包括粘聚木纤维、木片、锯屑或软木粉用的挤压机、特种压力机等木材处理机</v>
          </cell>
          <cell r="G2332" t="str">
            <v>普通机械制造业</v>
          </cell>
        </row>
        <row r="2333">
          <cell r="E2333" t="str">
            <v>木材处理及制品加工机械</v>
          </cell>
          <cell r="F2333" t="str">
            <v>包括木材干燥机、木材剥皮去节机、喷水树皮剥离机、软木处理机、木粉磨制机械、制桶机、其他木材处理及制品加工机械</v>
          </cell>
          <cell r="G2333" t="str">
            <v>普通机械制造业</v>
          </cell>
        </row>
        <row r="2334">
          <cell r="E2334" t="str">
            <v>木材加工机械用零件、附件</v>
          </cell>
          <cell r="F2334" t="str">
            <v>包括木材加工机床、木材专用机械用零件、附件</v>
          </cell>
          <cell r="G2334" t="str">
            <v>普通机械制造业</v>
          </cell>
        </row>
        <row r="2335">
          <cell r="E2335" t="str">
            <v>金属铸造用型箱、型模底板</v>
          </cell>
          <cell r="F2335" t="str">
            <v>包括金属铸造用型箱、型模底板、阳模等</v>
          </cell>
          <cell r="G2335" t="str">
            <v>普通机械制造业</v>
          </cell>
        </row>
        <row r="2336">
          <cell r="E2336" t="str">
            <v>金属、硬质合金用模具</v>
          </cell>
          <cell r="F2336" t="str">
            <v>包括金属冲压模具、金属铸造模具、金属锻造模具、金属粉末冶金模具、丝模具、其他金属和硬质合金用模具</v>
          </cell>
          <cell r="G2336" t="str">
            <v>普通机械制造业</v>
          </cell>
        </row>
        <row r="2337">
          <cell r="E2337" t="str">
            <v>玻璃制品用模具</v>
          </cell>
          <cell r="F2337" t="str">
            <v>包括玻璃建筑材料用模具、制瓶模、中空玻璃器皿模具、璃绝缘子模具、玻璃加工成形模具、其他玻璃制品用模具</v>
          </cell>
          <cell r="G2337" t="str">
            <v>普通机械制造业</v>
          </cell>
        </row>
        <row r="2338">
          <cell r="E2338" t="str">
            <v>矿物材料用模具</v>
          </cell>
          <cell r="F2338" t="str">
            <v>包括陶瓷制品用模具、水泥制品用模具、砂轮成型模具、石膏制品用模具、灰泥制品用模具、其他矿物材料用模具</v>
          </cell>
          <cell r="G2338" t="str">
            <v>普通机械制造业</v>
          </cell>
        </row>
        <row r="2339">
          <cell r="E2339" t="str">
            <v>塑料用模具</v>
          </cell>
          <cell r="F2339" t="str">
            <v>包括塑料注射模、塑料压注模、塑料压缩模、塑料挤出模、塑封模、其他塑料用模具</v>
          </cell>
          <cell r="G2339" t="str">
            <v>普通机械制造业</v>
          </cell>
        </row>
        <row r="2340">
          <cell r="E2340" t="str">
            <v>橡胶用模具</v>
          </cell>
          <cell r="F2340" t="str">
            <v>包括橡胶注射模、橡胶压胶模、硫化轮胎用囊式模具、其他橡胶用模具</v>
          </cell>
          <cell r="G2340" t="str">
            <v>普通机械制造业</v>
          </cell>
        </row>
        <row r="2341">
          <cell r="E2341" t="str">
            <v>模架、模具标准件</v>
          </cell>
          <cell r="F2341" t="str">
            <v>指根据标准化的技术标准生产的模架、模具成型产品</v>
          </cell>
          <cell r="G2341" t="str">
            <v>普通机械制造业</v>
          </cell>
        </row>
        <row r="2342">
          <cell r="E2342" t="str">
            <v>其他模具</v>
          </cell>
          <cell r="F2342" t="str">
            <v>无说明</v>
          </cell>
          <cell r="G2342" t="str">
            <v>普通机械制造业</v>
          </cell>
        </row>
        <row r="2343">
          <cell r="E2343" t="str">
            <v>硬质材料加工机床及其零件</v>
          </cell>
          <cell r="F2343" t="str">
            <v>包括骨、硬橡胶、硬塑料等硬质材料加工机床</v>
          </cell>
          <cell r="G2343" t="str">
            <v>普通机械制造业</v>
          </cell>
        </row>
        <row r="2344">
          <cell r="E2344" t="str">
            <v>非金属相关成型、加工机械</v>
          </cell>
          <cell r="F2344" t="str">
            <v>包括非金属矿物材料成型机械，通用加料、分配装置，其他非金属相关成型、加工机械</v>
          </cell>
          <cell r="G2344" t="str">
            <v>普通机械制造业</v>
          </cell>
        </row>
        <row r="2345">
          <cell r="E2345" t="str">
            <v>烹煮、调制、腌制食品设备</v>
          </cell>
          <cell r="F2345" t="str">
            <v>包括烘炒设备、烹煮器、烹炸设备、食品工业用压热器、食品工业用冷却器、巴氏杀菌器以及其他烹煮、调制、腌制食品设备</v>
          </cell>
          <cell r="G2345" t="str">
            <v>普通机械制造业</v>
          </cell>
        </row>
        <row r="2346">
          <cell r="E2346" t="str">
            <v>食品用烤炉及烘箱</v>
          </cell>
          <cell r="F2346" t="str">
            <v>包括糕点、饼干、面包房用烤炉及烘箱</v>
          </cell>
          <cell r="G2346" t="str">
            <v>普通机械制造业</v>
          </cell>
        </row>
        <row r="2347">
          <cell r="E2347" t="str">
            <v>糕点、米面食品类加工专用机械</v>
          </cell>
          <cell r="F2347" t="str">
            <v>包括用于制造面包、饼干、糕点、通心粉、面条或类似产品生产机械</v>
          </cell>
          <cell r="G2347" t="str">
            <v>普通机械制造业</v>
          </cell>
        </row>
        <row r="2348">
          <cell r="E2348" t="str">
            <v>糖果生产专用机械</v>
          </cell>
          <cell r="F2348" t="str">
            <v>包括糖霜用碾磨、捣碎机，糖果拌和机，糖果拉条机，糖衣锅，糖果模制、切制或成形机，糖果滚压机械，其他糖果生产专用机械</v>
          </cell>
          <cell r="G2348" t="str">
            <v>普通机械制造业</v>
          </cell>
        </row>
        <row r="2349">
          <cell r="E2349" t="str">
            <v>可可及巧克力生产专用机械</v>
          </cell>
          <cell r="F2349" t="str">
            <v>包括咖啡豆去壳去皮机、可可豆脱壳去芽机械、可可豆碾粉机械、可可混合机、可可揉捏机及碾磨机、提取可可脂压榨机、可可粉用生产机械、可可脂可可粉糖等混合机械、巧克力均化处理机械、巧克力机压块及模制机、其他可可及巧克力生产专用机械</v>
          </cell>
          <cell r="G2349" t="str">
            <v>普通机械制造业</v>
          </cell>
        </row>
        <row r="2350">
          <cell r="E2350" t="str">
            <v>调味食品加工机械</v>
          </cell>
          <cell r="F2350" t="str">
            <v>指将调味食品原材料加工成成品或半成品的机械设备</v>
          </cell>
          <cell r="G2350" t="str">
            <v>普通机械制造业</v>
          </cell>
        </row>
        <row r="2351">
          <cell r="E2351" t="str">
            <v>其他食品制造机械</v>
          </cell>
          <cell r="F2351" t="str">
            <v>无说明</v>
          </cell>
          <cell r="G2351" t="str">
            <v>普通机械制造业</v>
          </cell>
        </row>
        <row r="2352">
          <cell r="E2352" t="str">
            <v>乳品分离、搅拌加工机械</v>
          </cell>
          <cell r="F2352" t="str">
            <v>包括奶油分离器、打碎及均化机、搅乳机、黄油加工机、搅乳加工联合机、乳品模制机械、奶酪压制机、均质机、奶粉喷粉机械，分离、净化、调脂三用机，其他乳品分离、搅拌加工机械</v>
          </cell>
          <cell r="G2352" t="str">
            <v>普通机械制造业</v>
          </cell>
        </row>
        <row r="2353">
          <cell r="E2353" t="str">
            <v>乳品加热及冷却设备</v>
          </cell>
          <cell r="F2353" t="str">
            <v>包括牛奶巴氏灭菌设备、牛奶浓缩设备、牛奶冷却设备、奶酪加工及熟化桶、多效蒸发器、乳品热交换器、人造黄油固化槽、其他乳品加热及冷却设备</v>
          </cell>
          <cell r="G2353" t="str">
            <v>普通机械制造业</v>
          </cell>
        </row>
        <row r="2354">
          <cell r="E2354" t="str">
            <v>其他乳品加工机械</v>
          </cell>
          <cell r="F2354" t="str">
            <v>无说明</v>
          </cell>
          <cell r="G2354" t="str">
            <v>普通机械制造业</v>
          </cell>
        </row>
        <row r="2355">
          <cell r="E2355" t="str">
            <v>原料压榨、轧碎机械</v>
          </cell>
          <cell r="F2355" t="str">
            <v>指制酒、果汁原料的压榨机、轧碎机械</v>
          </cell>
          <cell r="G2355" t="str">
            <v>普通机械制造业</v>
          </cell>
        </row>
        <row r="2356">
          <cell r="E2356" t="str">
            <v>酿酒设备</v>
          </cell>
          <cell r="F2356" t="str">
            <v>包括酿酒用催芽机、麦芽压榨机、麦芽浆桶、泄料桶、其他酿酒设备</v>
          </cell>
          <cell r="G2356" t="str">
            <v>普通机械制造业</v>
          </cell>
        </row>
        <row r="2357">
          <cell r="E2357" t="str">
            <v>制酒、饮料加热及冷却设备</v>
          </cell>
          <cell r="F2357" t="str">
            <v>指用以对制酒、果汁饮料材料进行加热、煮沸、烹煮、浓缩、蒸发、气化、冷却等简单处理的通用设备</v>
          </cell>
          <cell r="G2357" t="str">
            <v>普通机械制造业</v>
          </cell>
        </row>
        <row r="2358">
          <cell r="E2358" t="str">
            <v>醋化机械设备（制醋用）</v>
          </cell>
          <cell r="F2358" t="str">
            <v>无说明</v>
          </cell>
          <cell r="G2358" t="str">
            <v>普通机械制造业</v>
          </cell>
        </row>
        <row r="2359">
          <cell r="E2359" t="str">
            <v>其他酒及饮料加工机械</v>
          </cell>
          <cell r="F2359" t="str">
            <v>无说明</v>
          </cell>
          <cell r="G2359" t="str">
            <v>普通机械制造业</v>
          </cell>
        </row>
        <row r="2360">
          <cell r="E2360" t="str">
            <v>烟草加工机械</v>
          </cell>
          <cell r="F2360" t="str">
            <v>包括打叶复烤生产线、烟叶制丝生产线、烟用打叶复烤生产线、烟叶制丝生产线、烟用加温加湿机械、烟用解把机械、烟用除杂筛分机械、烟用叶梗分离机械、烟用烘烤机械、烟用预压打包机械、烟用开（拆）包机械、烟用叶片分切机械、烟用切丝机械、烟用烘丝机械、烟用冷却机械、烟用香精香料调配及加料加香机械、烟用压梗机械、烟丝膨胀机械、烟用输送机械、烟用储存机械、再造烟叶机械、烟用卷接机械、烟用包装机械、烟用滤棒成型机械、烟用装封箱机械、废烟支烟丝回收机械、其他烟草加工机械</v>
          </cell>
          <cell r="G2360" t="str">
            <v>普通机械制造业</v>
          </cell>
        </row>
        <row r="2361">
          <cell r="E2361" t="str">
            <v>采盐及盐加工机械</v>
          </cell>
          <cell r="F2361" t="str">
            <v>包括采盐机械、盐加工机械</v>
          </cell>
          <cell r="G2361" t="str">
            <v>普通机械制造业</v>
          </cell>
        </row>
        <row r="2362">
          <cell r="E2362" t="str">
            <v>制糖机械</v>
          </cell>
          <cell r="F2362" t="str">
            <v>包括甘蔗榨汁机械、甜菜榨糖机械、蔗糖加工机械、制糖用加热及冷却机械、提取糖或炼糖用机械、其他制糖机械</v>
          </cell>
          <cell r="G2362" t="str">
            <v>普通机械制造业</v>
          </cell>
        </row>
        <row r="2363">
          <cell r="E2363" t="str">
            <v>屠宰及肉制品加工机械</v>
          </cell>
          <cell r="F2363" t="str">
            <v>包括屠宰分割设备、肉制品加工机械、其他屠宰及肉制品加工机械</v>
          </cell>
          <cell r="G2363" t="str">
            <v>普通机械制造业</v>
          </cell>
        </row>
        <row r="2364">
          <cell r="E2364" t="str">
            <v>油脂加工机械</v>
          </cell>
          <cell r="F2364" t="str">
            <v>指动植物油脂榨油提取加工机械</v>
          </cell>
          <cell r="G2364" t="str">
            <v>普通机械制造业</v>
          </cell>
        </row>
        <row r="2365">
          <cell r="E2365" t="str">
            <v>水果、坚果或蔬菜加工机械</v>
          </cell>
          <cell r="F2365" t="str">
            <v>包括蔬菜脱水机械、水果去皮机、去荚机械、去梗机械、水果磨切机械、切菜机、切丝机、切丁机、切片机、酱菜切口机、水浴灭菌机、蔬菜速冻机、水果籽去核机、蔬菜去籽去核机、软化机、水果破碎机、水果榨汁机、蔬菜榨汁机、果汁浓缩机、蔬菜腌制机械、果酱加工机械、调味酱加工机械、番茄酱加工机械，本类不含家用食品加工电动器具，详见109041705。</v>
          </cell>
          <cell r="G2365" t="str">
            <v>普通机械制造业</v>
          </cell>
        </row>
        <row r="2366">
          <cell r="E2366" t="str">
            <v>薯类加工机械</v>
          </cell>
          <cell r="F2366" t="str">
            <v>包括薯类切片切丝机、薯类磨浆机、薯类搅糊机等</v>
          </cell>
          <cell r="G2366" t="str">
            <v>普通机械制造业</v>
          </cell>
        </row>
        <row r="2367">
          <cell r="E2367" t="str">
            <v>食用菌生产机械</v>
          </cell>
          <cell r="F2367" t="str">
            <v>包括菌类装袋机、木耳袋装粉机、木耳栽种机、木耳压块机等</v>
          </cell>
          <cell r="G2367" t="str">
            <v>普通机械制造业</v>
          </cell>
        </row>
        <row r="2368">
          <cell r="E2368" t="str">
            <v>养蚕机械</v>
          </cell>
          <cell r="F2368" t="str">
            <v>包括切桑叶机、蚕种催青机、加热补湿器、蚕种浸酸架、养脱蚕用水机、蚕茧收烘处理器具等</v>
          </cell>
          <cell r="G2368" t="str">
            <v>普通机械制造业</v>
          </cell>
        </row>
        <row r="2369">
          <cell r="E2369" t="str">
            <v>淀粉加工机械</v>
          </cell>
          <cell r="F2369" t="str">
            <v>指生产淀粉的机械设备及其专门配套设备</v>
          </cell>
          <cell r="G2369" t="str">
            <v>普通机械制造业</v>
          </cell>
        </row>
        <row r="2370">
          <cell r="E2370" t="str">
            <v>水产品加工机械</v>
          </cell>
          <cell r="F2370" t="str">
            <v>包括鱼类处理加工机械、虾类处理加工机械、贝类加工机械、贝类加工机械、藻类和海带加工机械、水产熟制品加工机械、其他水产品加工机械</v>
          </cell>
          <cell r="G2370" t="str">
            <v>普通机械制造业</v>
          </cell>
        </row>
        <row r="2371">
          <cell r="E2371" t="str">
            <v>饲料粉碎机（饲料专用设备）</v>
          </cell>
          <cell r="F2371" t="str">
            <v>包括饲料磨粉机、颗粒饲料微粉碎机、油饼轧碎机、青饲料切片机或压碎机、其他饲料粉碎机</v>
          </cell>
          <cell r="G2371" t="str">
            <v>普通机械制造业</v>
          </cell>
        </row>
        <row r="2372">
          <cell r="E2372" t="str">
            <v>配制、加工饲料用机械</v>
          </cell>
          <cell r="F2372" t="str">
            <v>包括饲料混合机（饲料专用设备）、料制粒机、饲料膨化机（饲料专用设备）等</v>
          </cell>
          <cell r="G2372" t="str">
            <v>普通机械制造业</v>
          </cell>
        </row>
        <row r="2373">
          <cell r="E2373" t="str">
            <v>食品生产设备零件</v>
          </cell>
          <cell r="F2373" t="str">
            <v>包括食品生产用模具或焙锅、其他设备零件</v>
          </cell>
          <cell r="G2373" t="str">
            <v>普通机械制造业</v>
          </cell>
        </row>
        <row r="2374">
          <cell r="E2374" t="str">
            <v>乳品加工机械零件</v>
          </cell>
          <cell r="F2374" t="str">
            <v>包括黄油搅拌桶、黄油加工机的滚筒及放料盘、黄油及奶酪模制用模具</v>
          </cell>
          <cell r="G2374" t="str">
            <v>普通机械制造业</v>
          </cell>
        </row>
        <row r="2375">
          <cell r="E2375" t="str">
            <v>酒及饮料加工机械零件</v>
          </cell>
          <cell r="F2375" t="str">
            <v>包括榨汁机压榨滚筒、轧碎机的带齿滚筒、轧碎机磨碎器、果汁收集器、压榨板及机架、水果轧碎机用带齿滚筒及刀片</v>
          </cell>
          <cell r="G2375" t="str">
            <v>普通机械制造业</v>
          </cell>
        </row>
        <row r="2376">
          <cell r="E2376" t="str">
            <v>烟草加工及制作机械零件</v>
          </cell>
          <cell r="F2376" t="str">
            <v>无说明</v>
          </cell>
          <cell r="G2376" t="str">
            <v>普通机械制造业</v>
          </cell>
        </row>
        <row r="2377">
          <cell r="E2377" t="str">
            <v>谷物磨粉工业用机械零件</v>
          </cell>
          <cell r="F2377" t="str">
            <v>包括谷物磨粉工业用筛及筛架、混合或分离滚筒、谷物磨粉机的滚筒或变换器、其他谷物磨粉工业用机械零件</v>
          </cell>
          <cell r="G2377" t="str">
            <v>普通机械制造业</v>
          </cell>
        </row>
        <row r="2378">
          <cell r="E2378" t="str">
            <v>其他食品加工专用设备零件</v>
          </cell>
          <cell r="F2378" t="str">
            <v>包括食品生产设备零件、乳品加工机械零件、酒及饮料加工机械零件、烟草加工及制作机械零件、谷物磨粉工业用机械零件、其他食品加工专用设备零件</v>
          </cell>
          <cell r="G2378" t="str">
            <v>普通机械制造业</v>
          </cell>
        </row>
        <row r="2379">
          <cell r="E2379" t="str">
            <v>制浆设备</v>
          </cell>
          <cell r="F2379" t="str">
            <v>包括制浆原料处理设备，洗涤、筛选、漂白、打浆等设备</v>
          </cell>
          <cell r="G2379" t="str">
            <v>普通机械制造业</v>
          </cell>
        </row>
        <row r="2380">
          <cell r="E2380" t="str">
            <v>造纸机</v>
          </cell>
          <cell r="F2380" t="str">
            <v>包括多层纸或纸板生产设备、制造测验用样纸的小型机械</v>
          </cell>
          <cell r="G2380" t="str">
            <v>普通机械制造业</v>
          </cell>
        </row>
        <row r="2381">
          <cell r="E2381" t="str">
            <v>纸或纸板整理机械</v>
          </cell>
          <cell r="F2381" t="str">
            <v>复卷机、卷纸机、打包线、打包机、涂布机、烤版机、纸张浸渍机、绉纸加工机、纸张调湿机、压纹机、压花机、瓦楞纸加工机、瓦楞纸板生产线、其他纸整理机械、其他纸板整理机械</v>
          </cell>
          <cell r="G2381" t="str">
            <v>普通机械制造业</v>
          </cell>
        </row>
        <row r="2382">
          <cell r="E2382" t="str">
            <v>纸制品生产专用机械</v>
          </cell>
          <cell r="F2382" t="str">
            <v>纸包专用生产机械、纸袋专用生产机械、信封专用生产机械</v>
          </cell>
          <cell r="G2382" t="str">
            <v>普通机械制造业</v>
          </cell>
        </row>
        <row r="2383">
          <cell r="E2383" t="str">
            <v>纸浆、造纸及纸制品机械零件</v>
          </cell>
          <cell r="F2383" t="str">
            <v>包括纤维素纸浆机械用零件、造纸及纸板机械用零件、纸制品机械用零件</v>
          </cell>
          <cell r="G2383" t="str">
            <v>普通机械制造业</v>
          </cell>
        </row>
        <row r="2384">
          <cell r="E2384" t="str">
            <v>印前设备</v>
          </cell>
          <cell r="F2384" t="str">
            <v>包括平版制版设备、凹版制版设备、凸版制版设备、直接制版系统（CTP）、特种模压机、打样机、喷绘机、晒版机、显影机、铸字机、其他印前设备</v>
          </cell>
          <cell r="G2384" t="str">
            <v>普通机械制造业</v>
          </cell>
        </row>
        <row r="2385">
          <cell r="E2385" t="str">
            <v>印刷机设备</v>
          </cell>
          <cell r="F2385" t="str">
            <v>包括平版印刷机（胶印机）、凸版印刷机、柔版印刷机、凹版印刷机、数字印刷机、网式印刷机、印刷装订联动机、组合印刷机、重复图案印刷设备、特种印刷设备、制卡设备、其他印刷机设备</v>
          </cell>
          <cell r="G2385" t="str">
            <v>普通机械制造业</v>
          </cell>
        </row>
        <row r="2386">
          <cell r="E2386" t="str">
            <v>装订机械</v>
          </cell>
          <cell r="F2386" t="str">
            <v>包括折页机（印刷设备）、配页机、搭页机、数纸机、锁线装订机、胶订机、金属线缝合机、三面切书机、装订联动机械、无线胶订书刊生产线、平装胶订生产线、精装书籍装订生产线、其他装订机械</v>
          </cell>
          <cell r="G2386" t="str">
            <v>普通机械制造业</v>
          </cell>
        </row>
        <row r="2387">
          <cell r="E2387" t="str">
            <v>印刷包装机械</v>
          </cell>
          <cell r="F2387" t="str">
            <v>包括印刷捆扎机、印刷打包机、堆积机、糊盒机等</v>
          </cell>
          <cell r="G2387" t="str">
            <v>普通机械制造业</v>
          </cell>
        </row>
        <row r="2388">
          <cell r="E2388" t="str">
            <v>印刷用辅助机械</v>
          </cell>
          <cell r="F2388" t="str">
            <v>无说明</v>
          </cell>
          <cell r="G2388" t="str">
            <v>普通机械制造业</v>
          </cell>
        </row>
        <row r="2389">
          <cell r="E2389" t="str">
            <v>印刷、装订机械零件</v>
          </cell>
          <cell r="F2389" t="str">
            <v>包括印刷机械用零件、印刷用辅助机械零件、书本装订机械用零件、其他印刷装订机械零件</v>
          </cell>
          <cell r="G2389" t="str">
            <v>普通机械制造业</v>
          </cell>
        </row>
        <row r="2390">
          <cell r="E2390" t="str">
            <v>光盘复制生产设备</v>
          </cell>
          <cell r="F2390" t="str">
            <v>包括用于光盘精密注塑机、真空金属溅镀机、保护胶涂覆机、金属母盘生产设备、其他光盘复制生产设备</v>
          </cell>
          <cell r="G2390" t="str">
            <v>普通机械制造业</v>
          </cell>
        </row>
        <row r="2391">
          <cell r="E2391" t="str">
            <v>录音带、录像带复制生产设备</v>
          </cell>
          <cell r="F2391" t="str">
            <v>包括高速数码复录母机、高速数码复录子机、裁带机、其他录音带录像带复制生产设备</v>
          </cell>
          <cell r="G2391" t="str">
            <v>普通机械制造业</v>
          </cell>
        </row>
        <row r="2392">
          <cell r="E2392" t="str">
            <v>软磁盘复制生产设备</v>
          </cell>
          <cell r="F2392" t="str">
            <v>包括拷贝机、格式化仪、其他软磁盘复制生产设备</v>
          </cell>
          <cell r="G2392" t="str">
            <v>普通机械制造业</v>
          </cell>
        </row>
        <row r="2393">
          <cell r="E2393" t="str">
            <v>感光胶片生产设备</v>
          </cell>
          <cell r="F2393" t="str">
            <v>包括电影胶片生产设备、摄影胶片生产设备、医疗胶片生产设备、其他感光胶片生产设备</v>
          </cell>
          <cell r="G2393" t="str">
            <v>普通机械制造业</v>
          </cell>
        </row>
        <row r="2394">
          <cell r="E2394" t="str">
            <v>感光纸及类似品生产设备</v>
          </cell>
          <cell r="F2394" t="str">
            <v>无说明</v>
          </cell>
          <cell r="G2394" t="str">
            <v>普通机械制造业</v>
          </cell>
        </row>
        <row r="2395">
          <cell r="E2395" t="str">
            <v>摄影、复印化学制剂生产设备</v>
          </cell>
          <cell r="F2395" t="str">
            <v>包括摄影用化学制剂生产设备、复印用化学制剂生产设备</v>
          </cell>
          <cell r="G2395" t="str">
            <v>普通机械制造业</v>
          </cell>
        </row>
        <row r="2396">
          <cell r="E2396" t="str">
            <v>其他信息化学品生产设备</v>
          </cell>
          <cell r="F2396" t="str">
            <v>无说明</v>
          </cell>
          <cell r="G2396" t="str">
            <v>普通机械制造业</v>
          </cell>
        </row>
        <row r="2397">
          <cell r="E2397" t="str">
            <v>化学药原料药生产设备</v>
          </cell>
          <cell r="F2397" t="str">
            <v>包括药用反应设备、药用结晶设备、药用萃取设备、其他化学药原料药生产设备</v>
          </cell>
          <cell r="G2397" t="str">
            <v>普通机械制造业</v>
          </cell>
        </row>
        <row r="2398">
          <cell r="E2398" t="str">
            <v>饮片生产机械</v>
          </cell>
          <cell r="F2398" t="str">
            <v>包括洗药机、润药机、切药机、筛选机、炒药机等</v>
          </cell>
          <cell r="G2398" t="str">
            <v>普通机械制造业</v>
          </cell>
        </row>
        <row r="2399">
          <cell r="E2399" t="str">
            <v>制药专用粉碎机械</v>
          </cell>
          <cell r="F2399" t="str">
            <v>包括机械式药用粉碎机、气流式粉碎机、低温粉碎机、药用粉碎机组、其他药用粉碎机械</v>
          </cell>
          <cell r="G2399" t="str">
            <v>普通机械制造业</v>
          </cell>
        </row>
        <row r="2400">
          <cell r="E2400" t="str">
            <v>药品专用包装机械</v>
          </cell>
          <cell r="F2400" t="str">
            <v>包括药用计数充填机、安瓿印字包装机、胶囊印字机、药用泡罩包装机、多功能药用瓶装包装机、药用袋装包装机、药用盒装包装机、微型铝塑包装机、空心胶囊制造机、其他药品专用包装机械</v>
          </cell>
          <cell r="G2400" t="str">
            <v>普通机械制造业</v>
          </cell>
        </row>
        <row r="2401">
          <cell r="E2401" t="str">
            <v>制剂生产设备</v>
          </cell>
          <cell r="F2401" t="str">
            <v>包括中成药制剂生产设备</v>
          </cell>
          <cell r="G2401" t="str">
            <v>普通机械制造业</v>
          </cell>
        </row>
        <row r="2402">
          <cell r="E2402" t="str">
            <v>药物检测设备及仪器</v>
          </cell>
          <cell r="F2402" t="str">
            <v>包括药物检测设备、药物检测仪器</v>
          </cell>
          <cell r="G2402" t="str">
            <v>普通机械制造业</v>
          </cell>
        </row>
        <row r="2403">
          <cell r="E2403" t="str">
            <v>脏器生化制药机械</v>
          </cell>
          <cell r="F2403" t="str">
            <v>无说明</v>
          </cell>
          <cell r="G2403" t="str">
            <v>普通机械制造业</v>
          </cell>
        </row>
        <row r="2404">
          <cell r="E2404" t="str">
            <v>玻壳加工机械</v>
          </cell>
          <cell r="F2404" t="str">
            <v>包括灯泡、灯管、电子真空器件及类似品的玻壳加工机械（封装机械）</v>
          </cell>
          <cell r="G2404" t="str">
            <v>普通机械制造业</v>
          </cell>
        </row>
        <row r="2405">
          <cell r="E2405" t="str">
            <v>灯丝、灯头玻璃零件加工机械</v>
          </cell>
          <cell r="F2405" t="str">
            <v>包括基座垫块加工设备、灯头加工设备、灯丝支架加工设备、以及其他灯丝、灯头玻璃零件加工机械</v>
          </cell>
          <cell r="G2405" t="str">
            <v>普通机械制造业</v>
          </cell>
        </row>
        <row r="2406">
          <cell r="E2406" t="str">
            <v>灯泡及类似品封装机</v>
          </cell>
          <cell r="F2406" t="str">
            <v>包括灯泡、灯管、电子真空器件及类似品的封装机械，以及配套装置</v>
          </cell>
          <cell r="G2406" t="str">
            <v>普通机械制造业</v>
          </cell>
        </row>
        <row r="2407">
          <cell r="E2407" t="str">
            <v>灯泡及类似品封装机零件</v>
          </cell>
          <cell r="F2407" t="str">
            <v>包括灯泡、灯管、电子真空器件及类似品的封装机械零件</v>
          </cell>
          <cell r="G2407" t="str">
            <v>普通机械制造业</v>
          </cell>
        </row>
        <row r="2408">
          <cell r="E2408" t="str">
            <v>合成洗涤剂专用设备</v>
          </cell>
          <cell r="F2408" t="str">
            <v>包括喷粉塔、高压泵、配料罐、后配料混合器、其他合成洗涤剂专用设备</v>
          </cell>
          <cell r="G2408" t="str">
            <v>普通机械制造业</v>
          </cell>
        </row>
        <row r="2409">
          <cell r="E2409" t="str">
            <v>肥皂成型专用设备</v>
          </cell>
          <cell r="F2409" t="str">
            <v>包括压条机、皂类切割机、香皂真空出条机、皂类自动打印机、其他肥皂成型专用设备</v>
          </cell>
          <cell r="G2409" t="str">
            <v>普通机械制造业</v>
          </cell>
        </row>
        <row r="2410">
          <cell r="E2410" t="str">
            <v>牙膏、化妆品、香精、香料专用设备</v>
          </cell>
          <cell r="F2410" t="str">
            <v>包括牙膏配制机、真空均质制膏机、香精、香料搅拌机、软管冲挤机、刮扳式浸花机以及其他牙膏、化妆品专用设备</v>
          </cell>
          <cell r="G2410" t="str">
            <v>普通机械制造业</v>
          </cell>
        </row>
        <row r="2411">
          <cell r="E2411" t="str">
            <v>火柴专用生产设备</v>
          </cell>
          <cell r="F2411" t="str">
            <v>包括火柴浸渍机、其他火柴专用生产设备</v>
          </cell>
          <cell r="G2411" t="str">
            <v>普通机械制造业</v>
          </cell>
        </row>
        <row r="2412">
          <cell r="E2412" t="str">
            <v>其他日用化工专用设备</v>
          </cell>
          <cell r="F2412" t="str">
            <v>无说明</v>
          </cell>
          <cell r="G2412" t="str">
            <v>普通机械制造业</v>
          </cell>
        </row>
        <row r="2413">
          <cell r="E2413" t="str">
            <v>搪瓷制品生产设备</v>
          </cell>
          <cell r="F2413" t="str">
            <v>包括搪瓷烧成炉、搪瓷施釉设备、搪瓷制坯设备、搪瓷涂搪设备、搪瓷饰花设备、搪瓷静电喷涂设备、其他搪瓷制品生产设备</v>
          </cell>
          <cell r="G2413" t="str">
            <v>普通机械制造业</v>
          </cell>
        </row>
        <row r="2414">
          <cell r="E2414" t="str">
            <v>文教体育用品专用机械</v>
          </cell>
          <cell r="F2414" t="str">
            <v>包括铅笔木杆加工机械、石墨铅笔芯挤出机械、粉笔用模制机械、纤维灰浆制品模制成型机械、灰泥制品模制成型机械、其他文教体育用品专用机械</v>
          </cell>
          <cell r="G2414" t="str">
            <v>普通机械制造业</v>
          </cell>
        </row>
        <row r="2415">
          <cell r="E2415" t="str">
            <v>日用杂品生产专用设备</v>
          </cell>
          <cell r="F2415" t="str">
            <v>包括制木纽扣用机械、拉链设备、煤制品生产专用机械、毛刷加工机械、其他日用杂品生产专用设备</v>
          </cell>
          <cell r="G2415" t="str">
            <v>普通机械制造业</v>
          </cell>
        </row>
        <row r="2416">
          <cell r="E2416" t="str">
            <v>化学纺织纤维加工专用机械</v>
          </cell>
          <cell r="F2416" t="str">
            <v>包括化学纺织纤维原料制取、熔融、拉伸、变形或切断的机械</v>
          </cell>
          <cell r="G2416" t="str">
            <v>普通机械制造业</v>
          </cell>
        </row>
        <row r="2417">
          <cell r="E2417" t="str">
            <v>棉纺前纺设备</v>
          </cell>
          <cell r="F2417" t="str">
            <v>棉纺的抓、开、混、清设备。</v>
          </cell>
          <cell r="G2417" t="str">
            <v>普通机械制造业</v>
          </cell>
        </row>
        <row r="2418">
          <cell r="E2418" t="str">
            <v>毛、麻预处理机械</v>
          </cell>
          <cell r="F2418" t="str">
            <v>包括毛预处理机械、麻预处理机械以及其他毛、麻预处理机械</v>
          </cell>
          <cell r="G2418" t="str">
            <v>普通机械制造业</v>
          </cell>
        </row>
        <row r="2419">
          <cell r="E2419" t="str">
            <v>丝、绢预处理机械</v>
          </cell>
          <cell r="F2419" t="str">
            <v>用于真丝、绢纺原料处理的机械</v>
          </cell>
          <cell r="G2419" t="str">
            <v>普通机械制造业</v>
          </cell>
        </row>
        <row r="2420">
          <cell r="E2420" t="str">
            <v>纺织纤维梳理机</v>
          </cell>
          <cell r="F2420" t="str">
            <v>指用于梳理棉、毛、化学短纤维、韧皮纤维（亚麻、苎麻等）等的机械包括棉纤维型、毛纤维型、麻纤维型及其他梳理机</v>
          </cell>
          <cell r="G2420" t="str">
            <v>普通机械制造业</v>
          </cell>
        </row>
        <row r="2421">
          <cell r="E2421" t="str">
            <v>精梳机械</v>
          </cell>
          <cell r="F2421" t="str">
            <v>指棉、毛、麻等精梳机械</v>
          </cell>
          <cell r="G2421" t="str">
            <v>普通机械制造业</v>
          </cell>
        </row>
        <row r="2422">
          <cell r="E2422" t="str">
            <v>成条、针梳机</v>
          </cell>
          <cell r="F2422" t="str">
            <v>用于成条、针梳等机械</v>
          </cell>
          <cell r="G2422" t="str">
            <v>普通机械制造业</v>
          </cell>
        </row>
        <row r="2423">
          <cell r="E2423" t="str">
            <v>粗纱机</v>
          </cell>
          <cell r="F2423" t="str">
            <v>包括棉纺粗纱机、毛纺粗纱机、麻纺粗纱机、绢纺粗纱机、其他粗纱机</v>
          </cell>
          <cell r="G2423" t="str">
            <v>普通机械制造业</v>
          </cell>
        </row>
        <row r="2424">
          <cell r="E2424" t="str">
            <v>细纱机</v>
          </cell>
          <cell r="F2424" t="str">
            <v>指环锭纺、转杯纺、喷气纺、摩擦纺等各类用于棉毛麻丝纺制细纱的机械</v>
          </cell>
          <cell r="G2424" t="str">
            <v>普通机械制造业</v>
          </cell>
        </row>
        <row r="2425">
          <cell r="E2425" t="str">
            <v>纺织纱线处理机械</v>
          </cell>
          <cell r="F2425" t="str">
            <v>指各类纱的加捻、并合、络纱等的机械</v>
          </cell>
          <cell r="G2425" t="str">
            <v>普通机械制造业</v>
          </cell>
        </row>
        <row r="2426">
          <cell r="E2426" t="str">
            <v>织造准备设备</v>
          </cell>
          <cell r="F2426" t="str">
            <v>包括整经机（纺织设备）、浆纱机、捻丝机、丝束直接纺纱机、穿经架及穿筘机、整经筒子架、并轴机、整浆联合机、其他织造准备设备</v>
          </cell>
          <cell r="G2426" t="str">
            <v>普通机械制造业</v>
          </cell>
        </row>
        <row r="2427">
          <cell r="E2427" t="str">
            <v>织机</v>
          </cell>
          <cell r="F2427" t="str">
            <v>包括用纺织纱线（包括泥炭纤维纱线）或其他纤维纱线（例如，金属纱线、玻璃纤维纱线或石棉纤维纱线）织造织物的纺织机械</v>
          </cell>
          <cell r="G2427" t="str">
            <v>普通机械制造业</v>
          </cell>
        </row>
        <row r="2428">
          <cell r="E2428" t="str">
            <v>针织机械</v>
          </cell>
          <cell r="F2428" t="str">
            <v>包括纬编机、纬编准备机械、圆型纬编机、横机、袜机、经编整经机、特利考经编机、拉舍尔经编机、缝编机、钩编机、其他针织机械</v>
          </cell>
          <cell r="G2428" t="str">
            <v>普通机械制造业</v>
          </cell>
        </row>
        <row r="2429">
          <cell r="E2429" t="str">
            <v>非织造机械</v>
          </cell>
          <cell r="F2429" t="str">
            <v>包括干法成网机械、湿法成网机械、聚合物直接成网机械、加固机械、后整理机械、非织造布生产线联合机、其他非织造机械</v>
          </cell>
          <cell r="G2429" t="str">
            <v>普通机械制造业</v>
          </cell>
        </row>
        <row r="2430">
          <cell r="E2430" t="str">
            <v>纺织废料回用、处理设备</v>
          </cell>
          <cell r="F2430" t="str">
            <v>包括纺织用废棉处理设备、纺织用废纺处理设备</v>
          </cell>
          <cell r="G2430" t="str">
            <v>普通机械制造业</v>
          </cell>
        </row>
        <row r="2431">
          <cell r="E2431" t="str">
            <v>印染机械</v>
          </cell>
          <cell r="F2431" t="str">
            <v>包括印染前处理设备、染色设备、印花设备、整理设备、成品设备、印染辅机及通用单元设备、其他印染机械</v>
          </cell>
          <cell r="G2431" t="str">
            <v>普通机械制造业</v>
          </cell>
        </row>
        <row r="2432">
          <cell r="E2432" t="str">
            <v>织造辅助机械及装置</v>
          </cell>
          <cell r="F2432" t="str">
            <v>包括织造辅助机械、织机辅助装置</v>
          </cell>
          <cell r="G2432" t="str">
            <v>普通机械制造业</v>
          </cell>
        </row>
        <row r="2433">
          <cell r="E2433" t="str">
            <v>纺织机械及其辅助机械零件、附件</v>
          </cell>
          <cell r="F2433" t="str">
            <v>包括化学纺织纤维机械零件，纺织机械专用零、部件，织机及其辅助机械零件，针织机械及其辅助机械零件，其他纺织机械及其辅助机械零件、附件</v>
          </cell>
          <cell r="G2433" t="str">
            <v>普通机械制造业</v>
          </cell>
        </row>
        <row r="2434">
          <cell r="E2434" t="str">
            <v>生皮处理机械</v>
          </cell>
          <cell r="F2434" t="str">
            <v>对生皮（从动物身上剥下来的皮）进行浸水、脱毛、浸灰、软化、浸酸等一系列加工处理的机械。包括脱毛机(用以将生皮上预先用化学方法松脱的毛发除去)、制革去肉机、刮皮机、挤水伸展机、皮革拉软机、量革机、其他生皮处理机械。</v>
          </cell>
          <cell r="G2434" t="str">
            <v>普通机械制造业</v>
          </cell>
        </row>
        <row r="2435">
          <cell r="E2435" t="str">
            <v>皮革鞣制加工机械</v>
          </cell>
          <cell r="F2435" t="str">
            <v>对生皮进行鞣制(使生皮转变成革）处理的机械。鞣制是鞣剂分子向皮内渗透并与生皮胶原分子活性基团结合而发生性质改变的过程。鞣制使皮胶原多肽链之间生成交联键，增加了胶原结构的稳定性，提高了收缩温度及耐湿热稳定性，改善了抗酸、碱、酶等化学品的能力。包括鞣革机（锤磨机）、滚筒敲打机、锤打机、锤实机、修刮或剖皮机、皮革砂磨机、刷皮机、皮革柔软整理机、打光机、起粒机、其他皮革鞣制加工机械。</v>
          </cell>
          <cell r="G2435" t="str">
            <v>普通机械制造业</v>
          </cell>
        </row>
        <row r="2436">
          <cell r="E2436" t="str">
            <v>皮革制品制作机械</v>
          </cell>
          <cell r="F2436" t="str">
            <v>包括制造或修补生皮（包括毛皮）或皮革制品（例如，鞋靴、手套、茄克衫及其他衣着用品、鞍具、书籍封面、手提包、旅行容器等）的机械。含皮革制品通用制作机械：片皮机（皮革切片或削皮机）、皮革特定形状切割机、皮革穿孔机、皮革刺孔机、皮箱接头机、其他皮革制品通用制作机械；鞋靴专用生产机械：片底机、片帮机、皮革切槽机、楦鞋机、主跟成型机、合布机、抿边机、粘底机、上底机、底工转车、帮角熨平机（包括鞋底边缘或鞋跟边缘的修整、磨光或后处理机械）、鞋靴拉撑机、其他鞋靴专用生产机械；其他皮革制品制作机械。</v>
          </cell>
          <cell r="G2436" t="str">
            <v>普通机械制造业</v>
          </cell>
        </row>
        <row r="2437">
          <cell r="E2437" t="str">
            <v>毛皮及其制品制作及修理机械</v>
          </cell>
          <cell r="F2437" t="str">
            <v>对毛皮（指带毛的动物皮）进行鞣制、染整等制作的机械，制作毛皮制品的机械及对毛皮、毛皮制品进行修理修补的机械。包括毛皮加工机（将皮毛修齐、剪去长毛的专用机械）、毛皮加工机（皮毛刷毛机械）、皮毛染色机械、其他毛皮及其制品制作及修理机械。</v>
          </cell>
          <cell r="G2437" t="str">
            <v>普通机械制造业</v>
          </cell>
        </row>
        <row r="2438">
          <cell r="E2438" t="str">
            <v>生皮、皮革处理、鞣制及加工机械零件</v>
          </cell>
          <cell r="F2438" t="str">
            <v>组成生皮、皮革处理、鞣制及加工机械和机器的不可分拆的单个制件。</v>
          </cell>
          <cell r="G2438" t="str">
            <v>普通机械制造业</v>
          </cell>
        </row>
        <row r="2439">
          <cell r="E2439" t="str">
            <v>缝纫机及其零件</v>
          </cell>
          <cell r="F2439" t="str">
            <v>包括普通家用型缝纫机(作锁式线迹缝纫，装上相应的附件后能作绣花、卷边、镶嵌、锁眼等缝纫的机械)、多功能家用型缝纫机(具有普通家用缝纫机功能，并有多种曲折缝纫功能的缝纫机。如：拼缝、包边、嵌线、锁眼、钉扣，通过花样装置能刺绣图案等。包括机械控制、电子控制和电脑控制的多功能家用型缝纫机)、其他家用型缝纫机(包括家用小包缝机等)、工业用电控平缝机(指用微型计算机控制，具有自动剪线、拔线、倒缝、定位针及抬压脚等功能，直线缝锁式线迹的工业用缝纫机)、工业用相关电控缝纫机(指用微型计算机控制，具有自动剪线、拔线、倒缝、定位针及抬压脚等功能的曲折缝、套结、钉扣、锁眼等工业用电控缝纫机；不包括刺绣机/绣花机)、工业用非电控缝纫机(包括非电控平缝机、包缝机、绷缝机、套结机、钉扣机、锁眼机、曲折缝缝纫机及其他工业用非电控缝纫机)、刺绣机/绣花机(包括单头刺绣机和多头刺绣机)、缝纫机零部件（包括缝纫机针、缝纫机旋梭、缝纫机架、缝纫机台板、其他缝纫机零部件）</v>
          </cell>
          <cell r="G2439" t="str">
            <v>普通机械制造业</v>
          </cell>
        </row>
        <row r="2440">
          <cell r="E2440" t="str">
            <v>服装裁剪定型设备</v>
          </cell>
          <cell r="F2440" t="str">
            <v>包括裁剪机、蒸汽人像机、蒸、烫机、拉布机、粘合机、其他服装裁剪定型设备。</v>
          </cell>
          <cell r="G2440" t="str">
            <v>普通机械制造业</v>
          </cell>
        </row>
        <row r="2441">
          <cell r="E2441" t="str">
            <v>羽绒加工设备</v>
          </cell>
          <cell r="F2441" t="str">
            <v>包括羽绒预分机、羽绒除灰机、羽绒四厢分毛机、羽绒洗脱机/水洗机(含RDY30羽绒专用打包机、除灰小样机等辅助设备)、羽绒烘干机（羽绒专用烘干设备）、充绒机（装填绒被褥或褥垫的机械）、其他羽绒加工设备。不包括服装裁剪、缝纫、定型设备（详见109023002）。</v>
          </cell>
          <cell r="G2441" t="str">
            <v>普通机械制造业</v>
          </cell>
        </row>
        <row r="2442">
          <cell r="E2442" t="str">
            <v>制帽机械</v>
          </cell>
          <cell r="F2442" t="str">
            <v>包括毡呢压机、滚筒压机（用以使帽坯完全毡化）、毡呢帽扩张机（使锥形帽坯进一步成形，并将锥形顶端滚圆）、帽边成形机（帽边通过锥形滚筒时，将其压制成形）、帽坯磨光机（即用浮石或纱布将毡帽坯面上突出的毛发磨去）、帽沿上浆机、楦帽机、沙压机、帽模、其他制帽机械。</v>
          </cell>
          <cell r="G2442" t="str">
            <v>普通机械制造业</v>
          </cell>
        </row>
        <row r="2443">
          <cell r="E2443" t="str">
            <v>线圈绕线机</v>
          </cell>
          <cell r="F2443" t="str">
            <v>包括电线线圈卷绕机、绝缘材料线圈绕线机、线圈包扎设备、定子线圈绕线机、电磁铁线圈绕线机、其他线圈绕线机。</v>
          </cell>
          <cell r="G2443" t="str">
            <v>普通机械制造业</v>
          </cell>
        </row>
        <row r="2444">
          <cell r="E2444" t="str">
            <v>嵌线设备</v>
          </cell>
          <cell r="F2444" t="str">
            <v>包括绕嵌线机、定子绕组嵌线机、其他嵌线设备。</v>
          </cell>
          <cell r="G2444" t="str">
            <v>普通机械制造业</v>
          </cell>
        </row>
        <row r="2445">
          <cell r="E2445" t="str">
            <v>绝缘处理设备</v>
          </cell>
          <cell r="F2445" t="str">
            <v>包括槽绝缘片插入机、自动连续沉浸机、滚浸机、其他绝缘处理设备。</v>
          </cell>
          <cell r="G2445" t="str">
            <v>普通机械制造业</v>
          </cell>
        </row>
        <row r="2446">
          <cell r="E2446" t="str">
            <v>电线、电缆专用生产机械</v>
          </cell>
          <cell r="F2446" t="str">
            <v>包括拉线机、型线轧拉机、拉线联合机组、铜粉流屑过滤机、镀锡机、高速绞线机、压出机、其他电线、电缆专用生产机械。</v>
          </cell>
          <cell r="G2446" t="str">
            <v>普通机械制造业</v>
          </cell>
        </row>
        <row r="2447">
          <cell r="E2447" t="str">
            <v>电器绝缘材料设备</v>
          </cell>
          <cell r="F2447" t="str">
            <v>包括上胶设备、不干胶带涂机、卷制设备、钢/铝塑热贴复合机组、绝缘材料涂复卷管机、板纸复合机组、其他电器绝缘材料设备。</v>
          </cell>
          <cell r="G2447" t="str">
            <v>普通机械制造业</v>
          </cell>
        </row>
        <row r="2448">
          <cell r="E2448" t="str">
            <v>电池生产专用设备</v>
          </cell>
          <cell r="F2448" t="str">
            <v>包括蓄电池流程生产线、圆筒干电池生产线、扣式电池生产线、太阳能电池生产线、其他电池生产专用设备。</v>
          </cell>
          <cell r="G2448" t="str">
            <v>普通机械制造业</v>
          </cell>
        </row>
        <row r="2449">
          <cell r="E2449" t="str">
            <v>其他电工机械专用设备</v>
          </cell>
          <cell r="F2449" t="str">
            <v>无说明</v>
          </cell>
          <cell r="G2449" t="str">
            <v>普通机械制造业</v>
          </cell>
        </row>
        <row r="2450">
          <cell r="E2450" t="str">
            <v>半导体材料、器件及集成电路生产设备</v>
          </cell>
          <cell r="F2450" t="str">
            <v>包括晶体生长及晶圆制备设备、电子材料切片机、电子器件研磨机、电子器件抛光机、硅片倒角机、外延设备。</v>
          </cell>
          <cell r="G2450" t="str">
            <v>普通机械制造业</v>
          </cell>
        </row>
        <row r="2451">
          <cell r="E2451" t="str">
            <v>制版设备</v>
          </cell>
          <cell r="F2451" t="str">
            <v>无说明</v>
          </cell>
          <cell r="G2451" t="str">
            <v>普通机械制造业</v>
          </cell>
        </row>
        <row r="2452">
          <cell r="E2452" t="str">
            <v>掩模修补设备</v>
          </cell>
          <cell r="F2452" t="str">
            <v>无说明</v>
          </cell>
          <cell r="G2452" t="str">
            <v>普通机械制造业</v>
          </cell>
        </row>
        <row r="2453">
          <cell r="E2453" t="str">
            <v>芯片制造设备</v>
          </cell>
          <cell r="F2453" t="str">
            <v>包括光学光刻设备、电子束光刻机、离子束投影光刻机、邻近X射线光刻机、蚀刻设备、掺杂设备、退火设备、快速热处理设备、薄膜生长设备、化学气相淀积设备、中测设备。</v>
          </cell>
          <cell r="G2453" t="str">
            <v>普通机械制造业</v>
          </cell>
        </row>
        <row r="2454">
          <cell r="E2454" t="str">
            <v>封装测试设备</v>
          </cell>
          <cell r="F2454" t="str">
            <v>包括晶圆划片设备、贴膜设备、键合设备、芯片贴装机、引线键合机、封装设备、焊凸形成设备。</v>
          </cell>
          <cell r="G2454" t="str">
            <v>普通机械制造业</v>
          </cell>
        </row>
        <row r="2455">
          <cell r="E2455" t="str">
            <v>检测设备</v>
          </cell>
          <cell r="F2455" t="str">
            <v>包括晶片检测设备、掩膜检查设备、晶圆检测设备、线宽测量设备、终测设备。</v>
          </cell>
          <cell r="G2455" t="str">
            <v>普通机械制造业</v>
          </cell>
        </row>
        <row r="2456">
          <cell r="E2456" t="str">
            <v>电子元件及机电组件生产设备</v>
          </cell>
          <cell r="F2456" t="str">
            <v>包括碳膜、金属膜电阻生产设备、片式电阻、电阻网络生产设备、电感器件、特种变压器生产设备、厚膜电路生产设备、薄膜电路生产设备、电位器生产设备、陶瓷电容器生产设备、薄膜电容器生产设备、铝电解电容器生产设备、敏感元件生产设备、传感器生产设备、压电晶体生产设备、压电陶瓷滤波器生产设备、表面波滤波器生产设备、磁性材料及器件生产设备、电声器件生产设备、开关接插件生产设备、特种线缆加工设备、镍氢电池生产设备、锂离子电池生产设备、太阳能电池片生产设备、其他电子元件及机电组件生产设备。</v>
          </cell>
          <cell r="G2456" t="str">
            <v>普通机械制造业</v>
          </cell>
        </row>
        <row r="2457">
          <cell r="E2457" t="str">
            <v>电子真空器件生产设备</v>
          </cell>
          <cell r="F2457" t="str">
            <v>包括玻壳生产设备、真空开关管生产设备、彩管生产设备、其他电子真空器件生产设备。</v>
          </cell>
          <cell r="G2457" t="str">
            <v>普通机械制造业</v>
          </cell>
        </row>
        <row r="2458">
          <cell r="E2458" t="str">
            <v>平板显示器件（FPD）生产设备</v>
          </cell>
          <cell r="F2458" t="str">
            <v>包括液晶显示器件（LCD）生产设备、等离子显示器件（PDP）生产设备、VFD生产设备、其他平板显示器件生产设备。</v>
          </cell>
          <cell r="G2458" t="str">
            <v>普通机械制造业</v>
          </cell>
        </row>
        <row r="2459">
          <cell r="E2459" t="str">
            <v>净化设备及类似设备</v>
          </cell>
          <cell r="F2459" t="str">
            <v>包括空气净化设备、高纯气体制取设备、超纯水制取设备、废水处理设备、电磁屏蔽设备、防静电设备、其他净化设备及类似设备。</v>
          </cell>
          <cell r="G2459" t="str">
            <v>普通机械制造业</v>
          </cell>
        </row>
        <row r="2460">
          <cell r="E2460" t="str">
            <v>环境模拟和可靠性设备</v>
          </cell>
          <cell r="F2460" t="str">
            <v>包括力学试验设备、气候环境模拟试验设备、综合试验箱。</v>
          </cell>
          <cell r="G2460" t="str">
            <v>普通机械制造业</v>
          </cell>
        </row>
        <row r="2461">
          <cell r="E2461" t="str">
            <v>电子整机装联设备</v>
          </cell>
          <cell r="F2461" t="str">
            <v>包括有引线元器件整机装配生产设备、表面贴装（SMT）设备。</v>
          </cell>
          <cell r="G2461" t="str">
            <v>普通机械制造业</v>
          </cell>
        </row>
        <row r="2462">
          <cell r="E2462" t="str">
            <v>其他电子工业专用设备</v>
          </cell>
          <cell r="F2462" t="str">
            <v>指未列明的半导体器件和集成电路设备及其他设备</v>
          </cell>
          <cell r="G2462" t="str">
            <v>普通机械制造业</v>
          </cell>
        </row>
        <row r="2463">
          <cell r="E2463" t="str">
            <v>金属表面处理机械</v>
          </cell>
          <cell r="F2463" t="str">
            <v>包括全自动氧化生产线、全自动磷化生产线、其他金属表面处理机械含抛丸清理机、钢瓶除锈机、酸洗设备等</v>
          </cell>
          <cell r="G2463" t="str">
            <v>普通机械制造业</v>
          </cell>
        </row>
        <row r="2464">
          <cell r="E2464" t="str">
            <v>电解设备及装置</v>
          </cell>
          <cell r="F2464" t="str">
            <v>包括电解箱、其他电解设备及装置。</v>
          </cell>
          <cell r="G2464" t="str">
            <v>普通机械制造业</v>
          </cell>
        </row>
        <row r="2465">
          <cell r="E2465" t="str">
            <v>电镀设备及装置</v>
          </cell>
          <cell r="F2465" t="str">
            <v>包括全自动直线形电镀生产线、全自动环形垂直升降生产线、全自动卷对卷连续镀生产线、其他电镀设备及装置。</v>
          </cell>
          <cell r="G2465" t="str">
            <v>普通机械制造业</v>
          </cell>
        </row>
        <row r="2466">
          <cell r="E2466" t="str">
            <v>其他金属处理机械</v>
          </cell>
          <cell r="F2466" t="str">
            <v>包括吸引胶管脱铁芯机、钢丝搓齿机</v>
          </cell>
          <cell r="G2466" t="str">
            <v>普通机械制造业</v>
          </cell>
        </row>
        <row r="2467">
          <cell r="E2467" t="str">
            <v>航空、航天设备，相关专用设备</v>
          </cell>
          <cell r="F2467" t="str">
            <v>包括航天试验专用设备、宇航模拟设备、其他航天试验专用设备、航天器总装调试设备含电子式飞行模拟器、名为“林克式地面飞行训练器”的设备等、同位素分离机械、装置、生产重水（氧化氘）机械或装置、浓缩铀235机械或装置、电磁式同位素分离器（卡留管）、其他同位素分离机械、装置含零件。</v>
          </cell>
          <cell r="G2467" t="str">
            <v>普通机械制造业</v>
          </cell>
        </row>
        <row r="2468">
          <cell r="E2468" t="str">
            <v>拖拉机</v>
          </cell>
          <cell r="F2468" t="str">
            <v>包括大型拖拉机（配套动力大于等于73.5kW（100马力）的大型轮式拖拉机、大型履带式拖拉机）、中型拖拉机（配套动力为18.4～73.5kW（25～100马力），不含73.5kW（100马力）的中型轮式拖拉机、中型履带式拖拉机）、小型拖拉机（小型四轮拖拉机配套动力小于18.4kW（25马力）、手扶拖拉机、其他小型拖拉机。</v>
          </cell>
          <cell r="G2468" t="str">
            <v>普通机械制造业</v>
          </cell>
        </row>
        <row r="2469">
          <cell r="E2469" t="str">
            <v>特种结构拖拉机</v>
          </cell>
          <cell r="F2469" t="str">
            <v>包括运输型拖拉机、船式拖拉机（机耕船）、高架拖拉机、坡地拖拉机、其他特种结构拖拉机。</v>
          </cell>
          <cell r="G2469" t="str">
            <v>普通机械制造业</v>
          </cell>
        </row>
        <row r="2470">
          <cell r="E2470" t="str">
            <v>农林用自装或自卸式挂车</v>
          </cell>
          <cell r="F2470" t="str">
            <v>包括农用半挂车、自装或自卸式挂车、其他农林用自装或自卸式挂车。</v>
          </cell>
          <cell r="G2470" t="str">
            <v>普通机械制造业</v>
          </cell>
        </row>
        <row r="2471">
          <cell r="E2471" t="str">
            <v>船式拖拉机（机耕船）</v>
          </cell>
          <cell r="F2471" t="str">
            <v>船式拖拉机（机耕船）</v>
          </cell>
          <cell r="G2471" t="str">
            <v>普通机械制造业</v>
          </cell>
        </row>
        <row r="2472">
          <cell r="E2472" t="str">
            <v>土壤耕整机械</v>
          </cell>
          <cell r="F2472" t="str">
            <v>指开垦、翻土、耕地、犁地、松土等农用机械。包括耕地机械（翻转犁、铧式犁、圆盘犁、栅条犁、旋耕机、耕整机、微耕机、田园管理机、开沟机（器）、浅松机、深松机、浅耕深松机、机滚船、机耕船、其他耕地机械）、整地机械（钉齿耙、弹齿耙、圆盘耙、滚子耙、驱动耙、起垄机、镇压器、合墒器、灭茬机、其他整地机械）、其他土壤耕整机械。</v>
          </cell>
          <cell r="G2472" t="str">
            <v>专用设备制造业</v>
          </cell>
        </row>
        <row r="2473">
          <cell r="E2473" t="str">
            <v>种植施肥机械</v>
          </cell>
          <cell r="F2473" t="str">
            <v>包括播种机械（条播机、穴播机、异性种子播种机、小粒种子播种机、根茎类种子播种机、水稻（水、旱）直播机、撒播机、免耕播种机、其他播种机械）、育苗机械（秧盘播种成套设备、秧田播种机、种子处理设备、营养钵压制机、起苗机、其他育苗机械设备）、栽植机械（蔬菜移栽机、油菜直播机、水稻插秧机、水稻抛秧机、水稻摆秧机、甘蔗种植机、草皮栽补机、树木移栽机、其他栽植机械）、施肥机械（施肥机（化肥）、撒肥机（厩肥）、追肥机、中耕追肥机、其他施肥机械）、地膜机械（地膜覆盖机、残膜回收机、其他地膜机械）、其他种植施肥机械。</v>
          </cell>
          <cell r="G2473" t="str">
            <v>专用设备制造业</v>
          </cell>
        </row>
        <row r="2474">
          <cell r="E2474" t="str">
            <v>田间管理机械</v>
          </cell>
          <cell r="F2474" t="str">
            <v>包括中耕机械（中耕机、培土机、除草机、埋藤机、其他中耕机械）、植保机械（手动喷雾器含背负式、压缩式、踏板式，电动喷雾器含背负式、手提式，机动喷雾喷粉机，机动喷雾机含担架式、推车式，喷杆喷雾机含牵引式、自走式、悬挂式，喷杆喷雾机含牵引式，烟雾机含常温烟雾机、热烟雾机，杀虫灯含灭蛾灯、诱虫灯，其他植保机械）、修剪机械（嫁接设备、茶树修剪机、果树修剪机、草坪修剪机、割灌机（田间机械）、其他修剪机械）、其他田间管理机械。</v>
          </cell>
          <cell r="G2474" t="str">
            <v>专用设备制造业</v>
          </cell>
        </row>
        <row r="2475">
          <cell r="E2475" t="str">
            <v>收获机械</v>
          </cell>
          <cell r="F2475" t="str">
            <v>包括谷物收获机械（自走轮式谷物联合收获机（全喂入）、自走履带式谷物联合收获机（全喂入）、背负式谷物联合收割机、牵引式谷物联合收割机、半喂入联合收割机、梳穗联合收割机、大豆收获专用割台、割晒机、割捆机、其他谷物收获机械）、玉米收获机械（背负式玉米收获机、牵引式玉米收获机、自走式玉米联合收获机、穗茎兼收玉米收获机、其他玉米收获机械）、棉麻作物收获机械（棉花收获机、麻类作物收获机、其他棉麻作物收获机械）、果实收获机械（葡萄收获机、果实捡拾机、草莓收获机、其他果实收获机械）、蔬菜收获机械（豆类蔬菜收获机、叶类蔬菜收获机、果类蔬菜收获机、其他蔬菜收获机）、花卉（茶叶）采收机械（花卉采收机、啤酒花收获机、采茶机、其他花卉（茶叶）采收机械）、籽粒作物收获机械（油菜籽收获机、葵花籽收获机、草籽收获机、花生收获机、其他籽粒作物收获机械）、根茎作物收获机械（薯类收获机、大蒜收获机、甜菜收获机、药材挖掘机、甘蔗收获机、甘蔗割铺机、甘蔗剥叶机、其他根茎作物收获机械）、饲料作物收获机械（青饲料收获机、牧草收获机、割草机、翻晒机、搂草机、捡拾压捆机、压捆机、其他饲料作物收获机械）、茎秆收集处理机械（秸秆粉碎还田机、高秆作物割晒机、其他茎秆收集处理机械）、其他收获机械。</v>
          </cell>
          <cell r="G2475" t="str">
            <v>专用设备制造业</v>
          </cell>
        </row>
        <row r="2476">
          <cell r="E2476" t="str">
            <v>收获后处理机械</v>
          </cell>
          <cell r="F2476" t="str">
            <v>脱粒机械（稻麦脱粒机、玉米脱粒机、脱扬机、其他脱粒机械）、清选机械（粮食清选机、种子清选机、甜菜清理机、籽棉清理机、扬场机、其他清选机械）、剥壳（去皮）机械（玉米剥壳机、花生脱壳机、棉籽剥壳机、干坚果脱壳机、青豆脱壳机、大蒜去皮机、其他剥壳（去皮）机械）、农产品干燥机械（粮食烘干机、种子烘干机、籽棉烘干机、果蔬烘干机、药材烘干机、油菜籽烘干机、其他农产品干燥机械）、种子加工机械（脱芒（绒）机、种子分级机、种子包衣机、种子加工机组、种子丸化处理机、棉籽脱绒成套设备、其他种子加工机械）、仓储机械（金属筒仓、输粮机、简易保鲜储藏设备、其他仓储机械）、其他收获后处理机械。</v>
          </cell>
          <cell r="G2476" t="str">
            <v>专用设备制造业</v>
          </cell>
        </row>
        <row r="2477">
          <cell r="E2477" t="str">
            <v>设施农业设备</v>
          </cell>
          <cell r="F2477" t="str">
            <v>指专门用于设施农业的设备。包括日光温室设施设备、塑料大棚设施设备、连栋温室设施设备、其他设施农业设备。</v>
          </cell>
          <cell r="G2477" t="str">
            <v>专用设备制造业</v>
          </cell>
        </row>
        <row r="2478">
          <cell r="E2478" t="str">
            <v>农田基本建设机械</v>
          </cell>
          <cell r="F2478" t="str">
            <v>包括农田挖掘机械（农田挖掘机、开沟机（开渠用）、农田挖坑机、农田推土机、其他农田挖掘机械）、农田平地机械（农田平地机、农田铲运机、其他农田平地机械）、其他农田基本建设机械。</v>
          </cell>
          <cell r="G2478" t="str">
            <v>专用设备制造业</v>
          </cell>
        </row>
        <row r="2479">
          <cell r="E2479" t="str">
            <v>微灌设备</v>
          </cell>
          <cell r="F2479" t="str">
            <v>包括微喷、滴灌、渗灌设备</v>
          </cell>
          <cell r="G2479" t="str">
            <v>专用设备制造业</v>
          </cell>
        </row>
        <row r="2480">
          <cell r="E2480" t="str">
            <v>其他喷灌机械设备</v>
          </cell>
          <cell r="F2480" t="str">
            <v>无说明</v>
          </cell>
          <cell r="G2480" t="str">
            <v>专用设备制造业</v>
          </cell>
        </row>
        <row r="2481">
          <cell r="E2481" t="str">
            <v>园艺、草坪专用机械</v>
          </cell>
          <cell r="F2481" t="str">
            <v>包括无土栽培机械和设施、草坪及运动场地滚压机、草坪机动割草机、起草皮机、其他园艺、草坪专用机械</v>
          </cell>
          <cell r="G2481" t="str">
            <v>专用设备制造业</v>
          </cell>
        </row>
        <row r="2482">
          <cell r="E2482" t="str">
            <v>林地清理机械</v>
          </cell>
          <cell r="F2482" t="str">
            <v>指清除灌木丛、矮林丛的茎、树根等用机械，包括割灌机（林地机械）、除灌机、挖坑机、其他林地清理机械。</v>
          </cell>
          <cell r="G2482" t="str">
            <v>专用设备制造业</v>
          </cell>
        </row>
        <row r="2483">
          <cell r="E2483" t="str">
            <v>造林机械</v>
          </cell>
          <cell r="F2483" t="str">
            <v>包括植树机（植树器）、容器苗栽植机、飞机播种装置、树木挖根机、树木移植机、树木削枝机、其他造林机械</v>
          </cell>
          <cell r="G2483" t="str">
            <v>专用设备制造业</v>
          </cell>
        </row>
        <row r="2484">
          <cell r="E2484" t="str">
            <v>营林机械</v>
          </cell>
          <cell r="F2484" t="str">
            <v>包括林木种子加工机械、采种机、树木种子处理及脱粒机。</v>
          </cell>
          <cell r="G2484" t="str">
            <v>专用设备制造业</v>
          </cell>
        </row>
        <row r="2485">
          <cell r="E2485" t="str">
            <v>风力灭火机具</v>
          </cell>
          <cell r="F2485" t="str">
            <v>包括风力灭火机、风力灭火器。</v>
          </cell>
          <cell r="G2485" t="str">
            <v>专用设备制造业</v>
          </cell>
        </row>
        <row r="2486">
          <cell r="E2486" t="str">
            <v>竹木采集机械</v>
          </cell>
          <cell r="F2486" t="str">
            <v>包括伐木机、伐木集材机、树桩挖除机、竹木材出河机、摇树机、其他竹木采集机械。</v>
          </cell>
          <cell r="G2486" t="str">
            <v>专用设备制造业</v>
          </cell>
        </row>
        <row r="2487">
          <cell r="E2487" t="str">
            <v>木材运输机械</v>
          </cell>
          <cell r="F2487" t="str">
            <v>包括运材挂车、其他木材运输机械。</v>
          </cell>
          <cell r="G2487" t="str">
            <v>专用设备制造业</v>
          </cell>
        </row>
        <row r="2488">
          <cell r="E2488" t="str">
            <v>木生产专用工具</v>
          </cell>
          <cell r="F2488" t="str">
            <v>包括原木装车机、抓具、木材出河机、木材装载机、编扎机、装排机。</v>
          </cell>
          <cell r="G2488" t="str">
            <v>专用设备制造业</v>
          </cell>
        </row>
        <row r="2489">
          <cell r="E2489" t="str">
            <v>草原建设机械</v>
          </cell>
          <cell r="F2489" t="str">
            <v>包括牧草补播种机、草地深松机、网围栏设备、其他草原建设机械。</v>
          </cell>
          <cell r="G2489" t="str">
            <v>专用设备制造业</v>
          </cell>
        </row>
        <row r="2490">
          <cell r="E2490" t="str">
            <v>饲料（草）加工机械设备</v>
          </cell>
          <cell r="F2490" t="str">
            <v>包括青贮切碎机、铡草机、揉丝机、压块机、饲料粉碎机（畜牧机械）、饲料混合机（畜牧机械）、饲料破碎机、饲料分级筛、饲料打浆机、颗粒饲料压制机、饲料搅拌机、饲料加工成套设备、饲料膨化机（畜牧机械）、其他饲料（草）加工机械设备。</v>
          </cell>
          <cell r="G2490" t="str">
            <v>专用设备制造业</v>
          </cell>
        </row>
        <row r="2491">
          <cell r="E2491" t="str">
            <v>畜牧饲养机械</v>
          </cell>
          <cell r="F2491" t="str">
            <v>包括孵化机、育雏保温伞、螺旋喂料机、送料机、饮水器、清粪机（车）、鸡笼鸡架、消毒机、药浴机、网围栏、其他畜牧饲养机械。</v>
          </cell>
          <cell r="G2491" t="str">
            <v>专用设备制造业</v>
          </cell>
        </row>
        <row r="2492">
          <cell r="E2492" t="str">
            <v>畜产品采集加工机械设备</v>
          </cell>
          <cell r="F2492" t="str">
            <v>包括挤奶机、剪羊毛机、牛奶分离机、储奶罐、家禽脱羽设备、家禽浸烫设备、生猪浸烫设备、生猪刮毛设备、屠宰加工成套设备、其他畜产品采集加工机械设备。</v>
          </cell>
          <cell r="G2492" t="str">
            <v>专用设备制造业</v>
          </cell>
        </row>
        <row r="2493">
          <cell r="E2493" t="str">
            <v>养蜂设备</v>
          </cell>
          <cell r="F2493" t="str">
            <v>包括榨蜜机、巢础机、蜂巢重熔用热水浴器、其他养蜂设备。</v>
          </cell>
          <cell r="G2493" t="str">
            <v>专用设备制造业</v>
          </cell>
        </row>
        <row r="2494">
          <cell r="E2494" t="str">
            <v>其他畜牧机械</v>
          </cell>
          <cell r="F2494" t="str">
            <v>指其他畜禽动物饲养机械</v>
          </cell>
          <cell r="G2494" t="str">
            <v>专用设备制造业</v>
          </cell>
        </row>
        <row r="2495">
          <cell r="E2495" t="str">
            <v>渔业养殖机械</v>
          </cell>
          <cell r="F2495" t="str">
            <v>包括投饵机械、增氧机械、工厂化养殖机械、网箱养殖设备、藻类养殖机械、水体净化处理设备、水产品采集机械、其他渔业养殖机械。</v>
          </cell>
          <cell r="G2495" t="str">
            <v>专用设备制造业</v>
          </cell>
        </row>
        <row r="2496">
          <cell r="E2496" t="str">
            <v>捕捞机械</v>
          </cell>
          <cell r="F2496" t="str">
            <v>包括绞钢机械、起网机械、起钓机械、绞贝类捕捞机械、其他捕捞机械。</v>
          </cell>
          <cell r="G2496" t="str">
            <v>专用设备制造业</v>
          </cell>
        </row>
        <row r="2497">
          <cell r="E2497" t="str">
            <v>鱼货起卸设备</v>
          </cell>
          <cell r="F2497" t="str">
            <v>包括船用吸鱼机、码头吸鱼机、鱼货出舱机、其他鱼货起卸设备。</v>
          </cell>
          <cell r="G2497" t="str">
            <v>专用设备制造业</v>
          </cell>
        </row>
        <row r="2498">
          <cell r="E2498" t="str">
            <v>渔业织网机械</v>
          </cell>
          <cell r="F2498" t="str">
            <v>包括织网机、编网机、绕线机、整经机（捕捞机械）。</v>
          </cell>
          <cell r="G2498" t="str">
            <v>专用设备制造业</v>
          </cell>
        </row>
        <row r="2499">
          <cell r="E2499" t="str">
            <v>网片处理机械</v>
          </cell>
          <cell r="F2499" t="str">
            <v>包括网片定型机、网片拉伸机、网片染色机、网片脱水机。</v>
          </cell>
          <cell r="G2499" t="str">
            <v>专用设备制造业</v>
          </cell>
        </row>
        <row r="2500">
          <cell r="E2500" t="str">
            <v>其他渔业捕捞养殖机械</v>
          </cell>
          <cell r="F2500" t="str">
            <v>无说明</v>
          </cell>
          <cell r="G2500" t="str">
            <v>专用设备制造业</v>
          </cell>
        </row>
        <row r="2501">
          <cell r="E2501" t="str">
            <v>碾米机</v>
          </cell>
          <cell r="F2501" t="str">
            <v>包括碾米机、砻谷机、谷糙分离机、砻碾组合米机、碾米加工成套设备、其他碾米机械。</v>
          </cell>
          <cell r="G2501" t="str">
            <v>专用设备制造业</v>
          </cell>
        </row>
        <row r="2502">
          <cell r="E2502" t="str">
            <v>磨粉（浆）机械</v>
          </cell>
          <cell r="F2502" t="str">
            <v>包括打麦机、洗麦机、磨粉机、面粉加工成套设备、磨浆机、其他磨粉（浆）机械。</v>
          </cell>
          <cell r="G2502" t="str">
            <v>专用设备制造业</v>
          </cell>
        </row>
        <row r="2503">
          <cell r="E2503" t="str">
            <v>茶叶加工机械</v>
          </cell>
          <cell r="F2503" t="str">
            <v>包括杀青机、揉捻机、切茶机、炒茶机、拣梗机、茶叶压实机械、茶叶加工成套机械、茶叶炒（烘）干机、茶叶萎凋机、茶叶揉切机、茶叶解块筛选机、茶叶发酵机、茶叶烘干机、茶叶筛分机、茶叶风选机、茶叶炒车机、茶叶切细机、特种茶叶加工机械、其他茶叶加工机械。</v>
          </cell>
          <cell r="G2503" t="str">
            <v>专用设备制造业</v>
          </cell>
        </row>
        <row r="2504">
          <cell r="E2504" t="str">
            <v>纺织纤维初加工机械</v>
          </cell>
          <cell r="F2504" t="str">
            <v>包括棉花加工机械（轧花机、皮棉清理机、剥绒机、棉花打包机、其他棉花加工机械）、麻类加工机械（刮麻机、剥麻机、洗麻机、其他麻类加工机械）、蚕丝捻丝前预处理机（蚕茧成套剥衣机、抽丝用容器、其他蚕丝捻丝前预处理机）、其他纺织纤维初加工机械（含除去生丝纱上瘤节、粗丝等用的机械）。</v>
          </cell>
          <cell r="G2504" t="str">
            <v>专用设备制造业</v>
          </cell>
        </row>
        <row r="2505">
          <cell r="E2505" t="str">
            <v>农产品清洁、分选机械</v>
          </cell>
          <cell r="F2505" t="str">
            <v>包括蛋类清洁、分选机械（蛋类光电检验器、蛋类光电分级器、其他蛋类清洁、分选机械）、种子、谷物清洁、分选机械（谷物清洁机及分级机、磁性分级机、电磁分级机、谷物或干豆去壳机、风选机、分级簸扬机、旋转簸扬机、种子或谷物挑选机、筛选带、种子专用分选、分级机械、清洁、分选及分级操作联合机械、其他种子、谷物清洁、分选机械）、果蔬清洁、分选机械（水果分级机、水果打蜡机、蔬菜清洗机、薯类分级机、蔬菜分级机、其他果蔬清洁、分选机械）。</v>
          </cell>
          <cell r="G2505" t="str">
            <v>专用设备制造业</v>
          </cell>
        </row>
        <row r="2506">
          <cell r="E2506" t="str">
            <v>农用包装机械</v>
          </cell>
          <cell r="F2506" t="str">
            <v>无说明</v>
          </cell>
          <cell r="G2506" t="str">
            <v>专用设备制造业</v>
          </cell>
        </row>
        <row r="2507">
          <cell r="E2507" t="str">
            <v>竹、藤、棕、草材料制品加工机械</v>
          </cell>
          <cell r="F2507" t="str">
            <v>指用柳条、竹料、藤、草、木条、塑料等编织篮筐等的机械。包括柳条、藤条加工机械（柳条、藤条等剥皮、分切、削圆等加工机械），柳竹藤草、塑料编织机械，其他竹、藤、棕、草材料制品加工机械。</v>
          </cell>
          <cell r="G2507" t="str">
            <v>专用设备制造业</v>
          </cell>
        </row>
        <row r="2508">
          <cell r="E2508" t="str">
            <v>其他农产品初加工机械</v>
          </cell>
          <cell r="F2508" t="str">
            <v>无说明</v>
          </cell>
          <cell r="G2508" t="str">
            <v>专用设备制造业</v>
          </cell>
        </row>
        <row r="2509">
          <cell r="E2509" t="str">
            <v>农林牧渔机械零配件</v>
          </cell>
          <cell r="F2509" t="str">
            <v>包括拖拉机零配件、农用喷射机械或器具零件、整地或耕作机械零件（农业、园艺及林业用整地或耕作机械的零件）、作物收获机械零件（包括作物收割、脱粒、打包机械的零件）、联合收割机零件、其他作物收获机械零件、畜牧业机械零件、家禽饲养、孵卵及育雏机械零件、挤奶机零件（包括供挤奶机用的桶、盖、脉动器、挤奶杯及其配件）、其他畜牧业机械零件。</v>
          </cell>
          <cell r="G2509" t="str">
            <v>专用设备制造业</v>
          </cell>
        </row>
        <row r="2510">
          <cell r="E2510" t="str">
            <v>医用X射线设备</v>
          </cell>
          <cell r="F2510" t="str">
            <v>包括X射线诊断设备（常规透视用X射线机、乳腺X射线机、泌尿系统诊断X射线机、胃肠检查用X射线机、X射线骨密度测量设备、摄影用X射线机、骨科X射线设备、胸部荧光缩影X射线装置、数字减影X射线机、便携式X射线机、其他X射线诊断设备）、射线断层摄影设备（CT机）（头部CT机、全身CT机、螺旋CT机、螺旋扇扫CT机、其他射线断层摄影设备）、牙科用X射线应用设备（牙科（单牙）X射线机、口腔颔面全景X射线机含全颔X射线机、其他牙科用X射线应用设备）、医疗用X射线应用设备（深层治疗X射线设备、浅层治疗X射线设备、接触治疗X射线设备、其他医用X射线治疗设备）、外科用X射线应用设备（X射线手术影像设备、手术用床旁X射线机、介入治疗X射线机、其他外科用X射线应用设备）、兽医用X射线应用设备、低剂量X射线安全检查设备、其他医用X射线设备。</v>
          </cell>
          <cell r="G2510" t="str">
            <v>仪器仪表及文化、办公用机械制造业</v>
          </cell>
        </row>
        <row r="2511">
          <cell r="E2511" t="str">
            <v>X射线附属设备及部件</v>
          </cell>
          <cell r="F2511" t="str">
            <v>包括X射线管、X光发生器、检查用家具及医用射线设备零件。X射线管、管组件或源组件含工业用、其他用途的X光管（X射线管、医用固定阳极X射线管、旋转阳极X射线管、X射线CT管、栅极X射线管及管组件含栅极X射线管及管组件、源组件、其他X射线附属设备及部件指其他医用X射线管及管组件、源组件）、X射线相关附属设备及部件（X射线影像增强器、医用透视荧光屏、医用增感屏含医用中速、高速增感屏、牙用增感屏、X光发生器、其他X射线相关附属设备及部件）、医用X射线机配套用家具（X射线检查用电动胃肠床、电动摄影平床、电动导管床、电动断层床、无轨悬吊装置、X射线管用电动立柱式支持装置、其他医用X射线机配套用家具）、医用X线设备零件。</v>
          </cell>
          <cell r="G2511" t="str">
            <v>仪器仪表及文化、办公用机械制造业</v>
          </cell>
        </row>
        <row r="2512">
          <cell r="E2512" t="str">
            <v>医用α、β、γ射线应用设备</v>
          </cell>
          <cell r="F2512" t="str">
            <v>包括医用高能射线治疗设备（医用电子直线加速器、医用回旋加速器、医用中子治疗机、医用质子治疗机、其他医用高能射线治疗设备）、医用放射性核素诊断设备（PECT（正电子发射断层扫描装置）、SPECT（单光子发射断层扫描装置）、放射性核素透视机、r射线探测仪、放射性核素扫描仪、甲状腺放射性核素显像、放射性核素骨密度测量设备、核素听诊器、其他医用放射性核素诊断设备）、医用放射性核素治疗设备（钴60治疗机、核素后装近距离治疗机、医用核素远距离治疗装置、植入式放射源、其他医用放射性核素治疗设备）、核素标本测定装置（放射免疫测定仪、其他核素标本测定装置）、医用离子射线检验设备、其他医用射线应用设备。</v>
          </cell>
          <cell r="G2512" t="str">
            <v>仪器仪表及文化、办公用机械制造业</v>
          </cell>
        </row>
        <row r="2513">
          <cell r="E2513" t="str">
            <v>医用超声诊断、治疗仪器及设备</v>
          </cell>
          <cell r="F2513" t="str">
            <v>包括医用超声诊断仪器设备（B型超声波诊断仪含眼科专用B超诊断仪、便携式B型超声诊断设备、其他B型超声波诊断仪，彩色超声波诊断仪含全数字化复合式彩超仪、超声彩色血流成像设备、“模-数”复合式专用型彩超仪、机械扇形或复合式彩超仪，M型超声波诊断仪，A型超声波诊断仪含眼科专用A超诊断仪器，C型超声波诊断仪，超声多普勒设备含经颅超声多普勒设备、超声多普勒胎音（心）仪，超声血流检测设备，超声骨密度检测设备含超声骨密度（骨质）仪，超声胃镜，超声结肠镜，超声内窥镜，超声宫内镜，复合式扫描超声诊断仪，相控阵超声诊断仪，多普勒超声血流成像仪，超声胎儿监护仪，其他医用超声诊断仪器设备）、超声手术及聚焦治疗装置（眼科乳化手术系统、超声手术刀、超声癌症治疗机、超声外科吸引装置、经颅超声多普勒、高强度聚焦超声系统（HIFO）、其他超声手术及聚焦治疗装置）、超声治疗设备（超声治疗机、超声雾化器、穴位超声治疗机、超声骨折治疗机、超声洁牙机、超声去脂仪、超声理疗美容仪、其他超声治疗设备）、超声换能器（探头）（腔内换能器、导管式换能器、穿刺换能器、血管换能器、线阵换能器、凸阵换能器、环阵换能器、单晶片换能器、相控阵换能器、连续多普勒笔形换能器、声表面波换能器、浅表高频换能器、食道超声换能器、其他超声换能器（探头））、其他医用超声治疗仪器及设备。</v>
          </cell>
          <cell r="G2513" t="str">
            <v>仪器仪表及文化、办公用机械制造业</v>
          </cell>
        </row>
        <row r="2514">
          <cell r="E2514" t="str">
            <v>医用电气诊断仪器及装置</v>
          </cell>
          <cell r="F2514" t="str">
            <v>包括功能检查或生理参数检查用装置。心电诊断仪器（心电图记录仪含胎儿心电图机、心电向量图机、单导心电图机、多导心电图机、心电图综合测试仪，心音描记器指以心音图形式记录心脏声音的专门仪器，也可作为心电图记录仪使用，心动冲击图仪器，心磁图仪器，心输出量测定仪器，心脏检查器，心电阻描记器指测量由心功能所引起的电阻变化用的电气设备，心电分析仪含心电多相分析仪，晚电位测试仪，无损伤心功能检测仪，心率变异性检测仪，运动心电功量计，心电遥测仪，心电电话传递系统，实时心律分析记录仪，长程心电记录仪，心电标测图仪，心电工作站，其他心电诊断仪器）、脑电诊断仪器（脑电图机、脑电阻仪、脑电流描记器、脑电波分析仪、脑地形图仪、脑电实时分析记录仪、其他脑电诊断仪器）、医用磁共振设备（核磁共振成像装置含医用磁共振成像设备、骨密度仪、甲状腺功能测定仪、永磁型共振成像系统、常导型磁共振成像系统、超导型磁共振成像系统、其他医用磁共振设备）、血流量、容量测定装置（脑血流描述器、阻抗血流图仪、电磁血流量计、无创心输出量计、脉搏描述器用于记录动脉压和血容量、心脏血管功能综合测试仪、其他血流量、容量测定装置）、电子压力测定装置（无创性电子血压计，插入式血压计，体脂肪计，电子血压脉搏仪，动态血压监护仪，眼压、眼震电图仪用于记录眼动脉压、眼静脉压或眼内压的变化包括三笔眼震电图机、电子眼压描述器，视网膜电描述器用于测定视网膜的动脉压，其他电子压力测定装置）、电声诊断仪器（听力计及类似设备指通过频率变化的方式进行听力测验包括听力计、小儿测听计，心音图仪，舌音图仪，胃肠电流图仪，诱发电位检测系统，其他电声诊断仪器）、闪烁摄影装置指带有闪烁计数器的设备，可将所测数据转换成模拟信号供医疗诊断用（医用伽玛（γ）照相机、闪烁扫描器、其他闪烁摄影装置）、紫红外线诊断、治疗设备（医用红外热像仪、红外经乳腺诊断仪、红外线凝固仪器、紫外线治疗机、红外线治疗机、远红外辐射治疗机、其他紫红外线诊断、治疗设备）、其他医用电气诊断仪器及装置含肌电诊断仪器</v>
          </cell>
          <cell r="G2514" t="str">
            <v>仪器仪表及文化、办公用机械制造业</v>
          </cell>
        </row>
        <row r="2515">
          <cell r="E2515" t="str">
            <v>医用激光诊断、治疗仪器及设备</v>
          </cell>
          <cell r="F2515" t="str">
            <v>包括激光诊断仪器（氦镉激光器、激光白内障诊断装置、激光眼科诊断仪、激光肿瘤光谱诊断装置、激光荧光肿瘤诊断仪、眼科激光扫描仪、2类（弱激光）激光诊断仪、激光血液分析仪、激光多普勒血流仪、其他激光诊断仪器）、激光手术和治疗设备（气体激光手术设备、眼科激光光凝机、固体激光手术设备、3B类半导体激光治疗仪、4类（强激光）半导体激光治疗仪、氮分子激光治疗仪、晶体激光乳化设备、激光血管焊接机、介入式激光诊治仪器含He-Ne激光血管内照射治疗仪、其他激光手术和治疗设备）、弱激光体外治疗仪器（氦氖激光治疗机、氦镉激光治疗机、3A（弱激光）半导体激光治疗机、激光针灸治疗仪、其他弱激光体外治疗仪器）、激光手术器械（激光显微手术器、LASIK用角膜板层刀、其他激光手术器械）。</v>
          </cell>
          <cell r="G2515" t="str">
            <v>仪器仪表及文化、办公用机械制造业</v>
          </cell>
        </row>
        <row r="2516">
          <cell r="E2516" t="str">
            <v>医用高频仪器设备</v>
          </cell>
          <cell r="F2516" t="str">
            <v>包括高频手术和电凝设备（高频电刀、高频扁桃体手术器、高频息肉手术器、高频眼科电凝器、内窥镜高频手术器、后尿道电切开刀、高频腋臭治疗仪、高频鼻甲电凝器、高频痔疮治疗仪、射频控温热凝器、其他高频手术和电凝设备）、高频电熨设备（高频电灼器、高频妇科电熨器、高频五官科电熨器、其他高频电熨设备）</v>
          </cell>
          <cell r="G2516" t="str">
            <v>仪器仪表及文化、办公用机械制造业</v>
          </cell>
        </row>
        <row r="2517">
          <cell r="E2517" t="str">
            <v>微波、射频、高频诊断治疗设备</v>
          </cell>
          <cell r="F2517" t="str">
            <v>包括微波诊断设备（微波肿瘤诊断仪、其他微波诊断设备）、微波治疗设备（微波手术刀、微波肿瘤热疗仪、微波前列腺治疗仪、微波治疗机、其他微波治疗设备）、射频治疗设备（射频前列腺治疗仪、射频消融治疗仪、内生物肿瘤热疗系统、肿瘤射频热疗机、短波治疗机、超短波电疗机、其他射频治疗设备）、高频电极装置（电凝钳、电凝镊、手术电极、其他高频电极装置）、其他微波、射频、高频诊断治疗设备</v>
          </cell>
          <cell r="G2517" t="str">
            <v>仪器仪表及文化、办公用机械制造业</v>
          </cell>
        </row>
        <row r="2518">
          <cell r="E2518" t="str">
            <v>中医诊断、治疗仪器设备</v>
          </cell>
          <cell r="F2518" t="str">
            <v>包括中医诊断仪器（中医诊断仪、痛阈测量仪、经络分析仪、其他中医诊断仪器）、中医治疗仪器（综合电针仪、电麻仪、定量针麻仪、电子穴位测定治疗仪、探穴针麻仪、穴位测试仪、耳穴探测治疗机、其他中医治疗仪器）</v>
          </cell>
          <cell r="G2518" t="str">
            <v>仪器仪表及文化、办公用机械制造业</v>
          </cell>
        </row>
        <row r="2519">
          <cell r="E2519" t="str">
            <v>病人监护设备及器具</v>
          </cell>
          <cell r="F2519" t="str">
            <v>包括无创病人监护仪器（心律失常监护报警器、麻醉气体监护扩护仪、呼吸功能监护仪、睡眠监护评价系统、分娩监护仪、带T段分析监护仪、其他无创病人监护仪器）、有创式电生理仪器（体外震波碎石机、病人有创监护系统、颅内压监护仪、有创心输出量计、有创多导生理记录仪、心内希氏束电图机、心内外膜标测图仪、有创性电子血压计、其他有创式电生理仪器）生物反馈仪（肌电生物反馈仪、温度生物反馈仪、心率反馈仪、其他生物反馈仪）、体外反搏及其辅助循环装置（气囊式体外反搏装置、睡眠呼吸治疗系统、心电电极、心电导联线、其他体外反搏及其辅助循环装置）、医用记录仪器（热笔记录仪、热阵记录仪、喷笔记录仪、光记录仪、磁记录仪、X-Y记录仪、固态记录仪、其他医用记录仪器）其他病人监护设备及器具。</v>
          </cell>
          <cell r="G2519" t="str">
            <v>仪器仪表及文化、办公用机械制造业</v>
          </cell>
        </row>
        <row r="2520">
          <cell r="E2520" t="str">
            <v>临床检验分析仪器及诊断系统</v>
          </cell>
          <cell r="F2520" t="str">
            <v>包括血液分析仪器设备（血红蛋白测定仪、血小板聚集仪、全自动血细胞分析仪、全自动涂片机、流式细胞分析仪、全自动凝血纤溶分析仪、半自动血细胞分析仪、血凝分析仪、自动血库系统、血糖分析仪、血流变仪、血液粘度计、红细胞变形仪、血液流变参数测试仪、血栓弹力仪、其他血液分析仪器设备）、血气分析系统（全自动血气分析仪、组织氧含量测定仪、血氧饱和度测试仪、CO2红外分析仪、经皮血氧分压监测仪、血气酸碱分析仪、电化学测氧仪、其他血气分析系统）、生理研究实验仪器（方波生理仪、生物电脉冲分析仪、生物电脉冲频率分析仪、微电极控制器、微操纵器、微电极监视器、其他生理研究实验仪器）、生化分析仪器（全自动生化分析仪、全自动快速（干式）生化分析仪、全自动多项电解质分析仪、半自动生化分析仪、半自动单/多项电解质分析仪、其他生化分析仪器）、免疫分析系统（全自动免疫分析仪、特定蛋白分析仪、化学发光测定仪、荧光免疫分析仪、酶免仪、半自动酶标仪、荧光显微检测系统、其他免疫分析系统）、细菌分析系统（细菌测定系统、结核杆菌分析仪、药敏分析仪、快速细菌培养仪、幽门螺旋杆菌测定仪、其他细菌分析系统）、基因和生命科学仪器（全自动医用PCR分析系统、精子分析仪、生物芯片阅读仪、PCR扩增仪、其他基因和生命科学仪器）、自动尿液分析仪、临床医学检验辅助设备、其他临床检验分析仪器及诊断系统</v>
          </cell>
          <cell r="G2520" t="str">
            <v>仪器仪表及文化、办公用机械制造业</v>
          </cell>
        </row>
        <row r="2521">
          <cell r="E2521" t="str">
            <v>医用电泳仪</v>
          </cell>
          <cell r="F2521" t="str">
            <v>包括低压电泳仪、中压电泳仪、高压电泳仪</v>
          </cell>
          <cell r="G2521" t="str">
            <v>仪器仪表及文化、办公用机械制造业</v>
          </cell>
        </row>
        <row r="2522">
          <cell r="E2522" t="str">
            <v>医用化验和基础设备器具</v>
          </cell>
          <cell r="F2522" t="str">
            <v>包括医用培养箱主要由透明塑料制的箱体、电气加温装置、安全报警装置、氧气及空气过滤和调节装置组成（CO2培养箱、超净恒温培养箱、厌氧培养装置、其他医用培养箱）、病理分析前处理设备（切片机（医用）、整体切片机、自动组织脱水机、染色机、包埋机、组织处理机、其他病理分析前处理设备）、血液化验器具（红白血球吸管、采血管含定量采血管、真空采血管、微量血液搅拌器、微量血液振荡器、其他血液化验器具）、其他医用化验和基础设备器具。</v>
          </cell>
          <cell r="G2522" t="str">
            <v>仪器仪表及文化、办公用机械制造业</v>
          </cell>
        </row>
        <row r="2523">
          <cell r="E2523" t="str">
            <v>牙钻机</v>
          </cell>
          <cell r="F2523" t="str">
            <v>包括电动牙钻机、涡轮牙钻机、其他牙钻机。</v>
          </cell>
          <cell r="G2523" t="str">
            <v>仪器仪表及文化、办公用机械制造业</v>
          </cell>
        </row>
        <row r="2524">
          <cell r="E2524" t="str">
            <v>口腔综合治疗设备</v>
          </cell>
          <cell r="F2524" t="str">
            <v>指装有牙科设备的牙科用椅。包括牙科综合治疗机、牙科综合治疗台、其他口腔综合治疗设备</v>
          </cell>
          <cell r="G2524" t="str">
            <v>仪器仪表及文化、办公用机械制造业</v>
          </cell>
        </row>
        <row r="2525">
          <cell r="E2525" t="str">
            <v>牙钻机配件</v>
          </cell>
          <cell r="F2525" t="str">
            <v>包括牙钻机专用牙钻、牙钻机专用金刚砂片、牙钻机专用刷子、其他牙钻机配件</v>
          </cell>
          <cell r="G2525" t="str">
            <v>仪器仪表及文化、办公用机械制造业</v>
          </cell>
        </row>
        <row r="2526">
          <cell r="E2526" t="str">
            <v>牙科手机</v>
          </cell>
          <cell r="F2526" t="str">
            <v>包括牙科直手机、连扣直手机、牙科弯手机、连扣弯手机、低速牙科手机、涡轮手机、电动手机、其他牙科手机</v>
          </cell>
          <cell r="G2526" t="str">
            <v>仪器仪表及文化、办公用机械制造业</v>
          </cell>
        </row>
        <row r="2527">
          <cell r="E2527" t="str">
            <v>洁牙、补牙设备</v>
          </cell>
          <cell r="F2527" t="str">
            <v>包括牙根管长度测定仪、牙打磨机、牙抛光机、牙冠机、光固化机（器）、医用洁牙机、牙髓活力测试仪、根管治疗仪、包埋材料搅拌机、其他洁牙、补牙设备</v>
          </cell>
          <cell r="G2527" t="str">
            <v>仪器仪表及文化、办公用机械制造业</v>
          </cell>
        </row>
        <row r="2528">
          <cell r="E2528" t="str">
            <v>口腔综合治疗设备配件</v>
          </cell>
          <cell r="F2528" t="str">
            <v>包括三用喷枪、强力吸引器、吸唾器、电动抽吸系统、牙模测试仪、银汞调和器、其他口腔综合治疗设备配件</v>
          </cell>
          <cell r="G2528" t="str">
            <v>仪器仪表及文化、办公用机械制造业</v>
          </cell>
        </row>
        <row r="2529">
          <cell r="E2529" t="str">
            <v>口腔科手术器械</v>
          </cell>
          <cell r="F2529" t="str">
            <v>包括口腔科用刀(粘固粉调刀、牙龈刀、水门调刀、蜡型雕刻刀、石膏切刀、调刀等)、口腔科用凿(阻生牙骨凿、牙釉凿、牙骨凿)、口腔科用剪(牙龈剪、金冠剪等)、口腔科用牙钳(牙槽咬骨钳、拔牙钳、切断牙钳、舌钳、根钳、扩大钳等)、口腔科用牙挺(牙根尖挺、丁字形牙挺)、口腔科专用镊、夹(牙用镊（棉花镊）、成形片夹、残根镊（牙根镊）、长镊)、切除颌骨用器械(切除颌骨及上颌窦的牙骨凿、牙骨锤、牙骨膜分离器、牙龈分离器、骨刮、牙用锉、牙骨剪及类似器械)</v>
          </cell>
          <cell r="G2529" t="str">
            <v>仪器仪表及文化、办公用机械制造业</v>
          </cell>
        </row>
        <row r="2530">
          <cell r="E2530" t="str">
            <v>口腔治疗用器械</v>
          </cell>
          <cell r="F2530" t="str">
            <v>包括治疗牙神经用器械包括牙探针、脓肿探针、牙周袋探针（刻度牙探针）、神经钩、神经针、神经探寻器、拔髓针及其他拔出器，清洁牙龈及牙槽专用器械包括治疗牙石、牙垢的牙刮器、刮匙及牙釉质凿，口腔镜，口腔治疗用枪头包括水枪头、热气枪头，口腔治疗通用器械包括汞合金输送器、研光器、根管充填器、粘固粉充填器、银汞合金充填器、去冠器、咬合器、弓形成型器、磨牙带环就位器，其他口腔治疗用器械包括拔髓针柄、吹火管、印模托盘、煮牙盒、结扎杆、带环推子</v>
          </cell>
          <cell r="G2530" t="str">
            <v>仪器仪表及文化、办公用机械制造业</v>
          </cell>
        </row>
        <row r="2531">
          <cell r="E2531" t="str">
            <v>热力消毒设备及器具</v>
          </cell>
          <cell r="F2531" t="str">
            <v>指普通消毒设备及器具，包括压力蒸汽灭菌设备（立式、卧式矩形、卧式圆形压力蒸汽灭菌器）、干热消毒灭菌设备、煮沸消毒设备（电热煮沸消毒器、自动控制电热煮沸消毒器）、其他热力消毒设备及器具</v>
          </cell>
          <cell r="G2531" t="str">
            <v>仪器仪表及文化、办公用机械制造业</v>
          </cell>
        </row>
        <row r="2532">
          <cell r="E2532" t="str">
            <v>气体消毒灭菌设备</v>
          </cell>
          <cell r="F2532" t="str">
            <v>包括环氧乙烷灭菌器、轻便型自动气体灭菌器、其他气体消毒灭菌设备</v>
          </cell>
          <cell r="G2532" t="str">
            <v>仪器仪表及文化、办公用机械制造业</v>
          </cell>
        </row>
        <row r="2533">
          <cell r="E2533" t="str">
            <v>特种消毒灭菌设备</v>
          </cell>
          <cell r="F2533" t="str">
            <v>包括辐射消毒灭菌设备（医用伽玛r射线灭菌装置、紫外线消毒器、红外线灭菌器等）、超声波消毒设备、微波消毒设备、真空蒸气灭菌器（预真空蒸气灭菌器）、脉动真空压力蒸汽灭菌器、高压电离灭菌设备（手术室用高压电离灭菌设备、病房用高压电离灭菌设备）、医用内窥镜清洗机、其他特种消毒灭菌设备</v>
          </cell>
          <cell r="G2533" t="str">
            <v>仪器仪表及文化、办公用机械制造业</v>
          </cell>
        </row>
        <row r="2534">
          <cell r="E2534" t="str">
            <v>医用消毒灭菌器具</v>
          </cell>
          <cell r="F2534" t="str">
            <v>指医疗器械配套消毒灭菌器具，包括灭菌指示条、其他医用消毒灭菌器具。</v>
          </cell>
          <cell r="G2534" t="str">
            <v>仪器仪表及文化、办公用机械制造业</v>
          </cell>
        </row>
        <row r="2535">
          <cell r="E2535" t="str">
            <v>诊断专用器械</v>
          </cell>
          <cell r="F2535" t="str">
            <v>包括体温计、听诊器、叩诊锤（无电能）、血压测量仪器及器具、测颅器、骨盆测量器，呼吸功能测定装置、诊察治疗设备、检镜及反光器具、其他诊断专用器械。</v>
          </cell>
          <cell r="G2535" t="str">
            <v>仪器仪表及文化、办公用机械制造业</v>
          </cell>
        </row>
        <row r="2536">
          <cell r="E2536" t="str">
            <v>内窥镜</v>
          </cell>
          <cell r="F2536" t="str">
            <v>包括诊断用内窥镜（观察用硬管内窥镜-膀胱镜、诊断用纤维内窥镜-支气管镜包括支气管电子内窥镜、诊断用纤维内窥镜-上消化道镜包括上消化道电子内窥镜、诊断用纤维内窥镜-结肠镜包括结肠电子内窥镜、诊断用纤维内窥镜-大肠镜包括大肠电子内窥镜、观察用硬管内窥镜-喉镜、观察用硬管内窥镜-鼻镜、观察用硬管内窥镜-子宫镜、观察用硬管内窥镜-直肠镜、观察用硬管内窥镜-羊水镜、内窥镜冷光源、胰腺电子内窥镜、其他诊断用内窥镜）、手术用窥镜包括心血管、有创、腔内手术用窥镜（有创内窥镜-腹腔镜、有创内窥镜-关节镜、有创内窥镜-肾镜、有创内窥镜-胰腺镜、有创内窥镜-椎间盘镜有创内窥镜-脑窦镜、有创内窥镜-胆道镜、心内窥镜、血管内窥镜、腔内手术用内窥镜-经尿道电切镜、高频电切手术用窥镜包括纤维内窥镜、硬管内窥镜、其他手术用窥镜）、其他内窥镜</v>
          </cell>
          <cell r="G2536" t="str">
            <v>仪器仪表及文化、办公用机械制造业</v>
          </cell>
        </row>
        <row r="2537">
          <cell r="E2537" t="str">
            <v>注射穿刺器械</v>
          </cell>
          <cell r="F2537" t="str">
            <v>包括注射器不论是否装有针头包括普通注射器、穿刺注射器、麻醉注射器、冲洗注射器、伤口清洗注射器、吸引器（带或不带唧筒）、眼、耳或喉的注射器、子宫及其他妇科注射器（玻璃注射器、一次性注射器、其他注射器）、管状金属针头包括结扎针、接种针、验血针、皮下注射针等（静脉采血针、一次性注射针、一次性静脉输液针、一次性使用光纤针、留置针）、医用缝合针、套针包括穿刺用套针、胆囊套针、普通套针等、套管、插管、导管、吸管及类似品、其他注射穿刺器械</v>
          </cell>
          <cell r="G2537" t="str">
            <v>仪器仪表及文化、办公用机械制造业</v>
          </cell>
        </row>
        <row r="2538">
          <cell r="E2538" t="str">
            <v>眼科专用仪器及器具</v>
          </cell>
          <cell r="F2538" t="str">
            <v>包括视轴矫正或视力检查用设备、眼科诊断用设备。弱视镜、眼膜曲率器视网膜镜、斜视镜、角膜散光计、角膜镜、验光镜箱眼压计、开睑器、检眼镜、其他眼科专用仪器及器具含支承验光镜片的试镜架、视力测定尺、测试表等。</v>
          </cell>
          <cell r="G2538" t="str">
            <v>仪器仪表及文化、办公用机械制造业</v>
          </cell>
        </row>
        <row r="2539">
          <cell r="E2539" t="str">
            <v>兽医专用仪器及机械</v>
          </cell>
          <cell r="F2539" t="str">
            <v>包括阉割、牲畜生产用仪器及器械（去势器、阉割夹钳、割虎钳及镊子、卵巢切除器械、产科专用钳子及钩子、牲畜生产机械助产器、其他牲畜生产用仪器及器械含产科专用索带、头围等）、牲畜乳房疾病治疗仪器（乳头扩张器、乳头穿刺探针、母牛产褥热治疗器械、母牛生乳热治疗器械、其他牲畜乳房疾病治疗仪器）、其他兽医专用器械（人工授精器、剪尾器、截角器、器官疾病治疗喷雾器含治疗动物呼吸、消化、泌尿、生殖等器官疾病的喷雾器、专用控制器械即在手术时防止挣扎用的开口器、脚枷等、药物特殊注射器含准备装填麻醉药或其他药剂（抗血清、疫苗等）、远距离注射器、投药器械、检查鸡雏雌雄用内窥器、其他未列明兽医专用器械含专门的灌药用嚼子、治疗蹄裂病的钩子（用于闭合蹄裂））</v>
          </cell>
          <cell r="G2539" t="str">
            <v>仪器仪表及文化、办公用机械制造业</v>
          </cell>
        </row>
        <row r="2540">
          <cell r="E2540" t="str">
            <v>外科手术器械</v>
          </cell>
          <cell r="F2540" t="str">
            <v>包括显微外科手术器械、显微外科用刀、凿、显微外科用剪、显微外科用钳、显微外科用镊、夹、显微外科用针、钩、显微合拢器、其他显微外科手术器械、基础外科手术器械、通用外科用刀、通用外科用剪、通用外科用钳、通用外科用镊、夹、通用外科用针、钩、通用外科用开口器、通用外科用皮肤刮匙、其他基础外科手术器械、神经外科手术器械、神经外科脑内用刀、神经外科脑内用钳、神经外科脑内用镊、神经外科脑内用钩、神经外科脑内用刮匙、后颅凹牵开器、脑膜剥离器、脑活检抽吸器、脑吸引器、脑打针锤、手摇颅骨钻、其他神经外科手术器械、眼科手术器械、眼科手术用刀剪、眼科手术用钳、眼科手术用镊、夹、眼科手术用针、钩、角膜环钻、眼用板铲、玻璃体切割器、其他眼科手术器械、耳鼻喉科手术器械、耳鼻喉科用刀、耳鼻喉科用凿、耳鼻喉科用剪、耳鼻喉科用钳、耳鼻喉科用镊、夹、耳鼻喉科用针、耳鼻喉科用钩、耳用刮匙、耳鼻喉科用镜、乳突牵开器、扁桃体吸引管、乳突吸引管、其他耳鼻喉科手术器械、胸腔心血管外科手术器械、胸腔心血管外科用刀、胸腔心血管外科用剪、胸腔心血管外科用钳、夹、血管阻断钳、胸腔心血管止血钳、胸腔心血管外科用夹器、胸腔心血管外科用针、钩、胸腔心血管外科用吸引器、胸腔心血管外科用扩张器、胸腔心血管外科用剥离器具、胸腔心血管外科用钻、打洞器、其他胸腔心血管外科手术器械、腹部外科手术器械、腹部外科用剪、腹部外科用钳、腹外科用针、腹外科用钩、荷包成型器、腹壁固定牵开器、单（双）胆石匙、其他腹部外科手术器械、泌尿肛肠外科手术器械、泌尿肛肠科用剪、泌尿肛肠科用钳、泌尿肛肠科用针、泌尿肛肠科用钩、尿道扩张器、肛门镜、其他泌尿肛肠外科手术器械、妇产科用手术器械、妇产科用剪、妇产科用钳、妇产科用镊、妇产科用针、妇产科用钩、妇科用牵开器、输卵管通液器（输卵管通气管）、骨盆测量计、子宫刮匙、宫内节育器、其他妇产科用手术器械、矫形外科（骨科）手术器械、矫形外科（骨科）用刀、矫形外科（骨科）用锥、矫形外科（骨科）用钻、矫形外科（骨科）用剪、矫形外科（骨科）用钳、矫形外科（骨科）用锯、矫形外科（骨科）用凿、矫形外科（骨科）用锉、矫形外科（骨科）用钩、矫形外科（骨科）用针、矫形外科（骨科）用刮器、矫形外科（骨科）用有源器械、矫形外科（骨科）固定用器械、其他矫形外科（骨科）手术器械、烧伤（整形）科手术器械、烧伤（整形）用刀、烧伤（整形）用凿、烧伤（整形）用钳、烧伤（整形）用镊、夹、烧伤（整形）科用设备、烧伤（整形）科用设备、烧伤（整形）科用器具、其他烧伤（整形）科手术器械、手术机器人、手术导航系统、脑立体定向仪、其他外科手术器械</v>
          </cell>
          <cell r="G2540" t="str">
            <v>仪器仪表及文化、办公用机械制造业</v>
          </cell>
        </row>
        <row r="2541">
          <cell r="E2541" t="str">
            <v>手术室、急救室、诊疗室设备及器具</v>
          </cell>
          <cell r="F2541" t="str">
            <v>包括输血设备、单采血浆机、人体血液处理机、腹水浓缩机、血液成分输血装置、血液成分分离机、血液过滤装置、血液净化管路、人工心肺机血路、自体血回输装置、吸附器、血液解毒（灌流灌注）器、血液净化体外循环血路（管道）、其他输血设备、麻醉设备及附件、立式麻醉机、综合麻醉机、小儿麻醉机、麻醉开口器、麻醉咽喉镜、麻醉面罩、其他麻醉设备及附件、呼吸机、电动呼吸机、气动呼吸机、高频喷射呼吸机、同步呼吸机、其他呼吸机、呼吸设备配件、手术及急救装置、止血带、输液、注射辅助装置、洗胃机、灌肠机（医疗）、洗肠机、胃肠冲吸器、胃肠减压器、输卵管通气机、其他手术及急救装置、负压吸引装置、流产吸引器、负压吸引器、其他负压吸引装置</v>
          </cell>
          <cell r="G2541" t="str">
            <v>仪器仪表及文化、办公用机械制造业</v>
          </cell>
        </row>
        <row r="2542">
          <cell r="E2542" t="str">
            <v>中医治疗器具</v>
          </cell>
          <cell r="F2542" t="str">
            <v>包括中医用针、中医用钩、叉（含针灸针（毫针）、皮肤针（七星针、梅花针）、三棱针）、灸类器械、拔火罐类器械含负压罐、中医骨伤器具、其他中医治疗器具（含小针刀、刮痧板）。</v>
          </cell>
          <cell r="G2542" t="str">
            <v>仪器仪表及文化、办公用机械制造业</v>
          </cell>
        </row>
        <row r="2543">
          <cell r="E2543" t="str">
            <v>其他医疗、外科及兽医用器械</v>
          </cell>
          <cell r="F2543" t="str">
            <v>无说明</v>
          </cell>
          <cell r="G2543" t="str">
            <v>仪器仪表及文化、办公用机械制造业</v>
          </cell>
        </row>
        <row r="2544">
          <cell r="E2544" t="str">
            <v>机械治疗器具</v>
          </cell>
          <cell r="F2544" t="str">
            <v>包括电动按摩器具、震颤按摩器、超声波安眠器、磁力按摩床、按摩褥垫、其他电动按摩器具、手动式按摩器、手握式按摩圈、足底按摩轮、橡胶滚筒按摩器具、其他手动式按摩器、机械疗法器械、上肢综合训练器、手指功能恢复器具、旋转活动脚部器具、活动躯干器具、练习行走器具、下肢康复运动器、机动式多功能器具、其他机械疗法器械、氧气治疗器、空气加压氧舱、氧气加压氧舱、其他氧气治疗器、臭氧治疗器、喷雾治疗器、人工呼吸器、心理功能测验装置、测验下意识反应能力装置、测验肢体灵巧程度装置、旋转椅、智商测试装置、其他心理功能测验装置、牵引装置、胸背部矫正装置、防治打鼾器械、仿真性辅助器具、其他机械治疗器具。不包括家用按摩器具（详见1090419）。</v>
          </cell>
          <cell r="G2544" t="str">
            <v>仪器仪表及文化、办公用机械制造业</v>
          </cell>
        </row>
        <row r="2545">
          <cell r="E2545" t="str">
            <v>电疗仪器</v>
          </cell>
          <cell r="F2545" t="str">
            <v>包括音频电疗机、差频电疗机、体内低频脉冲治疗仪、电化学癌症治疗机、离子导入治疗仪、高压低频脉冲治疗机、高压电位治疗仪、场效应治疗仪（热垫式治疗仪）、电击治疗设备、其他电疗仪器</v>
          </cell>
          <cell r="G2545" t="str">
            <v>仪器仪表及文化、办公用机械制造业</v>
          </cell>
        </row>
        <row r="2546">
          <cell r="E2546" t="str">
            <v>光谱辐射治疗仪器</v>
          </cell>
          <cell r="F2546" t="str">
            <v>包括常规光源医疗机、光量子血液治疗机、光谱治疗仪、强光辐射治疗仪、其他光谱辐射治疗仪器、</v>
          </cell>
          <cell r="G2546" t="str">
            <v>仪器仪表及文化、办公用机械制造业</v>
          </cell>
        </row>
        <row r="2547">
          <cell r="E2547" t="str">
            <v>透热疗法设备</v>
          </cell>
          <cell r="F2547" t="str">
            <v>用于医治某些可采用热作用治疗的疾病（例如，风湿病、神经痛、牙科疾病），采用高频电流（短波、超声波、超短波等电流）和使用各种形状（例如，片状、环状、管状）的电极进行工作</v>
          </cell>
          <cell r="G2547" t="str">
            <v>仪器仪表及文化、办公用机械制造业</v>
          </cell>
        </row>
        <row r="2548">
          <cell r="E2548" t="str">
            <v>磁疗设备</v>
          </cell>
          <cell r="F2548" t="str">
            <v>包括磁疗机、磁感应电疗机、低频电磁综合治疗机、特定电磁波治疗机</v>
          </cell>
          <cell r="G2548" t="str">
            <v>仪器仪表及文化、办公用机械制造业</v>
          </cell>
        </row>
        <row r="2549">
          <cell r="E2549" t="str">
            <v>离子电渗治疗设备</v>
          </cell>
          <cell r="F2549" t="str">
            <v>离子电渗治疗设备，通过电流将活性药物（水杨酸钠、水杨酸锂、碘化钾、组胺等）透过皮肤导入病灶</v>
          </cell>
          <cell r="G2549" t="str">
            <v>仪器仪表及文化、办公用机械制造业</v>
          </cell>
        </row>
        <row r="2550">
          <cell r="E2550" t="str">
            <v>眼科康复治疗仪器</v>
          </cell>
          <cell r="F2550" t="str">
            <v>包括视力训练仪、弱视治疗仪、其他眼科康复治疗仪器</v>
          </cell>
          <cell r="G2550" t="str">
            <v>仪器仪表及文化、办公用机械制造业</v>
          </cell>
        </row>
        <row r="2551">
          <cell r="E2551" t="str">
            <v>水疗仪器</v>
          </cell>
          <cell r="F2551" t="str">
            <v>无说明</v>
          </cell>
          <cell r="G2551" t="str">
            <v>仪器仪表及文化、办公用机械制造业</v>
          </cell>
        </row>
        <row r="2552">
          <cell r="E2552" t="str">
            <v>低温治疗仪器</v>
          </cell>
          <cell r="F2552" t="str">
            <v>即冷疗仪器包括液氮冷疗机、宫腔冷冻治疗仪、冷冻低温治疗机、低温变速降温仪、压缩式冷冻治疗仪、体内肿瘤低温治疗仪、肝脏冷冻治疗仪、直肠癌低温治疗仪、其他低温治疗仪器、</v>
          </cell>
          <cell r="G2552" t="str">
            <v>仪器仪表及文化、办公用机械制造业</v>
          </cell>
        </row>
        <row r="2553">
          <cell r="E2553" t="str">
            <v>医用刺激器</v>
          </cell>
          <cell r="F2553" t="str">
            <v>包括带刺激器心脏工作站、声刺激器、光刺激器、电刺激器、磁刺激器、其他医用刺激器</v>
          </cell>
          <cell r="G2553" t="str">
            <v>仪器仪表及文化、办公用机械制造业</v>
          </cell>
        </row>
        <row r="2554">
          <cell r="E2554" t="str">
            <v>体外循环设备</v>
          </cell>
          <cell r="F2554" t="str">
            <v>包括肾脏透析设备（人工肾）、血液透析机、血液透析管、血液透析装置、血液透析滤过装置、透析血路、中空纤维透析器、多层平板型透析器、其他肾脏透析设备（人工肾）、人工心肺设备及辅助装置、人工心肺机、气泡去除器、微栓过滤器、其他人工心肺设备及辅助装置、氧合器、鼓泡式氧合器、膜式氧合器、其他氧合器、其他体外循环设备。</v>
          </cell>
          <cell r="G2554" t="str">
            <v>仪器仪表及文化、办公用机械制造业</v>
          </cell>
        </row>
        <row r="2555">
          <cell r="E2555" t="str">
            <v>婴儿保育设备</v>
          </cell>
          <cell r="F2555" t="str">
            <v>主要由透明塑料制的箱体、电气加温装置、安全报警装置、氧气及空气过滤和调节装置组成。包括早产儿培养箱、辐射式新生儿抢救台、新生儿运输培养箱、其他婴儿保育设备。</v>
          </cell>
          <cell r="G2555" t="str">
            <v>仪器仪表及文化、办公用机械制造业</v>
          </cell>
        </row>
        <row r="2556">
          <cell r="E2556" t="str">
            <v>医院制气供气设备及装置</v>
          </cell>
          <cell r="F2556" t="str">
            <v>包括医用制氧机、氧浓度监察仪、氧气减压装置、手提氧气发生器、制氧袋、吸排氧三通阀箱、吸氧调节器、排氧装置、其他医院制气供气设备及装置</v>
          </cell>
          <cell r="G2556" t="str">
            <v>仪器仪表及文化、办公用机械制造业</v>
          </cell>
        </row>
        <row r="2557">
          <cell r="E2557" t="str">
            <v>呼吸器具</v>
          </cell>
          <cell r="F2557" t="str">
            <v>自备式呼吸器具指通过自带氧气瓶或压缩空气瓶供气、带呼吸装置辐射防护服包括带呼吸装置的防污染保护服、其他呼吸器具包括与气密潜水服配套的潜水头盔、氧气袋、输氧面罩、鼻氧管</v>
          </cell>
          <cell r="G2557" t="str">
            <v>仪器仪表及文化、办公用机械制造业</v>
          </cell>
        </row>
        <row r="2558">
          <cell r="E2558" t="str">
            <v>防毒面具</v>
          </cell>
          <cell r="F2558" t="str">
            <v>无说明</v>
          </cell>
          <cell r="G2558" t="str">
            <v>仪器仪表及文化、办公用机械制造业</v>
          </cell>
        </row>
        <row r="2559">
          <cell r="E2559" t="str">
            <v>医用低温设备</v>
          </cell>
          <cell r="F2559" t="str">
            <v>包括冷冻干燥血浆机、真空冷冻干燥箱、尸体冷冻、冷藏箱、低温生物降温仪、其他医用低温设备。不包括血液、脏器冷藏装置冷藏箱（详见109013102）</v>
          </cell>
          <cell r="G2559" t="str">
            <v>仪器仪表及文化、办公用机械制造业</v>
          </cell>
        </row>
        <row r="2560">
          <cell r="E2560" t="str">
            <v>矫形器具</v>
          </cell>
          <cell r="F2560" t="str">
            <v>用于预防或矫治躯体畸变，或病后或手术后的器官支撑、固定。包括植入式人工器具、人造关节、人工椎体、人造乳房、人工颅骨、人工颌骨、人工肛门封闭器、其他植入式人工器具、矫形或骨折用器具、颌骨治疗器具、肱骨夹、矫治脊柱器具、疝带及疝气治疗器具、脚部矫形器具、矫形鞋、特种鞋垫、牙箍、圈环、其他矫形或骨折用器具、其他矫形器具。</v>
          </cell>
          <cell r="G2560" t="str">
            <v>仪器仪表及文化、办公用机械制造业</v>
          </cell>
        </row>
        <row r="2561">
          <cell r="E2561" t="str">
            <v>穿戴或植入式人造人体器官</v>
          </cell>
          <cell r="F2561" t="str">
            <v>包括假牙（包括用瓷料或塑料（特别是丙烯酸聚合物）制成的实心假牙、空心假牙）、假牙固定件（包括托牙（全口或部分）、用于保护真牙的预制金属牙冠等其他物品）、义眼（眼内填充物（玻璃体等））、人造假肢、其他穿戴或植入式人造人体器官（包括人工角、人造眼内椎晶状体等）</v>
          </cell>
          <cell r="G2561" t="str">
            <v>仪器仪表及文化、办公用机械制造业</v>
          </cell>
        </row>
        <row r="2562">
          <cell r="E2562" t="str">
            <v>助听器</v>
          </cell>
          <cell r="F2562" t="str">
            <v>包括外带式助听器、植入式助听器。</v>
          </cell>
          <cell r="G2562" t="str">
            <v>仪器仪表及文化、办公用机械制造业</v>
          </cell>
        </row>
        <row r="2563">
          <cell r="E2563" t="str">
            <v>心脏起搏器</v>
          </cell>
          <cell r="F2563" t="str">
            <v>包括植入式心脏起搏器、体外心脏起搏器、心脏除颤器、心脏调搏器、主动脉内囊反搏器、心脏除颤起搏器、其他心脏起搏器。</v>
          </cell>
          <cell r="G2563" t="str">
            <v>仪器仪表及文化、办公用机械制造业</v>
          </cell>
        </row>
        <row r="2564">
          <cell r="E2564" t="str">
            <v>植入人体支夹（器）</v>
          </cell>
          <cell r="F2564" t="str">
            <v>包括血管吻合夹（器）、血管内支架、食管支架、动脉瘤支架、其他植入人体支夹（器）</v>
          </cell>
          <cell r="G2564" t="str">
            <v>仪器仪表及文化、办公用机械制造业</v>
          </cell>
        </row>
        <row r="2565">
          <cell r="E2565" t="str">
            <v>有创医用传感器（植入体内）</v>
          </cell>
          <cell r="F2565" t="str">
            <v>无说明</v>
          </cell>
          <cell r="G2565" t="str">
            <v>仪器仪表及文化、办公用机械制造业</v>
          </cell>
        </row>
        <row r="2566">
          <cell r="E2566" t="str">
            <v>其他假肢、人工器官及植（介）入器械</v>
          </cell>
          <cell r="F2566" t="str">
            <v>指其他穿戴或植入人体器具，包括助语器（人工喉）、导盲器等</v>
          </cell>
          <cell r="G2566" t="str">
            <v>仪器仪表及文化、办公用机械制造业</v>
          </cell>
        </row>
        <row r="2567">
          <cell r="E2567" t="str">
            <v>手术台床</v>
          </cell>
          <cell r="F2567" t="str">
            <v>包括电动、液压手术台床指通用或专用外科手术台可以通过调校、倾斜、旋转或升高以使病人按各种不同手术的要求而处于适当的位置的手术台，电动综合手术台、综合产床、骨科手术床、烫伤翻转床、特种矫形手术台供复杂手术（例如，臀部、肩部、脊柱手术）之用，其他电动、液压手术台床含括泌尿科、膀胱镜等检查或手术用床，手动手术床含综合手术床、普通产床、轻便产床、坐式产床、骨科整形床、解剖台，牙科椅指没有装上牙科器械的牙科用椅（包括麻醉椅床），但它们带有装在中心支架上作升降、倾斜，有时还能旋转的机械装置，不论是否装有照明器具等装置，液压牙科椅、电动牙科椅、机械牙科椅、其他牙科椅</v>
          </cell>
          <cell r="G2567" t="str">
            <v>仪器仪表及文化、办公用机械制造业</v>
          </cell>
        </row>
        <row r="2568">
          <cell r="E2568" t="str">
            <v>病床及相关医用家具</v>
          </cell>
          <cell r="F2568" t="str">
            <v>包括病床（带机械装置病床包括附加设施、电动间隙牵引床、普通病床、防褥疮床垫包括电动防褥疮床垫、充气式防褥疮座垫、其他病床）、医用特制坐具、担架、消毒及类似用途家具（包括手推式器械消毒车、特制消毒脸盆、自动开启的消毒敷料箱）、装有脚轮架床指运送病人的装有脚轮的架床、其他病用家具（包括医疗治理、按摩等用的台、床及类似家具）。</v>
          </cell>
          <cell r="G2568" t="str">
            <v>仪器仪表及文化、办公用机械制造业</v>
          </cell>
        </row>
        <row r="2569">
          <cell r="E2569" t="str">
            <v>医用家具零件</v>
          </cell>
          <cell r="F2569" t="str">
            <v>包括牙科椅零件（牙科椅专用头靠、靠背、搁脚板、扶手、肘靠等）、其他医用家具零件（安装在手术台上专门用于防止病人身体挪动的物品，例如，肩、小腿或大腿的扣夹、腿垫、固定头部的头靠、臂或胸的支架及类似品）</v>
          </cell>
          <cell r="G2569" t="str">
            <v>仪器仪表及文化、办公用机械制造业</v>
          </cell>
        </row>
        <row r="2570">
          <cell r="E2570" t="str">
            <v>大气污染防治设备</v>
          </cell>
          <cell r="F2570" t="str">
            <v>包括除尘设备（不包括家用除尘器（详见109041805））、静电除尘器（静电过滤器、高效静电除尘枪、离子除尘枪、离子吹尘枪、静电消除器、板极式静电除尘器、管极式静电除尘器）、袋式除尘器（械振动式袋式除尘器、分室反吹式袋式除尘器、脉冲喷吹式袋式除尘器、回转反吹袋式除尘器）、旋风式除尘器、湿式除尘器（湿式烟气脱硫除尘装置、湿式静电除尘器、花岗石类湿式烟气脱硫除尘装置）、颗粒层除尘器、组合式电除尘器、其他除尘设备指其他非家用除尘设备，压缩空气除尘器、空气净化装置、氧化还原净化装置、生物法净化装置、冷凝净化装置、辐照净化装置、其他空气净化装置、除尘器配件、袋式除尘器配件（清灰装置、滤袋框架、电磁脉冲阀、脉冲喷吹控制仪等）、电除尘器配件（高压电源、低压电源、输灰系统等）、吸附装置、吸收装置、其他除尘器配件</v>
          </cell>
          <cell r="G2570" t="str">
            <v>普通机械制造业</v>
          </cell>
        </row>
        <row r="2571">
          <cell r="E2571" t="str">
            <v>水质污染防治设备</v>
          </cell>
          <cell r="F2571" t="str">
            <v>包括沉淀、过滤装置、平流沉砂装置、辐流沉砂装置、旋流沉砂装置、曝气沉砂装置、管式沉砂装置、搅拌沉砂装置、平流沉淀装置、辐流沉淀装置、其他沉淀、过滤装置、池类设备、澄清池、上浮池、隔油池、粗滤池、调节池、搅拌池、生物处理设备、生物滤池、生物滤塔、生物流化床、生物活性炭床、生物转盘、其他生物处理设备、化学法处理设备、氧化还原装置、湿式催化氧化装置、兼氧活性污泥反应器、其他化学法处理设备、厌氧类设备、水解酸化厌氧反应器、厌氧污泥床、厌氧流化床、厌氧膨胀床、折流板厌氧反应器、厌氧生物膜反应器、其他厌氧类设备、物理法处理设备、萃取装置、混凝装置、絮凝装置、气浮分离装置、膜分离装置、离子交换装置、中和装置、螺旋桨式搅拌机、框式双桨搅拌机、带罐框架式搅拌机、其他物理法处理设备、污泥处理设备及装置、污泥浓缩装置、污泥脱水装置、污泥干燥装置、污泥消化装置、污泥焚烧装置、其他污泥处理设备及装置、组合式污水处理装置、一体化污水处理装置、水质污染防治用格栅、其他水质污染防治设备</v>
          </cell>
          <cell r="G2571" t="str">
            <v>普通机械制造业</v>
          </cell>
        </row>
        <row r="2572">
          <cell r="E2572" t="str">
            <v>固体废弃物处理设备</v>
          </cell>
          <cell r="F2572" t="str">
            <v>包括废弃物专用处理机械、废弃物压缩装置、废弃物剪切式破碎机、废弃物湿式破碎机、废弃物筛分机、气流分选机、永磁滚筒、辊筒式静电分选机、光电分选机、其他废弃物专用处理机械、垃圾焚烧炉、垃圾焚化电炉、平推式炉排炉、斜推式炉排炉、逆推式炉排炉、辊筒式炉排炉、流化床焚烧炉、回转窑室焚烧炉、其他垃圾焚烧炉、无害化处理设备、堆肥翻堆机、堆肥发酵装置、水泥固化装置、塑料固化装置、熔融固化装置、其他无害化处理设备、资源再利用设备、填埋气体回收利用设备、废物转化回收装置、废液处理用分离器、酸、碱回收设备、汞回收设备、废物回收装置、其他资源再利用设备</v>
          </cell>
          <cell r="G2572" t="str">
            <v>普通机械制造业</v>
          </cell>
        </row>
        <row r="2573">
          <cell r="E2573" t="str">
            <v>噪音与振动控制设备</v>
          </cell>
          <cell r="F2573" t="str">
            <v>包括消声器（噪音控制设备）、阻性消声器、抗性消声器、阻抗复合消声器、微穿孔板消声器、高压气体排放消声器、有源（主动）消声器、特殊消声器、消声装置配件、其他消声器、噪音与振动控制材料及元件、薄板共振吸声结构、穿孔板共振吸声结构、空间吸声体、装饰性吸声体、隔声罩、隔声屏障、隔振器、隔振元件、其他噪音与振动控制材料及元件</v>
          </cell>
          <cell r="G2573" t="str">
            <v>普通机械制造业</v>
          </cell>
        </row>
        <row r="2574">
          <cell r="E2574" t="str">
            <v>放射性污染防治和处理设备</v>
          </cell>
          <cell r="F2574" t="str">
            <v>包括放射性污染防治设备、放射性废物压实机、放射燃料用分离器、其他放射性污染防治设备、放射性材料处理炉、放射性废物焚烧炉、可裂变材料回收处理专用炉、分离已辐照核燃料专用炉、其他放射性材料处理炉、电磁波污染防治设备、其他放射性污染防治和处理设备</v>
          </cell>
          <cell r="G2574" t="str">
            <v>普通机械制造业</v>
          </cell>
        </row>
        <row r="2575">
          <cell r="E2575" t="str">
            <v>地质钻探机</v>
          </cell>
          <cell r="F2575" t="str">
            <v>包括工程勘察钻机（直径＞3m）、地质岩心钻机、物探钻机、坑探钻机、取样钻机、水文水井钻机、其他地质钻探机。</v>
          </cell>
          <cell r="G2575" t="str">
            <v>普通机械制造业</v>
          </cell>
        </row>
        <row r="2576">
          <cell r="E2576" t="str">
            <v>实验室选矿制样设备</v>
          </cell>
          <cell r="F2576" t="str">
            <v>包括微机激电仪、高密度电测仪、质子核旋磁力仪、其他实验室选矿制样设备</v>
          </cell>
          <cell r="G2576" t="str">
            <v>普通机械制造业</v>
          </cell>
        </row>
        <row r="2577">
          <cell r="E2577" t="str">
            <v>专用勘探设备</v>
          </cell>
          <cell r="F2577" t="str">
            <v>包括重力法勘探设备、电法勘探设备、磁法勘探设备</v>
          </cell>
          <cell r="G2577" t="str">
            <v>普通机械制造业</v>
          </cell>
        </row>
        <row r="2578">
          <cell r="E2578" t="str">
            <v>其他地质勘查专用设备</v>
          </cell>
          <cell r="F2578" t="str">
            <v>无说明</v>
          </cell>
          <cell r="G2578" t="str">
            <v>普通机械制造业</v>
          </cell>
        </row>
        <row r="2579">
          <cell r="E2579" t="str">
            <v>邮资机</v>
          </cell>
          <cell r="F2579" t="str">
            <v>包括大型邮资机、大型喷印式邮资机、大型机械戳印式邮资机、动态称重邮资机、中型邮资机、中型机械戳印机邮资机、中型喷印式邮资机、小型邮资机、小型热转印式邮资机、小型喷印式邮资机、小型机械戳印式邮资机、邮资盖戳机</v>
          </cell>
          <cell r="G2579" t="str">
            <v>普通机械制造业</v>
          </cell>
        </row>
        <row r="2580">
          <cell r="E2580" t="str">
            <v>邮政分拣机</v>
          </cell>
          <cell r="F2580" t="str">
            <v>包括信函分拣及封装设备、包裹分拣设备、印刷品分拣机</v>
          </cell>
          <cell r="G2580" t="str">
            <v>普通机械制造业</v>
          </cell>
        </row>
        <row r="2581">
          <cell r="E2581" t="str">
            <v>信件处理机械</v>
          </cell>
          <cell r="F2581" t="str">
            <v>包括信件折迭机、信件开封机、粘贴或盖销邮票机、推挂机、信盒输送系统、其他信件处理机械</v>
          </cell>
          <cell r="G2581" t="str">
            <v>普通机械制造业</v>
          </cell>
        </row>
        <row r="2582">
          <cell r="E2582" t="str">
            <v>邮政计费、缴费设备</v>
          </cell>
          <cell r="F2582" t="str">
            <v>包括邮局自助缴费机、电话计费器、其他邮政计费、缴费设备</v>
          </cell>
          <cell r="G2582" t="str">
            <v>普通机械制造业</v>
          </cell>
        </row>
        <row r="2583">
          <cell r="E2583" t="str">
            <v>邮政专用器材</v>
          </cell>
          <cell r="F2583" t="str">
            <v>包括交接箱、金属制信报箱、邮箱、邮政集装箱</v>
          </cell>
          <cell r="G2583" t="str">
            <v>普通机械制造业</v>
          </cell>
        </row>
        <row r="2584">
          <cell r="E2584" t="str">
            <v>自动售货机、售票机</v>
          </cell>
          <cell r="F2584" t="str">
            <v>包括饮料自动销售机、加热饮料自动销售机、冷饮料自动销售机、其他饮料自动销售机、自动售货机、自动售票机、火车票自动售票机、邮票自动售票机、其他自动售票机、钱币自动兑换机、其他自动售货机、售票机</v>
          </cell>
          <cell r="G2584" t="str">
            <v>普通机械制造业</v>
          </cell>
        </row>
        <row r="2585">
          <cell r="E2585" t="str">
            <v>餐饮服务用机械</v>
          </cell>
          <cell r="F2585" t="str">
            <v>指非家用餐饮机械。包括加热或烹煮设备、抽油烟机、洗碗机</v>
          </cell>
          <cell r="G2585" t="str">
            <v>普通机械制造业</v>
          </cell>
        </row>
        <row r="2586">
          <cell r="E2586" t="str">
            <v>理发用椅</v>
          </cell>
          <cell r="F2586" t="str">
            <v>指有旋转、倾斜或升降装置的理发用椅及类似椅，包括理发用椅零件</v>
          </cell>
          <cell r="G2586" t="str">
            <v>普通机械制造业</v>
          </cell>
        </row>
        <row r="2587">
          <cell r="E2587" t="str">
            <v>自动擦鞋器</v>
          </cell>
          <cell r="F2587" t="str">
            <v>无说明</v>
          </cell>
          <cell r="G2587" t="str">
            <v>普通机械制造业</v>
          </cell>
        </row>
        <row r="2588">
          <cell r="E2588" t="str">
            <v>洗衣店用洗衣机械</v>
          </cell>
          <cell r="F2588" t="str">
            <v>指设计为供洗衣店、宾馆、汽车旅馆、医院等单位使用的（干衣量超过10kg）洗衣机、衣服甩干机、烘干机、干洗机等。包括洗衣机、洗涤干燥两用机、干洗机、干燥机（洗衣用）、离心干衣机、烫平机、其他洗衣店用洗衣机械。</v>
          </cell>
          <cell r="G2588" t="str">
            <v>普通机械制造业</v>
          </cell>
        </row>
        <row r="2589">
          <cell r="E2589" t="str">
            <v>焚尸炉</v>
          </cell>
          <cell r="F2589" t="str">
            <v>指火葬场用的焚尸炉。包括焚尸电炉、非电热焚尸炉</v>
          </cell>
          <cell r="G2589" t="str">
            <v>普通机械制造业</v>
          </cell>
        </row>
        <row r="2590">
          <cell r="E2590" t="str">
            <v>其他商业、饮食、服务专用设备</v>
          </cell>
          <cell r="F2590" t="str">
            <v>包括自动售货机零件、钱币兑换机零件、洗碗机零件、洗衣机零件、干衣机零件</v>
          </cell>
          <cell r="G2590" t="str">
            <v>普通机械制造业</v>
          </cell>
        </row>
        <row r="2591">
          <cell r="E2591" t="str">
            <v>消防自动系统</v>
          </cell>
          <cell r="F2591" t="str">
            <v>包括自动化消防设备、自动灭火系统、湿式自动喷水系统、其他消防自动系统。不包括灭火器（详见109025302）</v>
          </cell>
          <cell r="G2591" t="str">
            <v>普通机械制造业</v>
          </cell>
        </row>
        <row r="2592">
          <cell r="E2592" t="str">
            <v>灭火器</v>
          </cell>
          <cell r="F2592" t="str">
            <v>包括泡沫灭火器、背负式灭火器、背式水枪、其他灭火器，不包括风力灭火机（详见109023704）。</v>
          </cell>
          <cell r="G2592" t="str">
            <v>普通机械制造业</v>
          </cell>
        </row>
        <row r="2593">
          <cell r="E2593" t="str">
            <v>灭火器零件</v>
          </cell>
          <cell r="F2593" t="str">
            <v>无说明</v>
          </cell>
          <cell r="G2593" t="str">
            <v>普通机械制造业</v>
          </cell>
        </row>
        <row r="2594">
          <cell r="E2594" t="str">
            <v>灭火器用装配药及灭火弹</v>
          </cell>
          <cell r="F2594" t="str">
            <v>包括灭火器用装配药、灭火弹。</v>
          </cell>
          <cell r="G2594" t="str">
            <v>普通机械制造业</v>
          </cell>
        </row>
        <row r="2595">
          <cell r="E2595" t="str">
            <v>消防、防爆专用手工工具</v>
          </cell>
          <cell r="F2595" t="str">
            <v>包括扑火工具、消防斧、消防接口破拆工具、消防钩、防爆扳手、防爆锤、其他消防、防爆专用手工工具。</v>
          </cell>
          <cell r="G2595" t="str">
            <v>普通机械制造业</v>
          </cell>
        </row>
        <row r="2596">
          <cell r="E2596" t="str">
            <v>消防设备附件</v>
          </cell>
          <cell r="F2596" t="str">
            <v>包括消防栓（立管）、消防旋塞、水龙软管嘴及类似品</v>
          </cell>
          <cell r="G2596" t="str">
            <v>普通机械制造业</v>
          </cell>
        </row>
        <row r="2597">
          <cell r="E2597" t="str">
            <v>警棍及类似警用器械</v>
          </cell>
          <cell r="F2597" t="str">
            <v>包括警棍、自卫器、橡胶棒、警察等用灌铅手杖、烟雾喷射罐、其他警用器械</v>
          </cell>
          <cell r="G2597" t="str">
            <v>普通机械制造业</v>
          </cell>
        </row>
        <row r="2598">
          <cell r="E2598" t="str">
            <v>取证鉴定专用器材</v>
          </cell>
          <cell r="F2598" t="str">
            <v>包括刑侦现场勘查器材、刑侦检验鉴定分析器材、其他取证鉴定专用器材。</v>
          </cell>
          <cell r="G2598" t="str">
            <v>普通机械制造业</v>
          </cell>
        </row>
        <row r="2599">
          <cell r="E2599" t="str">
            <v>安全检查仪器</v>
          </cell>
          <cell r="F2599" t="str">
            <v>指低剂量X射线安全检查设备。包括行李包裹安检仪、射线探测器、安全检查人行通道、虹膜输入装置、指纹输入装置、其他安全检查仪器</v>
          </cell>
          <cell r="G2599" t="str">
            <v>普通机械制造业</v>
          </cell>
        </row>
        <row r="2600">
          <cell r="E2600" t="str">
            <v>监控电视摄像机</v>
          </cell>
          <cell r="F2600" t="str">
            <v>包括公共场所、交通管理用的监控用电视摄像机。补光智能型摄像机、日夜转换型摄像机、一体化彩色摄像机、低照度彩色摄像机、其他监控电视摄像机</v>
          </cell>
          <cell r="G2600" t="str">
            <v>普通机械制造业</v>
          </cell>
        </row>
        <row r="2601">
          <cell r="E2601" t="str">
            <v>防盗、防火报警器及类似装置</v>
          </cell>
          <cell r="F2601" t="str">
            <v>包括机动车辆防盗装置、防盗报警器、防火报警器、电气气体报警器、火焰报警器（火焰探测器）、其他防盗、防火报警器及类似装置。不包括核辐射剂量监测报警仪器（详见109061503）</v>
          </cell>
          <cell r="G2601" t="str">
            <v>普通机械制造业</v>
          </cell>
        </row>
        <row r="2602">
          <cell r="E2602" t="str">
            <v>道路交通安全管制设备</v>
          </cell>
          <cell r="F2602" t="str">
            <v>包括区域交通中心控制机、道路交通安全检测设备、雷达测速仪、酒精检测仪、其他道路交通安全检测设备、交通事故现场勘查救援设备、智能交通事故现场勘查车、气动破拆工具、气动破拆气枪、便携式多功能钳、剪断器、无火花电锯、起重气垫、液压开门器、牵拉器、切割机、撬棍、撬斧、其他交通事故现场勘查救援设备、道路、停车场用电气信号装置、交通灯、盲人过街音响器、路口自动信号装置、停车场用电气信号装置、其他道路用电气信号装置、其他道路交通安全管制设备</v>
          </cell>
          <cell r="G2602" t="str">
            <v>普通机械制造业</v>
          </cell>
        </row>
        <row r="2603">
          <cell r="E2603" t="str">
            <v>铁道电气交通管理设备</v>
          </cell>
          <cell r="F2603" t="str">
            <v>包括铁道、电车道、地下矿井铁道设备以及气垫火车运输系统电气信号、安全或交通管理设备、信号或安全设备、轨道控制设备。</v>
          </cell>
          <cell r="G2603" t="str">
            <v>普通机械制造业</v>
          </cell>
        </row>
        <row r="2604">
          <cell r="E2604" t="str">
            <v>内河航道、港口用交通管制设备</v>
          </cell>
          <cell r="F2604" t="str">
            <v>包括内河航道电气信号装置、港口用电气信号装置</v>
          </cell>
          <cell r="G2604" t="str">
            <v>普通机械制造业</v>
          </cell>
        </row>
        <row r="2605">
          <cell r="E2605" t="str">
            <v>飞机场用电气交通管理设备</v>
          </cell>
          <cell r="F2605" t="str">
            <v>包括飞机场用盲降控制设备、飞机场用交通控制设备、飞机场用电气信号装置</v>
          </cell>
          <cell r="G2605" t="str">
            <v>普通机械制造业</v>
          </cell>
        </row>
        <row r="2606">
          <cell r="E2606" t="str">
            <v>其他交通安全及管制专用设备</v>
          </cell>
          <cell r="F2606" t="str">
            <v>包括其他电气信号、安全或交通管理设备</v>
          </cell>
          <cell r="G2606" t="str">
            <v>普通机械制造业</v>
          </cell>
        </row>
        <row r="2607">
          <cell r="E2607" t="str">
            <v>地平线开凿机系统</v>
          </cell>
          <cell r="F2607" t="str">
            <v>无说明</v>
          </cell>
          <cell r="G2607" t="str">
            <v>普通机械制造业</v>
          </cell>
        </row>
        <row r="2608">
          <cell r="E2608" t="str">
            <v>清淤机械</v>
          </cell>
          <cell r="F2608" t="str">
            <v>包括沟渠清淤机械、水库清淤机械、港口清淤机械、水电站尾水清淤机械、管道清淤机械、其他清淤机械。</v>
          </cell>
          <cell r="G2608" t="str">
            <v>普通机械制造业</v>
          </cell>
        </row>
        <row r="2609">
          <cell r="E2609" t="str">
            <v>水利专用机械</v>
          </cell>
          <cell r="F2609" t="str">
            <v>包括排水机械、闸门启闭机（器）、升船机、拦污装置、破冰机械、其他水利专用机械</v>
          </cell>
          <cell r="G2609" t="str">
            <v>普通机械制造业</v>
          </cell>
        </row>
        <row r="2610">
          <cell r="E2610" t="str">
            <v>自来水生产专用设备</v>
          </cell>
          <cell r="F2610" t="str">
            <v>包括自动加压给水设备、无塔供水装置、其他自来水生产专用设备</v>
          </cell>
          <cell r="G2610" t="str">
            <v>普通机械制造业</v>
          </cell>
        </row>
        <row r="2611">
          <cell r="E2611" t="str">
            <v>工业机器人</v>
          </cell>
          <cell r="F2611" t="str">
            <v>工业机器人是一种自动机器设备，可按程序重复进行一套动作，包括简单更换不同工具即可执行各种功能的工业机器人。具体包括多功能工业机器人、焊接专用机器人、工业机器人零部件、其他工业机器人。</v>
          </cell>
          <cell r="G2611" t="str">
            <v>普通机械制造业</v>
          </cell>
        </row>
        <row r="2612">
          <cell r="E2612" t="str">
            <v>机械式遥控操作装置（遥控机械手）</v>
          </cell>
          <cell r="F2612" t="str">
            <v>指对一定距离外的物体进行手动操纵的遥控装置，简称遥操器，又称遥控机械手。遥操器主要用于操纵一定距离外太大、太小或难于接近的对象。</v>
          </cell>
          <cell r="G2612" t="str">
            <v>普通机械制造业</v>
          </cell>
        </row>
        <row r="2613">
          <cell r="E2613" t="str">
            <v>具有独立功能专用机械</v>
          </cell>
          <cell r="F2613" t="str">
            <v>包括空气增湿器及减湿器、蒸发式空气冷却器、涂敷研磨料机械、发动机启动器、泵式自动加润滑脂机、电焊条涂层机、清洗胶印墨辊机械、重涂胶印墨辊机械、金属芯拔除机、螺栓安装及拆除机、具有独立功能专用机械零部件、其他具有独立功能专用机械。</v>
          </cell>
          <cell r="G2613" t="str">
            <v>普通机械制造业</v>
          </cell>
        </row>
        <row r="2614">
          <cell r="E2614" t="str">
            <v>其他专用设备及零部件</v>
          </cell>
          <cell r="F2614" t="str">
            <v>包括其他专用设备、其他专用设备零部件。</v>
          </cell>
          <cell r="G2614" t="str">
            <v>普通机械制造业</v>
          </cell>
        </row>
        <row r="2615">
          <cell r="E2615" t="str">
            <v>铁路机车</v>
          </cell>
          <cell r="F2615" t="str">
            <v>指配有各种动力装置（蒸汽机、柴油机、汽轮机、汽油机、气动机等），或由外部电源或蓄电池驱动的各种铁道机车</v>
          </cell>
          <cell r="G2615" t="str">
            <v>普通机械制造业</v>
          </cell>
        </row>
        <row r="2616">
          <cell r="E2616" t="str">
            <v>动车组</v>
          </cell>
          <cell r="F2616" t="str">
            <v>亦称多动力单元列车,包括城间动车组车辆</v>
          </cell>
          <cell r="G2616" t="str">
            <v>普通机械制造业</v>
          </cell>
        </row>
        <row r="2617">
          <cell r="E2617" t="str">
            <v>城市轨道车辆</v>
          </cell>
          <cell r="F2617" t="str">
            <v>具有运量大、速度快、安全、准点、保护环境、节约能源和用地等特点的交通方式，简称”轨交“，包括地铁、轻轨、快轨、有轨电车等</v>
          </cell>
          <cell r="G2617" t="str">
            <v>普通机械制造业</v>
          </cell>
        </row>
        <row r="2618">
          <cell r="E2618" t="str">
            <v>铁路客车</v>
          </cell>
          <cell r="F2618" t="str">
            <v>铁路客车是指载运旅客的车辆、为旅客提供服务的车辆以及挂运在旅客列车中的其他用途的车辆。客车分旅客运送、旅客服务和特殊用途等3种车辆。目前，中国铁路客车根据用途的不同，主要有如下几种：硬座车、软座车、硬卧车、软卧车、行李车、餐车、邮政车、试验车。高速客车中还有一等软座车、二等软座等车。此外，还有公务车、卫生车、医务车、维修车、文教车、特种车等。</v>
          </cell>
          <cell r="G2618" t="str">
            <v>普通机械制造业</v>
          </cell>
        </row>
        <row r="2619">
          <cell r="E2619" t="str">
            <v>铁路货车</v>
          </cell>
          <cell r="F2619" t="str">
            <v>在铁路上用于载运货物的车辆称为铁路货车。按其用途不同，可分为通用货车和专用货车。主要类型有棚车、敞车、罐车、平板车等。包括各种非机动有篷及无篷货车，铁道运输用特种平车；不包括在矿区、建筑工地、工厂、仓库等处的轨道上运输货物的小型车辆或敞车（详见1090302）</v>
          </cell>
          <cell r="G2619" t="str">
            <v>普通机械制造业</v>
          </cell>
        </row>
        <row r="2620">
          <cell r="E2620" t="str">
            <v>铁路特殊用途车辆</v>
          </cell>
          <cell r="F2620" t="str">
            <v>包括铁路起居车、行李车、轨道流动邮政车、轨道救护车、医务车、装甲客车、铁路用通讯特种车、轨路文教车、其他铁路特殊用途车辆等在内的铁路运输车辆。</v>
          </cell>
          <cell r="G2620" t="str">
            <v>普通机械制造业</v>
          </cell>
        </row>
        <row r="2621">
          <cell r="E2621" t="str">
            <v>有轨电车</v>
          </cell>
          <cell r="F2621" t="str">
            <v>无说明</v>
          </cell>
          <cell r="G2621" t="str">
            <v>普通机械制造业</v>
          </cell>
        </row>
        <row r="2622">
          <cell r="E2622" t="str">
            <v>轮式专用车</v>
          </cell>
          <cell r="F2622" t="str">
            <v>无说明</v>
          </cell>
          <cell r="G2622" t="str">
            <v>普通机械制造业</v>
          </cell>
        </row>
        <row r="2623">
          <cell r="E2623" t="str">
            <v>工矿有轨专用车辆（窄轨机车车辆）</v>
          </cell>
          <cell r="F2623" t="str">
            <v>指可用作交通运输的窄轨内燃机车、电力机车和窄轨非机动车辆总称</v>
          </cell>
          <cell r="G2623" t="str">
            <v>普通机械制造业</v>
          </cell>
        </row>
        <row r="2624">
          <cell r="E2624" t="str">
            <v>铁路机车车辆配件及零件</v>
          </cell>
          <cell r="F2624" t="str">
            <v>包括铁道及电车道机车、动车组及其他车辆的配件及零件</v>
          </cell>
          <cell r="G2624" t="str">
            <v>普通机械制造业</v>
          </cell>
        </row>
        <row r="2625">
          <cell r="E2625" t="str">
            <v>铁路专用设备及器材、配件</v>
          </cell>
          <cell r="F2625" t="str">
            <v>包含铁路及电车道检查、维修车，铁路作业及服务车，铺轨、调轨机械，轨道固定装置及附件，平交道、道岔口控制器固定装置及附件，铁路用电动气动操纵设备，铁路用机械信号、交通管理装置，铁路专用测量或检验仪器等设备</v>
          </cell>
          <cell r="G2625" t="str">
            <v>普通机械制造业</v>
          </cell>
        </row>
        <row r="2626">
          <cell r="E2626" t="str">
            <v>乘用车（排气量在1.0升以下（含））</v>
          </cell>
          <cell r="F2626" t="str">
            <v>包括出租汽车、运动车及赛车，活顶乘用车、高级乘用车、小型乘用车、敞篷车、仓背乘用车</v>
          </cell>
          <cell r="G2626" t="str">
            <v>普通机械制造业</v>
          </cell>
        </row>
        <row r="2627">
          <cell r="E2627" t="str">
            <v>乘用车（排气量在1.0升以上至1.5升（含））</v>
          </cell>
          <cell r="F2627" t="str">
            <v>包括出租汽车、运动车及赛车，活顶乘用车、高级乘用车、小型乘用车、敞篷车、仓背乘用车</v>
          </cell>
          <cell r="G2627" t="str">
            <v>普通机械制造业</v>
          </cell>
        </row>
        <row r="2628">
          <cell r="E2628" t="str">
            <v>乘用车（排气量在1.5升以上至2.0升（含））</v>
          </cell>
          <cell r="F2628" t="str">
            <v>包括出租汽车、运动车及赛车，活顶乘用车、高级乘用车、小型乘用车、敞篷车、仓背乘用车</v>
          </cell>
          <cell r="G2628" t="str">
            <v>普通机械制造业</v>
          </cell>
        </row>
        <row r="2629">
          <cell r="E2629" t="str">
            <v>乘用车（排气量在2.0升以上至2.5升（含））</v>
          </cell>
          <cell r="F2629" t="str">
            <v>包括出租汽车、运动车及赛车，活顶乘用车、高级乘用车、小型乘用车、敞篷车、仓背乘用车</v>
          </cell>
          <cell r="G2629" t="str">
            <v>普通机械制造业</v>
          </cell>
        </row>
        <row r="2630">
          <cell r="E2630" t="str">
            <v>乘用车（排气量在2.5升以上至3.0升（含））</v>
          </cell>
          <cell r="F2630" t="str">
            <v>包括出租汽车、运动车及赛车，活顶乘用车、高级乘用车、小型乘用车、敞篷车、仓背乘用车</v>
          </cell>
          <cell r="G2630" t="str">
            <v>普通机械制造业</v>
          </cell>
        </row>
        <row r="2631">
          <cell r="E2631" t="str">
            <v>乘用车（排气量在3.0升以上至4.0升（含））</v>
          </cell>
          <cell r="F2631" t="str">
            <v>包括出租汽车、运动车及赛车，活顶乘用车、高级乘用车、小型乘用车、敞篷车、仓背乘用车</v>
          </cell>
          <cell r="G2631" t="str">
            <v>普通机械制造业</v>
          </cell>
        </row>
        <row r="2632">
          <cell r="E2632" t="str">
            <v>乘用车（排气量在4.0升以上）</v>
          </cell>
          <cell r="F2632" t="str">
            <v>包括出租汽车、运动车及赛车，活顶乘用车、高级乘用车、小型乘用车、敞篷车、仓背乘用车</v>
          </cell>
          <cell r="G2632" t="str">
            <v>普通机械制造业</v>
          </cell>
        </row>
        <row r="2633">
          <cell r="E2633" t="str">
            <v>超豪华小汽车</v>
          </cell>
          <cell r="F2633" t="str">
            <v>包括每辆零售价格130万元（不含增值税）及以上的乘用车和中轻型商用客车，即乘用车和中轻型商用客车子税目中的超豪华小汽车。</v>
          </cell>
          <cell r="G2633" t="str">
            <v>普通机械制造业</v>
          </cell>
        </row>
        <row r="2634">
          <cell r="E2634" t="str">
            <v>客车（大于23座）</v>
          </cell>
          <cell r="F2634" t="str">
            <v>一般具有方形车厢，用于载运乘客及其随身行李的商用车，这类车型主要用于公共交通和团体运输使用。</v>
          </cell>
          <cell r="G2634" t="str">
            <v>普通机械制造业</v>
          </cell>
        </row>
        <row r="2635">
          <cell r="E2635" t="str">
            <v>客车（10至23座，含10，23座）</v>
          </cell>
          <cell r="F2635" t="str">
            <v>一般具有方形车厢，用于载运乘客及其随身行李的商用车，这类车型主要用于公共交通和团体运输使用。</v>
          </cell>
          <cell r="G2635" t="str">
            <v>普通机械制造业</v>
          </cell>
        </row>
        <row r="2636">
          <cell r="E2636" t="str">
            <v>载货汽车</v>
          </cell>
          <cell r="F2636" t="str">
            <v>指货运机动车，包括平板式、油布篷式、封闭箱式等各种送货汽车、搬家具车</v>
          </cell>
          <cell r="G2636" t="str">
            <v>普通机械制造业</v>
          </cell>
        </row>
        <row r="2637">
          <cell r="E2637" t="str">
            <v>半挂牵引车</v>
          </cell>
          <cell r="F2637" t="str">
            <v>指装备有特殊装置用于牵引半挂车的商用车辆</v>
          </cell>
          <cell r="G2637" t="str">
            <v>普通机械制造业</v>
          </cell>
        </row>
        <row r="2638">
          <cell r="E2638" t="str">
            <v>排气量在1.0升以下（含1.0升）的乘用车底盘（车架）改装、改制的车辆</v>
          </cell>
          <cell r="F2638" t="str">
            <v>改装汽车是完成专用任务的汽车。在普通汽车底盘上装备或附加某些专用机构而组成。</v>
          </cell>
          <cell r="G2638" t="str">
            <v>普通机械制造业</v>
          </cell>
        </row>
        <row r="2639">
          <cell r="E2639" t="str">
            <v>排气量在1.0升以上至1.5升（含1.5升）的乘用车底盘（车架）改装、改制的车辆</v>
          </cell>
          <cell r="F2639" t="str">
            <v>改装汽车是完成专用任务的汽车。在普通汽车底盘上装备或附加某些专用机构而组成。</v>
          </cell>
          <cell r="G2639" t="str">
            <v>普通机械制造业</v>
          </cell>
        </row>
        <row r="2640">
          <cell r="E2640" t="str">
            <v>中轻型商用客车底盘（车架）改装、改制的车辆</v>
          </cell>
          <cell r="F2640" t="str">
            <v>改装汽车是完成专用任务的汽车。在普通汽车底盘上装备或附加某些专用机构而组成。</v>
          </cell>
          <cell r="G2640" t="str">
            <v>普通机械制造业</v>
          </cell>
        </row>
        <row r="2641">
          <cell r="E2641" t="str">
            <v>其他改装汽车</v>
          </cell>
          <cell r="F2641" t="str">
            <v>改装汽车是完成专用任务的汽车。在普通汽车底盘上装备或附加某些专用机构而组成。</v>
          </cell>
          <cell r="G2641" t="str">
            <v>普通机械制造业</v>
          </cell>
        </row>
        <row r="2642">
          <cell r="E2642" t="str">
            <v>三轮运输车</v>
          </cell>
          <cell r="F2642" t="str">
            <v>以柴油机为动力，最高设计车速小于等于50km/h，最大设计总质量不大于2000kg，长小于等于4.6m，宽小于等于1.6m，高小于等于2m，具有三个车轮的货车。采用方向盘转向、由传递轴传递功力、有驾驶室且驾驶员座椅后有物品放置空间的，长小于等于5.2m，宽小于等于1.8m，高小于等于2.2m。</v>
          </cell>
          <cell r="G2642" t="str">
            <v>普通机械制造业</v>
          </cell>
        </row>
        <row r="2643">
          <cell r="E2643" t="str">
            <v>其他低速载货汽车</v>
          </cell>
          <cell r="F2643" t="str">
            <v>以柴油机为动力，最高设计车速小于70km/h，最大设计总质量小于等于4500kg，长小于等于6m，宽小于等于2m，高小于等于2.5m，具有四个车轮的货车</v>
          </cell>
          <cell r="G2643" t="str">
            <v>普通机械制造业</v>
          </cell>
        </row>
        <row r="2644">
          <cell r="E2644" t="str">
            <v>汽车车身</v>
          </cell>
          <cell r="F2644" t="str">
            <v>包括驾驶室，以及预备装在机动车底盘上的车身，也包括无底盘车辆的车身（这种车的发动机及驱动桥由车身本身支承），还包括组合式车身，其底盘的某些部件也装在车身内</v>
          </cell>
          <cell r="G2644" t="str">
            <v>普通机械制造业</v>
          </cell>
        </row>
        <row r="2645">
          <cell r="E2645" t="str">
            <v>挂车、半挂车</v>
          </cell>
          <cell r="F2645" t="str">
            <v>包括其他非机械驱动车辆</v>
          </cell>
          <cell r="G2645" t="str">
            <v>普通机械制造业</v>
          </cell>
        </row>
        <row r="2646">
          <cell r="E2646" t="str">
            <v>挂车及半挂车零件</v>
          </cell>
          <cell r="F2646" t="str">
            <v>指必须可确定为专用于或主要用于机动车车辆的零件；包括挂车底盘及其部件、挂车车轴、车身、挂车车轮、挂钩装置、挂车制动器、挂车传动轴、旋转杆及类似零件</v>
          </cell>
          <cell r="G2646" t="str">
            <v>普通机械制造业</v>
          </cell>
        </row>
        <row r="2647">
          <cell r="E2647" t="str">
            <v>电动汽车</v>
          </cell>
          <cell r="F2647" t="str">
            <v>电动汽车(BEV)是指以车载电源为动力，用电机驱动车轮行驶，符合道路交通、安全法规各项要求的车辆。</v>
          </cell>
          <cell r="G2647" t="str">
            <v>普通机械制造业</v>
          </cell>
        </row>
        <row r="2648">
          <cell r="E2648" t="str">
            <v>机动车制动系统</v>
          </cell>
          <cell r="F2648" t="str">
            <v>对机动车某些部分（主要是车轮）施加一定的力，从而对其进行一定程度的强制制动的一系列专门装置。</v>
          </cell>
          <cell r="G2648" t="str">
            <v>普通机械制造业</v>
          </cell>
        </row>
        <row r="2649">
          <cell r="E2649" t="str">
            <v>机动车缓冲器及其零件</v>
          </cell>
          <cell r="F2649" t="str">
            <v>用来安装在汽车悬挂系统的螺旋弹簧处，主要起到缓冲避震作用并对避震器起到保护的设备及其组成单元</v>
          </cell>
          <cell r="G2649" t="str">
            <v>普通机械制造业</v>
          </cell>
        </row>
        <row r="2650">
          <cell r="E2650" t="str">
            <v>变速器总成</v>
          </cell>
          <cell r="F2650" t="str">
            <v>包括机械式、超速传动式、预选式、电动机械式、自动式变速箱等，还包括变矩转换器、变速箱体、传动轴、小齿轮、直接传动爪形离合器及变速拉杆等</v>
          </cell>
          <cell r="G2650" t="str">
            <v>普通机械制造业</v>
          </cell>
        </row>
        <row r="2651">
          <cell r="E2651" t="str">
            <v>驱动桥总成</v>
          </cell>
          <cell r="F2651" t="str">
            <v>指机动车辆用装有差速器的驱动桥</v>
          </cell>
          <cell r="G2651" t="str">
            <v>普通机械制造业</v>
          </cell>
        </row>
        <row r="2652">
          <cell r="E2652" t="str">
            <v>非驱动桥总成</v>
          </cell>
          <cell r="F2652" t="str">
            <v>指机动车辆用装有差速器的驱动桥</v>
          </cell>
          <cell r="G2652" t="str">
            <v>普通机械制造业</v>
          </cell>
        </row>
        <row r="2653">
          <cell r="E2653" t="str">
            <v>机动车车轮总成</v>
          </cell>
          <cell r="F2653" t="str">
            <v>包括机动车车轮及其零件、附件</v>
          </cell>
          <cell r="G2653" t="str">
            <v>普通机械制造业</v>
          </cell>
        </row>
        <row r="2654">
          <cell r="E2654" t="str">
            <v>机动车悬挂减震器</v>
          </cell>
          <cell r="F2654" t="str">
            <v>包括摩擦式悬挂减震器、液压式悬挂减震器等及其他悬架零件、扭杆弹簧</v>
          </cell>
          <cell r="G2654" t="str">
            <v>普通机械制造业</v>
          </cell>
        </row>
        <row r="2655">
          <cell r="E2655" t="str">
            <v>机动车辆散热器、消声器及其零件</v>
          </cell>
          <cell r="F2655" t="str">
            <v>散热器属于机动车冷却系统，发动机水冷系统中的散热器由进水室、出水室、主片及散热器芯等三部分构成。消音器，主要用于降低机动车的发电机工作时产生的噪声，其原理是汽车排气管由两个长度不同的管道构成，这两个管道先分开再交汇，由于这两个管道的长度差值等于汽车所发出的声波的波长的一半，使得两列声波在叠加时发生干涉相互抵消而减弱声强，使传过来的声音减小，从而起到消音的效果。</v>
          </cell>
          <cell r="G2655" t="str">
            <v>普通机械制造业</v>
          </cell>
        </row>
        <row r="2656">
          <cell r="E2656" t="str">
            <v>离合器总成</v>
          </cell>
          <cell r="F2656" t="str">
            <v>包括锥形离合器、盘式离合器、液压离合器、自动离合器、离合器外壳、离合器盘、离合器杆及已装配的离合器摩擦片，不包括电磁离合器零件（详见109041202）。</v>
          </cell>
          <cell r="G2656" t="str">
            <v>普通机械制造业</v>
          </cell>
        </row>
        <row r="2657">
          <cell r="E2657" t="str">
            <v>机动车用控制装置总成</v>
          </cell>
          <cell r="F2657" t="str">
            <v>包括车辆用转向盘、转向柱及转向器、转向轮轴、变速操纵杆及手刹车操纵杆、加速踏板、制动踏板、离合器踏板、制动器及离合器的连杆</v>
          </cell>
          <cell r="G2657" t="str">
            <v>普通机械制造业</v>
          </cell>
        </row>
        <row r="2658">
          <cell r="E2658" t="str">
            <v>其他机动车（汽车）零配件</v>
          </cell>
          <cell r="F2658" t="str">
            <v>其他用于构成汽车整体的各个单元及服务于汽车的一种产品。</v>
          </cell>
          <cell r="G2658" t="str">
            <v>普通机械制造业</v>
          </cell>
        </row>
        <row r="2659">
          <cell r="E2659" t="str">
            <v>汽车底盘车架及其零件</v>
          </cell>
          <cell r="F2659" t="str">
            <v>包括汽车底盘车架（未装有发动机）、机动车大梁、支架、横梁、悬挂装置、支撑车身、汽车底盘部件的支架及托架</v>
          </cell>
          <cell r="G2659" t="str">
            <v>普通机械制造业</v>
          </cell>
        </row>
        <row r="2660">
          <cell r="E2660" t="str">
            <v>座椅安全带</v>
          </cell>
          <cell r="F2660" t="str">
            <v>安全带是为了在碰撞时对乘员进行约束以及避免碰撞时乘员与方向盘及仪表板等发生二次碰撞或避免碰撞时冲出车外导致死伤的安全装置。</v>
          </cell>
          <cell r="G2660" t="str">
            <v>普通机械制造业</v>
          </cell>
        </row>
        <row r="2661">
          <cell r="E2661" t="str">
            <v>安全气囊装置</v>
          </cell>
          <cell r="F2661" t="str">
            <v>安全气囊是指撞车时在乘员产生二次碰撞前，使气囊膨胀保护乘员的装置。</v>
          </cell>
          <cell r="G2661" t="str">
            <v>普通机械制造业</v>
          </cell>
        </row>
        <row r="2662">
          <cell r="E2662" t="str">
            <v>车窗玻璃升降器</v>
          </cell>
          <cell r="F2662" t="str">
            <v>玻璃升降器是汽车门窗玻璃的升降装置，主要分电动玻璃升降器与手动玻璃升降器两大类。</v>
          </cell>
          <cell r="G2662" t="str">
            <v>普通机械制造业</v>
          </cell>
        </row>
        <row r="2663">
          <cell r="E2663" t="str">
            <v>车身底板、侧板及类似板</v>
          </cell>
          <cell r="F2663" t="str">
            <v>包括车身底板、侧板、前面板、后面板、行李舱等</v>
          </cell>
          <cell r="G2663" t="str">
            <v>普通机械制造业</v>
          </cell>
        </row>
        <row r="2664">
          <cell r="E2664" t="str">
            <v>机动车门及其零件</v>
          </cell>
          <cell r="F2664" t="str">
            <v>用于封闭机动车内部空间的设置及其配套附件，包含密封胶带、内装饰板、车内控制器、车门锁闭机构、外部开启装置等。</v>
          </cell>
          <cell r="G2664" t="str">
            <v>普通机械制造业</v>
          </cell>
        </row>
        <row r="2665">
          <cell r="E2665" t="str">
            <v>机动车车窗、窗框</v>
          </cell>
          <cell r="F2665" t="str">
            <v>包括机动车带框玻璃窗、装有加热电阻器及电气接头的窗、窗框</v>
          </cell>
          <cell r="G2665" t="str">
            <v>普通机械制造业</v>
          </cell>
        </row>
        <row r="2666">
          <cell r="E2666" t="str">
            <v>其他车身零配件</v>
          </cell>
          <cell r="F2666" t="str">
            <v>指其他车身零件及其配套附件，包括发动机罩、散热器护罩、机动车脚踏板、挡泥板、叶子板、仪表板、车牌照托架、转向柱托架、机动车的外部行李架、遮阳板，由车辆发动机供热的非电气供暖及除霜设备，还包括尚未具有不完整车身特征的组合体</v>
          </cell>
          <cell r="G2666" t="str">
            <v>普通机械制造业</v>
          </cell>
        </row>
        <row r="2667">
          <cell r="E2667" t="str">
            <v>汽车底盘</v>
          </cell>
          <cell r="F2667" t="str">
            <v>不带车身的机动车辆，包括装有发动机、传动机构、转向机构及驱动桥（不论是否装有车轮）、机动车辆用的底盘车架或底盘车身整体式车架</v>
          </cell>
          <cell r="G2667" t="str">
            <v>普通机械制造业</v>
          </cell>
        </row>
        <row r="2668">
          <cell r="E2668" t="str">
            <v>电动轻便摩托车，由电力驱动的，最高设计车速大于20km/h且不大于50km/h（含50km/h）</v>
          </cell>
          <cell r="F2668" t="str">
            <v>无说明</v>
          </cell>
          <cell r="G2668" t="str">
            <v>普通机械制造业</v>
          </cell>
        </row>
        <row r="2669">
          <cell r="E2669" t="str">
            <v>摩托车，排气量在150毫升以下（含150毫升）</v>
          </cell>
          <cell r="F2669" t="str">
            <v>无说明</v>
          </cell>
          <cell r="G2669" t="str">
            <v>普通机械制造业</v>
          </cell>
        </row>
        <row r="2670">
          <cell r="E2670" t="str">
            <v>电动摩托车，由电力驱动的，最高设计车速大于50km/h</v>
          </cell>
          <cell r="F2670" t="str">
            <v>无说明</v>
          </cell>
          <cell r="G2670" t="str">
            <v>普通机械制造业</v>
          </cell>
        </row>
        <row r="2671">
          <cell r="E2671" t="str">
            <v>摩托车，排气量在250毫升以下（不含250毫升）</v>
          </cell>
          <cell r="F2671" t="str">
            <v>指往复式内燃机摩托车,含普通型摩托车、踏板摩托车、三轮摩托车和其他摩托车</v>
          </cell>
          <cell r="G2671" t="str">
            <v>普通机械制造业</v>
          </cell>
        </row>
        <row r="2672">
          <cell r="E2672" t="str">
            <v>摩托车，排气量是250毫升以上（含250毫升）</v>
          </cell>
          <cell r="F2672" t="str">
            <v>指往复式内燃机摩托车,含普通型摩托车、踏板摩托车、三轮摩托车和其他摩托车</v>
          </cell>
          <cell r="G2672" t="str">
            <v>普通机械制造业</v>
          </cell>
        </row>
        <row r="2673">
          <cell r="E2673" t="str">
            <v>摩托车零部件及配件</v>
          </cell>
          <cell r="F2673" t="str">
            <v>是构成摩托车整体的各个单元及服务于摩托车的一种产品。指装配摩托车机械的零件或部件；或损坏后重新安装上的零件或部件。</v>
          </cell>
          <cell r="G2673" t="str">
            <v>普通机械制造业</v>
          </cell>
        </row>
        <row r="2674">
          <cell r="E2674" t="str">
            <v>两轮脚踏自行车</v>
          </cell>
          <cell r="F2674" t="str">
            <v>不包括助动自行车（详见1090316）</v>
          </cell>
          <cell r="G2674" t="str">
            <v>普通机械制造业</v>
          </cell>
        </row>
        <row r="2675">
          <cell r="E2675" t="str">
            <v>三轮脚踏自行车</v>
          </cell>
          <cell r="F2675" t="str">
            <v>不包括机动三轮车（详见1090309）</v>
          </cell>
          <cell r="G2675" t="str">
            <v>普通机械制造业</v>
          </cell>
        </row>
        <row r="2676">
          <cell r="E2676" t="str">
            <v>特种脚踏自行车</v>
          </cell>
          <cell r="F2676" t="str">
            <v>包含双人脚踏自行车、独轮脚踏自行车、其他特种脚踏自行车</v>
          </cell>
          <cell r="G2676" t="str">
            <v>普通机械制造业</v>
          </cell>
        </row>
        <row r="2677">
          <cell r="E2677" t="str">
            <v>脚踏自行车零件</v>
          </cell>
          <cell r="F2677" t="str">
            <v>无说明</v>
          </cell>
          <cell r="G2677" t="str">
            <v>普通机械制造业</v>
          </cell>
        </row>
        <row r="2678">
          <cell r="E2678" t="str">
            <v>残疾人用车</v>
          </cell>
          <cell r="F2678" t="str">
            <v>指专用于载运残疾人（病人、瘫痪者、残疾人等）的车辆。</v>
          </cell>
          <cell r="G2678" t="str">
            <v>普通机械制造业</v>
          </cell>
        </row>
        <row r="2679">
          <cell r="E2679" t="str">
            <v>助动自行车及其零件</v>
          </cell>
          <cell r="F2679" t="str">
            <v>不包括供儿童乘骑的带轮玩具及其零件（详见106040801）</v>
          </cell>
          <cell r="G2679" t="str">
            <v>普通机械制造业</v>
          </cell>
        </row>
        <row r="2680">
          <cell r="E2680" t="str">
            <v>休闲专用车及其零附件</v>
          </cell>
          <cell r="F2680" t="str">
            <v>指车体轻便、可以用于休闲竞技、表演等场地，用于休闲活动赛道或赛场，49～800CC四轮或四轮以上气动或电动的沙滩车，用于休闲赛场、丘陵、沙漠等特殊地形等活动的卡丁车，用于农场、庄园等车前带拖斗可放置农用器具的农夫车，高尔夫球车，车身装有履带、雪橇、滑雪板、扫雪工具等，用于雪地休闲活动的休闲雪地车，指一般无动力或稍带一点动力用于草地等休闲活动草地车，观光车，代步车，其他休闲专用车，及其零附件。</v>
          </cell>
          <cell r="G2680" t="str">
            <v>普通机械制造业</v>
          </cell>
        </row>
        <row r="2681">
          <cell r="E2681" t="str">
            <v>机动货船</v>
          </cell>
          <cell r="F2681" t="str">
            <v>包括客货船。由动力装置驱动或牵引在水上行驶的供运送货物的船只</v>
          </cell>
          <cell r="G2681" t="str">
            <v>普通机械制造业</v>
          </cell>
        </row>
        <row r="2682">
          <cell r="E2682" t="str">
            <v>机动客船</v>
          </cell>
          <cell r="F2682" t="str">
            <v>由动力装置驱动或牵引在水上行驶供乘用的船只</v>
          </cell>
          <cell r="G2682" t="str">
            <v>普通机械制造业</v>
          </cell>
        </row>
        <row r="2683">
          <cell r="E2683" t="str">
            <v>机动渔船</v>
          </cell>
          <cell r="F2683" t="str">
            <v>由动力装置驱动或牵引在水上行驶的供捕捞的船只</v>
          </cell>
          <cell r="G2683" t="str">
            <v>普通机械制造业</v>
          </cell>
        </row>
        <row r="2684">
          <cell r="E2684" t="str">
            <v>机动工程（工作）船</v>
          </cell>
          <cell r="F2684" t="str">
            <v>由动力装置驱动或牵引在水上行驶用于工程作业的船只</v>
          </cell>
          <cell r="G2684" t="str">
            <v>普通机械制造业</v>
          </cell>
        </row>
        <row r="2685">
          <cell r="E2685" t="str">
            <v>其他机动船</v>
          </cell>
          <cell r="F2685" t="str">
            <v>其他由动力装置驱动或牵引在水上行驶的船只</v>
          </cell>
          <cell r="G2685" t="str">
            <v>普通机械制造业</v>
          </cell>
        </row>
        <row r="2686">
          <cell r="E2686" t="str">
            <v>非机动船</v>
          </cell>
          <cell r="F2686" t="str">
            <v>包括驳船、浮船坞。</v>
          </cell>
          <cell r="G2686" t="str">
            <v>普通机械制造业</v>
          </cell>
        </row>
        <row r="2687">
          <cell r="E2687" t="str">
            <v>非金属船舶</v>
          </cell>
          <cell r="F2687" t="str">
            <v>包括玻璃钢渔船、木渔船、玻璃钢客货运输船、木船、橡皮船、气垫船等。不包括游艇（详见1090320）</v>
          </cell>
          <cell r="G2687" t="str">
            <v>普通机械制造业</v>
          </cell>
        </row>
        <row r="2688">
          <cell r="E2688" t="str">
            <v>游艇</v>
          </cell>
          <cell r="F2688" t="str">
            <v>艇身长度大于8米（含）小于90米（含），内置发动机，可以在水上移动，一般为私人或团体购置，主要用于水上运动和休闲娱乐等非牟利活动的各类机动艇。</v>
          </cell>
          <cell r="G2688" t="str">
            <v>普通机械制造业</v>
          </cell>
        </row>
        <row r="2689">
          <cell r="E2689" t="str">
            <v>船用甲板机械</v>
          </cell>
          <cell r="F2689" t="str">
            <v>不包括船用卷扬机及绞盘（详见109011104）</v>
          </cell>
          <cell r="G2689" t="str">
            <v>普通机械制造业</v>
          </cell>
        </row>
        <row r="2690">
          <cell r="E2690" t="str">
            <v>船舶自动化、检测、监控系统</v>
          </cell>
          <cell r="F2690" t="str">
            <v>包括机舱自动化控制装置、综合船桥系统等</v>
          </cell>
          <cell r="G2690" t="str">
            <v>普通机械制造业</v>
          </cell>
        </row>
        <row r="2691">
          <cell r="E2691" t="str">
            <v>船舶专用设备</v>
          </cell>
          <cell r="F2691" t="str">
            <v>船舶用陀螺稳定器，船舶驾驶及操舵设备，船用海水淡化装置，船舶安全装置，其他船舶专用设备，包括稳定装置、船舶防腐蚀装置、船舶管路系统、船舶应急设备等</v>
          </cell>
          <cell r="G2691" t="str">
            <v>普通机械制造业</v>
          </cell>
        </row>
        <row r="2692">
          <cell r="E2692" t="str">
            <v>船用环保设备</v>
          </cell>
          <cell r="F2692" t="str">
            <v>包括油分浓度计、船用油水界面探测器等的船舶防污监测系统，船用垃圾焚烧炉，生化法污水处理装置，船用油污水分离装置，包括油水过滤器，其他船用环保设备</v>
          </cell>
          <cell r="G2692" t="str">
            <v>普通机械制造业</v>
          </cell>
        </row>
        <row r="2693">
          <cell r="E2693" t="str">
            <v>海上救生设备</v>
          </cell>
          <cell r="F2693" t="str">
            <v>包括船用救生设备，但不包括救生艇（详见109031804）</v>
          </cell>
          <cell r="G2693" t="str">
            <v>普通机械制造业</v>
          </cell>
        </row>
        <row r="2694">
          <cell r="E2694" t="str">
            <v>船用配套设备零件</v>
          </cell>
          <cell r="F2694" t="str">
            <v>包括船舶用舵机稳定器用零件，船舶用舵机及陀螺稳定器用零件，其他船用配套设备零件</v>
          </cell>
          <cell r="G2694" t="str">
            <v>普通机械制造业</v>
          </cell>
        </row>
        <row r="2695">
          <cell r="E2695" t="str">
            <v>船用推进器及螺旋桨、锚制品</v>
          </cell>
          <cell r="F2695" t="str">
            <v>包括钢铁锚及零件，多爪锚及零件，喷水推进器，Z型推进器，侧向推进器，其他船用推进器，船用螺旋桨桨叶</v>
          </cell>
          <cell r="G2695" t="str">
            <v>普通机械制造业</v>
          </cell>
        </row>
        <row r="2696">
          <cell r="E2696" t="str">
            <v>航标器材</v>
          </cell>
          <cell r="F2696" t="str">
            <v>包含浮筒、浮标、浮罐、其他航标器材</v>
          </cell>
          <cell r="G2696" t="str">
            <v>普通机械制造业</v>
          </cell>
        </row>
        <row r="2697">
          <cell r="E2697" t="str">
            <v>浮动结构体、浮式装置</v>
          </cell>
          <cell r="F2697" t="str">
            <v>包含浮舟、浮吊、浮柜、潜水箱、隔离舱、泊位平台、作坞门用浮动结构体、其他浮动结构体、浮式装置</v>
          </cell>
          <cell r="G2697" t="str">
            <v>普通机械制造业</v>
          </cell>
        </row>
        <row r="2698">
          <cell r="E2698" t="str">
            <v>海洋石油浮动工程结构物</v>
          </cell>
          <cell r="F2698" t="str">
            <v>包含浮式生产储油船、浮动或潜水式钻探或生产平台</v>
          </cell>
          <cell r="G2698" t="str">
            <v>普通机械制造业</v>
          </cell>
        </row>
        <row r="2699">
          <cell r="E2699" t="str">
            <v>民用飞机</v>
          </cell>
          <cell r="F2699" t="str">
            <v>又叫民用固定翼飞机分为商业飞机和通用飞机。商业飞机有国内和国际干线客机、货机或客货两用机以及国内支线运输机。通用飞机有公务机、农业机、林业机、轻型多用途机、巡逻救护机、体育运动机和私人飞机等。</v>
          </cell>
          <cell r="G2699" t="str">
            <v>普通机械制造业</v>
          </cell>
        </row>
        <row r="2700">
          <cell r="E2700" t="str">
            <v>民用直升机</v>
          </cell>
          <cell r="F2700" t="str">
            <v>非军事用途的直升机主要由机体和升力（含旋翼和尾桨）、动力、传动三大系统以及机载飞行设备等组成。旋翼一般由涡轮轴发动机或活塞式发动机通过由传动轴及减速器等组成的机械传动系统来驱动，也可由桨尖喷气产生的反作用力来驱动。</v>
          </cell>
          <cell r="G2700" t="str">
            <v>普通机械制造业</v>
          </cell>
        </row>
        <row r="2701">
          <cell r="E2701" t="str">
            <v>无动力航空器</v>
          </cell>
          <cell r="F2701" t="str">
            <v>滑翔机及悬挂滑翔机,自由或系留气球,专用气球,机动飞艇,其他无动力航空器等。</v>
          </cell>
          <cell r="G2701" t="str">
            <v>普通机械制造业</v>
          </cell>
        </row>
        <row r="2702">
          <cell r="E2702" t="str">
            <v>航空器发射、甲板停机装置及地面飞行训练装置</v>
          </cell>
          <cell r="F2702" t="str">
            <v>包括航空器发射装置,甲板停机装置及其零件</v>
          </cell>
          <cell r="G2702" t="str">
            <v>普通机械制造业</v>
          </cell>
        </row>
        <row r="2703">
          <cell r="E2703" t="str">
            <v>航空器零件</v>
          </cell>
          <cell r="F2703" t="str">
            <v>飞机及直升机零件,气球、飞艇零件,航空器及其运载工具零件,其他航空器零件</v>
          </cell>
          <cell r="G2703" t="str">
            <v>普通机械制造业</v>
          </cell>
        </row>
        <row r="2704">
          <cell r="E2704" t="str">
            <v>航天飞机</v>
          </cell>
          <cell r="F2704" t="str">
            <v>又称为太空梭或太空穿梭机，是可重复使用的、往返于太空和地面之间的航天器，结合了飞机与航天器的性质。它既能代表运载火箭把人造卫星等航天器送入太空，也能像载人飞船那样在轨道上运行，还能像飞机那样在大气层中滑翔着陆。</v>
          </cell>
          <cell r="G2704" t="str">
            <v>普通机械制造业</v>
          </cell>
        </row>
        <row r="2705">
          <cell r="E2705" t="str">
            <v>飞船</v>
          </cell>
          <cell r="F2705" t="str">
            <v>飞船是一种一次性使用的航天器。它能基本保证航天员在太空短期生活并进行一定的工作。它的运行时间一般是几天到半个月，一般乘2到3名航天员。又称宇宙飞船。</v>
          </cell>
          <cell r="G2705" t="str">
            <v>普通机械制造业</v>
          </cell>
        </row>
        <row r="2706">
          <cell r="E2706" t="str">
            <v>卫星</v>
          </cell>
          <cell r="F2706" t="str">
            <v>人造卫星是由人类建造，以太空飞行载具如火箭、航天飞机等发射到太空中，像天然卫星一样环绕地球或其它行星的装置。</v>
          </cell>
          <cell r="G2706" t="str">
            <v>普通机械制造业</v>
          </cell>
        </row>
        <row r="2707">
          <cell r="E2707" t="str">
            <v>运载火箭</v>
          </cell>
          <cell r="F2707" t="str">
            <v>每一级都包括箭体结构、推进系统和飞行控制系统。末级有仪器舱，内装制导与控制系统、遥测系统和发射场安全系统。级与级之间靠级间段连接。有效载荷装在仪器舱的上面，外面套有整流罩。包括箭体结构,火箭发动机,箭上设备,运载火箭地面设备,其他运载火箭设备</v>
          </cell>
          <cell r="G2707" t="str">
            <v>普通机械制造业</v>
          </cell>
        </row>
        <row r="2708">
          <cell r="E2708" t="str">
            <v>探空火箭</v>
          </cell>
          <cell r="F2708" t="str">
            <v>探空火箭（是一种比较特殊的运载工具，它只携带科学仪器进行亚轨道飞行。探空火箭一般为无控制火箭，具有结构简单、成本低廉、发射方便等优点。探空火箭系统由有效载荷、火箭、发射装置和地面台站组成。</v>
          </cell>
          <cell r="G2708" t="str">
            <v>普通机械制造业</v>
          </cell>
        </row>
        <row r="2709">
          <cell r="E2709" t="str">
            <v>气象火箭</v>
          </cell>
          <cell r="F2709" t="str">
            <v>探测高空大气参数（温度、压力、密度、风）的空火箭。气象火箭获得的高空大气资料可用于天气预报、气候变化和灾害性天气研究。</v>
          </cell>
          <cell r="G2709" t="str">
            <v>普通机械制造业</v>
          </cell>
        </row>
        <row r="2710">
          <cell r="E2710" t="str">
            <v>其他航天器</v>
          </cell>
          <cell r="F2710" t="str">
            <v>无说明</v>
          </cell>
          <cell r="G2710" t="str">
            <v>普通机械制造业</v>
          </cell>
        </row>
        <row r="2711">
          <cell r="E2711" t="str">
            <v>航天器及其运载工具零件</v>
          </cell>
          <cell r="F2711" t="str">
            <v>用于航天飞机、卫星、运载火箭、探空火箭、气象火箭和其他航天器的附属部件及零配件。</v>
          </cell>
          <cell r="G2711" t="str">
            <v>普通机械制造业</v>
          </cell>
        </row>
        <row r="2712">
          <cell r="E2712" t="str">
            <v>潜水装备</v>
          </cell>
          <cell r="F2712" t="str">
            <v>包括通风式重潜水装备，氦氧重潜水装备，轻潜水装备，其他潜水装备</v>
          </cell>
          <cell r="G2712" t="str">
            <v>普通机械制造业</v>
          </cell>
        </row>
        <row r="2713">
          <cell r="E2713" t="str">
            <v>潜水水下作业用装备</v>
          </cell>
          <cell r="F2713" t="str">
            <v>水下喷焊器，潜水通讯装置，潜水供气设备，饱和潜水系统，配有机械装置金属潜水衣，其他潜水水下作业用装备</v>
          </cell>
          <cell r="G2713" t="str">
            <v>普通机械制造业</v>
          </cell>
        </row>
        <row r="2714">
          <cell r="E2714" t="str">
            <v>潜水服</v>
          </cell>
          <cell r="F2714" t="str">
            <v>指不带呼吸装置的潜水服，包括湿式潜水服，干式潜水服，潜水水暖服，其他潜水服，不包括配有机械装置的金属潜水衣（详见109032602）</v>
          </cell>
          <cell r="G2714" t="str">
            <v>普通机械制造业</v>
          </cell>
        </row>
        <row r="2715">
          <cell r="E2715" t="str">
            <v>水下潜器</v>
          </cell>
          <cell r="F2715" t="str">
            <v>包括载人水下潜器，有缆无人水下潜器，无缆无人水下潜器，其水下潜器</v>
          </cell>
          <cell r="G2715" t="str">
            <v>普通机械制造业</v>
          </cell>
        </row>
        <row r="2716">
          <cell r="E2716" t="str">
            <v>发光标志及类似品及其零件</v>
          </cell>
          <cell r="F2716" t="str">
            <v>包括指示牌或交通标志牌、交通护板、反光板、反光护栏，汽车牌（发光），其他交通管理用发光标志。</v>
          </cell>
          <cell r="G2716" t="str">
            <v>普通机械制造业</v>
          </cell>
        </row>
        <row r="2717">
          <cell r="E2717" t="str">
            <v>金属制地名牌、号码及类似标志</v>
          </cell>
          <cell r="F2717" t="str">
            <v>公共服务单位用标志牌、禁令牌，旅馆、商店、工厂用招牌，房屋、大门、信箱用地址牌，机器、仪表用类似标志，其他金属制类似标志</v>
          </cell>
          <cell r="G2717" t="str">
            <v>普通机械制造业</v>
          </cell>
        </row>
        <row r="2718">
          <cell r="E2718" t="str">
            <v>手推车</v>
          </cell>
          <cell r="F2718" t="str">
            <v>包含手推运货车，独轮手推车、斗式手推车，自卸手推车，行李手推车，手推餐车，小型保温手推车，超市购物车（金属制），其他手推车</v>
          </cell>
          <cell r="G2718" t="str">
            <v>普通机械制造业</v>
          </cell>
        </row>
        <row r="2719">
          <cell r="E2719" t="str">
            <v>畜力拖曳车辆</v>
          </cell>
          <cell r="F2719" t="str">
            <v>包括马车、驴车，牛、狗拉车辆，游览观光用马车，畜力滑撬，运货用兽力车，其他畜力拖曳车辆</v>
          </cell>
          <cell r="G2719" t="str">
            <v>普通机械制造业</v>
          </cell>
        </row>
        <row r="2720">
          <cell r="E2720" t="str">
            <v>非机械驱动车辆零件</v>
          </cell>
          <cell r="F2720" t="str">
            <v>用于手推车、畜力拖曳车辆、其他非机械动力车的零部件</v>
          </cell>
          <cell r="G2720" t="str">
            <v>普通机械制造业</v>
          </cell>
        </row>
        <row r="2721">
          <cell r="E2721" t="str">
            <v>交流发电机</v>
          </cell>
          <cell r="F2721" t="str">
            <v>交流电动机主要由一个用以产生磁场的电磁铁绕组或分布的定子绕组和一个旋转电枢或转子组成。电动机利用通电线圈在磁场中受力转动的现象而制成的。</v>
          </cell>
          <cell r="G2721" t="str">
            <v>电气机械及器材制造业</v>
          </cell>
        </row>
        <row r="2722">
          <cell r="E2722" t="str">
            <v>直流发电机</v>
          </cell>
          <cell r="F2722" t="str">
            <v>包括电磁式直流发电机，永磁式直流发电机，其他直流发电机</v>
          </cell>
          <cell r="G2722" t="str">
            <v>电气机械及器材制造业</v>
          </cell>
        </row>
        <row r="2723">
          <cell r="E2723" t="str">
            <v>发电机组</v>
          </cell>
          <cell r="F2723" t="str">
            <v>发电机组是指由发电机及其原动机组装成（或准备组装成）整套设备或装在同一底座上所组成的机械；不包括内燃发电机组（详见109040202）</v>
          </cell>
          <cell r="G2723" t="str">
            <v>电气机械及器材制造业</v>
          </cell>
        </row>
        <row r="2724">
          <cell r="E2724" t="str">
            <v>内燃发电机组</v>
          </cell>
          <cell r="F2724" t="str">
            <v>以柴油机、汽油机及混合燃料压燃式发动机为动力源的内燃发电机组</v>
          </cell>
          <cell r="G2724" t="str">
            <v>电气机械及器材制造业</v>
          </cell>
        </row>
        <row r="2725">
          <cell r="E2725" t="str">
            <v>旋转式变流机</v>
          </cell>
          <cell r="F2725" t="str">
            <v>主要由一台发电机与一台原动机组成的交流发电机、直流发电机组，其原动机为电动机</v>
          </cell>
          <cell r="G2725" t="str">
            <v>电气机械及器材制造业</v>
          </cell>
        </row>
        <row r="2726">
          <cell r="E2726" t="str">
            <v>电机及发电机组专用零件</v>
          </cell>
          <cell r="F2726" t="str">
            <v>包括交流发电机零件，风力发电机组零件，其他电机及发电机组专用零件</v>
          </cell>
          <cell r="G2726" t="str">
            <v>电气机械及器材制造业</v>
          </cell>
        </row>
        <row r="2727">
          <cell r="E2727" t="str">
            <v>直流电动机</v>
          </cell>
          <cell r="F2727" t="str">
            <v>包括轧机用直流电动机、机床用直流电动机、电梯用直流电动机等</v>
          </cell>
          <cell r="G2727" t="str">
            <v>普通机械制造业</v>
          </cell>
        </row>
        <row r="2728">
          <cell r="E2728" t="str">
            <v>交流电动机</v>
          </cell>
          <cell r="F2728" t="str">
            <v>包括多相交流电动机和单相交流电动机、其他交流电动机</v>
          </cell>
          <cell r="G2728" t="str">
            <v>普通机械制造业</v>
          </cell>
        </row>
        <row r="2729">
          <cell r="E2729" t="str">
            <v>交直流两用电动机</v>
          </cell>
          <cell r="F2729" t="str">
            <v>P＞37.5W同步交流电动机，异步交流电动机，其他交直流两用电动机</v>
          </cell>
          <cell r="G2729" t="str">
            <v>普通机械制造业</v>
          </cell>
        </row>
        <row r="2730">
          <cell r="E2730" t="str">
            <v>小功率电动机</v>
          </cell>
          <cell r="F2730" t="str">
            <v>P≤37.5W交流小功率异步电动机，交流小功率同步电动机，小功率直线电动机，小功率直流电动机，小功率交流换向器电动机，其他小功率电动机</v>
          </cell>
          <cell r="G2730" t="str">
            <v>普通机械制造业</v>
          </cell>
        </row>
        <row r="2731">
          <cell r="E2731" t="str">
            <v>微电机</v>
          </cell>
          <cell r="F2731" t="str">
            <v>P≤37.5W玩具电动机，控制微电机，驱动微电机，移动通信终端用微型振动电机，专用微特电机，其他微电机。</v>
          </cell>
          <cell r="G2731" t="str">
            <v>普通机械制造业</v>
          </cell>
        </row>
        <row r="2732">
          <cell r="E2732" t="str">
            <v>与内燃机配用发电机</v>
          </cell>
          <cell r="F2732" t="str">
            <v>起动电机，两用起动发电机，其他与内燃机配用发电机</v>
          </cell>
          <cell r="G2732" t="str">
            <v>普通机械制造业</v>
          </cell>
        </row>
        <row r="2733">
          <cell r="E2733" t="str">
            <v>电动机零件</v>
          </cell>
          <cell r="F2733" t="str">
            <v>交流电动机零件，直流电动机零件，玩具电动机专用零件，微电机专用零件</v>
          </cell>
          <cell r="G2733" t="str">
            <v>普通机械制造业</v>
          </cell>
        </row>
        <row r="2734">
          <cell r="E2734" t="str">
            <v>其他电机</v>
          </cell>
          <cell r="F2734" t="str">
            <v>中频电机，分马力电机，电力测功电机，油泵电机，其他未列明电机</v>
          </cell>
          <cell r="G2734" t="str">
            <v>普通机械制造业</v>
          </cell>
        </row>
        <row r="2735">
          <cell r="E2735" t="str">
            <v>变压器</v>
          </cell>
          <cell r="F2735" t="str">
            <v>包括电力变压器，换流变压器，干式变压器，试验变压器，电源变压器，可调电源变压器，其他变压器</v>
          </cell>
          <cell r="G2735" t="str">
            <v>电气机械及器材制造业</v>
          </cell>
        </row>
        <row r="2736">
          <cell r="E2736" t="str">
            <v>互感器</v>
          </cell>
          <cell r="F2736" t="str">
            <v>包括电压互感器，电流互感器，组合互感器，其他互感器</v>
          </cell>
          <cell r="G2736" t="str">
            <v>电气机械及器材制造业</v>
          </cell>
        </row>
        <row r="2737">
          <cell r="E2737" t="str">
            <v>静止式变流器</v>
          </cell>
          <cell r="F2737" t="str">
            <v>包括稳压电源，稳流电源，不间断供电电源（UPS），半导体变流器，气体放电变流器，电解整流器，逆变器，交流电变换器，交流电变频设备，直流电变换器，其他静止式变流器备用电源组；不包括计算机用电源机（详见1090512）</v>
          </cell>
          <cell r="G2737" t="str">
            <v>电气机械及器材制造业</v>
          </cell>
        </row>
        <row r="2738">
          <cell r="E2738" t="str">
            <v>电抗器</v>
          </cell>
          <cell r="F2738" t="str">
            <v>包括并联电抗器，串联电抗器，轭流式饱和电抗器，限流电抗器，滤波电抗器，启动电抗器，自饱和电抗器，调幅电抗器，试验用电抗器，整流用平衡电抗器，整流用平波电抗器，阴尼电抗器，接地电抗器，其他电抗器</v>
          </cell>
          <cell r="G2738" t="str">
            <v>电气机械及器材制造业</v>
          </cell>
        </row>
        <row r="2739">
          <cell r="E2739" t="str">
            <v>电感器</v>
          </cell>
          <cell r="F2739" t="str">
            <v>包括固定与色码电感器，叠层式片式电感器，线绕式片式电感器，ＬＣ滤波器，其他电感器</v>
          </cell>
          <cell r="G2739" t="str">
            <v>电气机械及器材制造业</v>
          </cell>
        </row>
        <row r="2740">
          <cell r="E2740" t="str">
            <v>变压器、整流器和电感器零件</v>
          </cell>
          <cell r="F2740" t="str">
            <v>用于变压器，互感器，静止式变流器，电抗器，电感器的零部件</v>
          </cell>
          <cell r="G2740" t="str">
            <v>电气机械及器材制造业</v>
          </cell>
        </row>
        <row r="2741">
          <cell r="E2741" t="str">
            <v>电力电容器</v>
          </cell>
          <cell r="F2741" t="str">
            <v>50/60Hz电路用，P≥0.5千乏包括并联电容器、串联电容器、电热电容器、滤波电容器、断路器电容器、耦合电容器、保护电容器、脉冲电容器、标准电容器、其他电力电容器</v>
          </cell>
          <cell r="G2741" t="str">
            <v>普通机械制造业</v>
          </cell>
        </row>
        <row r="2742">
          <cell r="E2742" t="str">
            <v>电力电容器成套装置</v>
          </cell>
          <cell r="F2742" t="str">
            <v>包括并联电容器装置、串联电容器装置、无功就地补偿装置、交流滤波电容器装置、交流电压抽取装置、电容式电压互感器、阻容分压器、其他电力电容器成套装置</v>
          </cell>
          <cell r="G2742" t="str">
            <v>普通机械制造业</v>
          </cell>
        </row>
        <row r="2743">
          <cell r="E2743" t="str">
            <v>电力电容器零件</v>
          </cell>
          <cell r="F2743" t="str">
            <v>用于电力电容器、电力电容器成套装置的零部件</v>
          </cell>
          <cell r="G2743" t="str">
            <v>普通机械制造业</v>
          </cell>
        </row>
        <row r="2744">
          <cell r="E2744" t="str">
            <v>全封闭组合电器（GIS）</v>
          </cell>
          <cell r="F2744" t="str">
            <v>无说明</v>
          </cell>
          <cell r="G2744" t="str">
            <v>普通机械制造业</v>
          </cell>
        </row>
        <row r="2745">
          <cell r="E2745" t="str">
            <v>六氟化硫断路器</v>
          </cell>
          <cell r="F2745" t="str">
            <v>无说明</v>
          </cell>
          <cell r="G2745" t="str">
            <v>普通机械制造业</v>
          </cell>
        </row>
        <row r="2746">
          <cell r="E2746" t="str">
            <v>敞开式组合电器</v>
          </cell>
          <cell r="F2746" t="str">
            <v>无说明</v>
          </cell>
          <cell r="G2746" t="str">
            <v>普通机械制造业</v>
          </cell>
        </row>
        <row r="2747">
          <cell r="E2747" t="str">
            <v>隔离开关</v>
          </cell>
          <cell r="F2747" t="str">
            <v>无说明</v>
          </cell>
          <cell r="G2747" t="str">
            <v>普通机械制造业</v>
          </cell>
        </row>
        <row r="2748">
          <cell r="E2748" t="str">
            <v>接地开关</v>
          </cell>
          <cell r="F2748" t="str">
            <v>无说明</v>
          </cell>
          <cell r="G2748" t="str">
            <v>普通机械制造业</v>
          </cell>
        </row>
        <row r="2749">
          <cell r="E2749" t="str">
            <v>高压电路开关、保护电器装置</v>
          </cell>
          <cell r="F2749" t="str">
            <v>高压熔断器,高压自动断路器,隔离开关及断续开关,避雷器、电压限幅器及电涌抑制器,高压开关、保护或连接用组合装置,其他高压电路开关、保护电器装置</v>
          </cell>
          <cell r="G2749" t="str">
            <v>普通机械制造业</v>
          </cell>
        </row>
        <row r="2750">
          <cell r="E2750" t="str">
            <v>低压开关、保护控制装置</v>
          </cell>
          <cell r="F2750" t="str">
            <v>包括低压电路保护装置、低压电路开关装置、其他低压电路装置</v>
          </cell>
          <cell r="G2750" t="str">
            <v>普通机械制造业</v>
          </cell>
        </row>
        <row r="2751">
          <cell r="E2751" t="str">
            <v>电路连接装置</v>
          </cell>
          <cell r="F2751" t="str">
            <v>包括插头、插座及类似电路连接装置、低压电路管座、连接器、端接件及接线装置、其他电路连接装置。</v>
          </cell>
          <cell r="G2751" t="str">
            <v>普通机械制造业</v>
          </cell>
        </row>
        <row r="2752">
          <cell r="E2752" t="str">
            <v>电力控制或电力分配装置</v>
          </cell>
          <cell r="F2752" t="str">
            <v>包括电力控制或配电用配电板、配电盘、数字控制板、盘，控制台等，高压电力控制或电力分配装置，低压电力控制或电力分配装置，安全、自动化监控设备，其他电力控制或电力分配装置</v>
          </cell>
          <cell r="G2752" t="str">
            <v>普通机械制造业</v>
          </cell>
        </row>
        <row r="2753">
          <cell r="E2753" t="str">
            <v>电力半导体器件（5A以上）</v>
          </cell>
          <cell r="F2753" t="str">
            <v>包括整流管、电力晶闸管、电力晶体管、电力场效应器件、场控双极型复合器件、功率MOS场效应管、固态继电器模块、静电感应器件（SIT）、其他电力半导体器件。</v>
          </cell>
          <cell r="G2753" t="str">
            <v>普通机械制造业</v>
          </cell>
        </row>
        <row r="2754">
          <cell r="E2754" t="str">
            <v>电力微电子组件</v>
          </cell>
          <cell r="F2754" t="str">
            <v>包括电力半导体模块、电力半导体组件</v>
          </cell>
          <cell r="G2754" t="str">
            <v>普通机械制造业</v>
          </cell>
        </row>
        <row r="2755">
          <cell r="E2755" t="str">
            <v>电力集成电路</v>
          </cell>
          <cell r="F2755" t="str">
            <v>包括普通稳压电路、开关电源控制电路、DC-DC变换器、其他电力集成电路</v>
          </cell>
          <cell r="G2755" t="str">
            <v>普通机械制造业</v>
          </cell>
        </row>
        <row r="2756">
          <cell r="E2756" t="str">
            <v>继电器</v>
          </cell>
          <cell r="F2756" t="str">
            <v>包括电磁继电器、永磁继电器、热电继电器、感应继电器、静电继电器、光电继电器、电子继电器、其他继电器。</v>
          </cell>
          <cell r="G2756" t="str">
            <v>普通机械制造业</v>
          </cell>
        </row>
        <row r="2757">
          <cell r="E2757" t="str">
            <v>继电器保护装置</v>
          </cell>
          <cell r="F2757" t="str">
            <v>包括电流保护装置、电压保护装置、差动保护装置、电动机保护装置、发电机保护装置、励磁机保护装置、其他继电器保护装置</v>
          </cell>
          <cell r="G2757" t="str">
            <v>普通机械制造业</v>
          </cell>
        </row>
        <row r="2758">
          <cell r="E2758" t="str">
            <v>配电或电器控制设备专用零件</v>
          </cell>
          <cell r="F2758" t="str">
            <v>包括高压控制柜及其底座、低压控制柜及其底座、电器辅件、其他配电或电器控制设备专用零件</v>
          </cell>
          <cell r="G2758" t="str">
            <v>普通机械制造业</v>
          </cell>
        </row>
        <row r="2759">
          <cell r="E2759" t="str">
            <v>裸电线</v>
          </cell>
          <cell r="F2759" t="str">
            <v>包括裸铜线、裸铝线、铜包钢线、铜包铝丝、其他裸电线</v>
          </cell>
          <cell r="G2759" t="str">
            <v>电气机械及器材制造业</v>
          </cell>
        </row>
        <row r="2760">
          <cell r="E2760" t="str">
            <v>绝缘电线</v>
          </cell>
          <cell r="F2760" t="str">
            <v>包括绕组电线、布线组、安装电线、电话机和计算机用弹簧绳、电源插头线、其他绝缘电线</v>
          </cell>
          <cell r="G2760" t="str">
            <v>电气机械及器材制造业</v>
          </cell>
        </row>
        <row r="2761">
          <cell r="E2761" t="str">
            <v>同轴电缆</v>
          </cell>
          <cell r="F2761" t="str">
            <v>包括射频电缆、高频同轴电缆、其他同轴电缆</v>
          </cell>
          <cell r="G2761" t="str">
            <v>电气机械及器材制造业</v>
          </cell>
        </row>
        <row r="2762">
          <cell r="E2762" t="str">
            <v>专用电缆</v>
          </cell>
          <cell r="F2762" t="str">
            <v>包括通信及电子网络用电缆、电力电缆、交通信号专用电缆、影音电源用阻燃软电缆、潜水电机用防水橡套软电缆、其他专用电缆</v>
          </cell>
          <cell r="G2762" t="str">
            <v>电气机械及器材制造业</v>
          </cell>
        </row>
        <row r="2763">
          <cell r="E2763" t="str">
            <v>电子元器件引线</v>
          </cell>
          <cell r="F2763" t="str">
            <v>无说明</v>
          </cell>
          <cell r="G2763" t="str">
            <v>电气机械及器材制造业</v>
          </cell>
        </row>
        <row r="2764">
          <cell r="E2764" t="str">
            <v>其他电线电缆</v>
          </cell>
          <cell r="F2764" t="str">
            <v>无说明</v>
          </cell>
          <cell r="G2764" t="str">
            <v>电气机械及器材制造业</v>
          </cell>
        </row>
        <row r="2765">
          <cell r="E2765" t="str">
            <v>光纤</v>
          </cell>
          <cell r="F2765" t="str">
            <v>包括塑料光纤、单模光纤、多模光纤、特种光纤</v>
          </cell>
          <cell r="G2765" t="str">
            <v>普通机械制造业</v>
          </cell>
        </row>
        <row r="2766">
          <cell r="E2766" t="str">
            <v>光缆</v>
          </cell>
          <cell r="F2766" t="str">
            <v>包括普通光缆、特种光缆</v>
          </cell>
          <cell r="G2766" t="str">
            <v>普通机械制造业</v>
          </cell>
        </row>
        <row r="2767">
          <cell r="E2767" t="str">
            <v>电气绝缘子</v>
          </cell>
          <cell r="F2767" t="str">
            <v>指熔融玄武岩、硬化橡胶、混合绝缘材料制电气绝缘子。</v>
          </cell>
          <cell r="G2767" t="str">
            <v>普通机械制造业</v>
          </cell>
        </row>
        <row r="2768">
          <cell r="E2768" t="str">
            <v>电气设备用绝缘配件</v>
          </cell>
          <cell r="F2768" t="str">
            <v>包括电机或电气设备用的绝缘零件</v>
          </cell>
          <cell r="G2768" t="str">
            <v>普通机械制造业</v>
          </cell>
        </row>
        <row r="2769">
          <cell r="E2769" t="str">
            <v>内燃机电点火起动装置</v>
          </cell>
          <cell r="F2769" t="str">
            <v>包括火花塞、点火磁电机、内燃机电点火永磁直流发电机、磁飞轮、分电器、点火线圈、内燃机用熔断器、其他内燃机电点火起动装置。</v>
          </cell>
          <cell r="G2769" t="str">
            <v>普通机械制造业</v>
          </cell>
        </row>
        <row r="2770">
          <cell r="E2770" t="str">
            <v>电磁铁及电磁性装置</v>
          </cell>
          <cell r="F2770" t="str">
            <v>包括电磁联轴节、电磁离合器、电磁制动器、电磁起重吸盘、电磁铁、电磁或永磁卡盘、夹紧器或提吊磁铁、电磁性工件夹具</v>
          </cell>
          <cell r="G2770" t="str">
            <v>普通机械制造业</v>
          </cell>
        </row>
        <row r="2771">
          <cell r="E2771" t="str">
            <v>风挡刮水器</v>
          </cell>
          <cell r="F2771" t="str">
            <v>包括机动车辆风挡刮水器、电动风挡刮水器</v>
          </cell>
          <cell r="G2771" t="str">
            <v>普通机械制造业</v>
          </cell>
        </row>
        <row r="2772">
          <cell r="E2772" t="str">
            <v>除霜器</v>
          </cell>
          <cell r="F2772" t="str">
            <v>车辆除霜器、电阻除霜器</v>
          </cell>
          <cell r="G2772" t="str">
            <v>普通机械制造业</v>
          </cell>
        </row>
        <row r="2773">
          <cell r="E2773" t="str">
            <v>去雾器</v>
          </cell>
          <cell r="F2773" t="str">
            <v>车辆去雾器、电阻去雾器</v>
          </cell>
          <cell r="G2773" t="str">
            <v>普通机械制造业</v>
          </cell>
        </row>
        <row r="2774">
          <cell r="E2774" t="str">
            <v>内燃机电点火起动装置零件</v>
          </cell>
          <cell r="F2774" t="str">
            <v>电磁性装置零件，机车、航空器及船舶用电点火装置零件、其他内燃机电点火起动装置零件。</v>
          </cell>
          <cell r="G2774" t="str">
            <v>普通机械制造业</v>
          </cell>
        </row>
        <row r="2775">
          <cell r="E2775" t="str">
            <v>其他相关电工器材</v>
          </cell>
          <cell r="F2775" t="str">
            <v>包括同步器、矿用电雷管</v>
          </cell>
          <cell r="G2775" t="str">
            <v>普通机械制造业</v>
          </cell>
        </row>
        <row r="2776">
          <cell r="E2776" t="str">
            <v>无汞锌原电池</v>
          </cell>
          <cell r="F2776" t="str">
            <v>以锌做负极，汞含量低于电池重量的0.0001%(扣式电池按0.0005%)的原电池</v>
          </cell>
          <cell r="G2776" t="str">
            <v>普通机械制造业</v>
          </cell>
        </row>
        <row r="2777">
          <cell r="E2777" t="str">
            <v>含汞锌原电池</v>
          </cell>
          <cell r="F2777" t="str">
            <v>以锌做负极，汞含量高于电池重量的0.0001%(扣式电池按0.0005%)的原电池</v>
          </cell>
          <cell r="G2777" t="str">
            <v>普通机械制造业</v>
          </cell>
        </row>
        <row r="2778">
          <cell r="E2778" t="str">
            <v>锂原电池</v>
          </cell>
          <cell r="F2778" t="str">
            <v>以锂做负极的原电池,包括锂二氧化锰原电池、锂亚硫酰氯原电池、锂二硫化铁原电池、锂二氧化硫原电池、锂氧原电池(又称“锂空气原电池”)、锂氟化碳原电池等。</v>
          </cell>
          <cell r="G2778" t="str">
            <v>普通机械制造业</v>
          </cell>
        </row>
        <row r="2779">
          <cell r="E2779" t="str">
            <v>其他无汞原电池</v>
          </cell>
          <cell r="F2779" t="str">
            <v>其他汞含量低于电池重量的0.0001%(扣式电池按0.0005%)的原电池</v>
          </cell>
          <cell r="G2779" t="str">
            <v>普通机械制造业</v>
          </cell>
        </row>
        <row r="2780">
          <cell r="E2780" t="str">
            <v>其他含汞原电池</v>
          </cell>
          <cell r="F2780" t="str">
            <v>其他汞含量高于电池重量的0.0001%(扣式电池按0.0005%)的原电池</v>
          </cell>
          <cell r="G2780" t="str">
            <v>普通机械制造业</v>
          </cell>
        </row>
        <row r="2781">
          <cell r="E2781" t="str">
            <v>铅酸蓄电池</v>
          </cell>
          <cell r="F2781" t="str">
            <v>铅酸蓄电池,指含以稀硫酸为主电解质、二氧化铅正极和铅负极的蓄电池。</v>
          </cell>
          <cell r="G2781" t="str">
            <v>普通机械制造业</v>
          </cell>
        </row>
        <row r="2782">
          <cell r="E2782" t="str">
            <v>其他酸性蓄电池</v>
          </cell>
          <cell r="F2782" t="str">
            <v>其他含酸性电解质的蓄电池</v>
          </cell>
          <cell r="G2782" t="str">
            <v>普通机械制造业</v>
          </cell>
        </row>
        <row r="2783">
          <cell r="E2783" t="str">
            <v>金属氢化物镍蓄电池</v>
          </cell>
          <cell r="F2783" t="str">
            <v>又称“氢镍蓄电池”或“镍氢蓄电池”</v>
          </cell>
          <cell r="G2783" t="str">
            <v>普通机械制造业</v>
          </cell>
        </row>
        <row r="2784">
          <cell r="E2784" t="str">
            <v>锂离子蓄电池</v>
          </cell>
          <cell r="F2784" t="str">
            <v>以锂做负极的原电池,包括锂二氧化锰原电池、锂亚硫酰氯原电池、锂二硫化铁原电池、锂二氧化硫原电池、锂氧原电池(又称“锂空气原电池”)、锂氟化碳原电池等按可充电、重复使用设计的电池</v>
          </cell>
          <cell r="G2784" t="str">
            <v>普通机械制造业</v>
          </cell>
        </row>
        <row r="2785">
          <cell r="E2785" t="str">
            <v>全钒液流电池</v>
          </cell>
          <cell r="F2785" t="str">
            <v>全钒液流电池是通过正负极电解液中不同价态钒离子的电化学反应来实现电能和化学能互相转化的储能装置。</v>
          </cell>
          <cell r="G2785" t="str">
            <v>普通机械制造业</v>
          </cell>
        </row>
        <row r="2786">
          <cell r="E2786" t="str">
            <v>其他氧化还原液流电池</v>
          </cell>
          <cell r="F2786" t="str">
            <v>除氧化还原液流电池以外的其他同原理电池。</v>
          </cell>
          <cell r="G2786" t="str">
            <v>普通机械制造业</v>
          </cell>
        </row>
        <row r="2787">
          <cell r="E2787" t="str">
            <v>其他蓄电池</v>
          </cell>
          <cell r="F2787" t="str">
            <v>无说明</v>
          </cell>
          <cell r="G2787" t="str">
            <v>普通机械制造业</v>
          </cell>
        </row>
        <row r="2788">
          <cell r="E2788" t="str">
            <v>太阳能电池</v>
          </cell>
          <cell r="F2788" t="str">
            <v>指将太阳光能转换成电能的装置,包括晶体硅太阳能电池、薄膜太阳能电池、化合物半导体太阳能电池等</v>
          </cell>
          <cell r="G2788" t="str">
            <v>普通机械制造业</v>
          </cell>
        </row>
        <row r="2789">
          <cell r="E2789" t="str">
            <v>燃料电池</v>
          </cell>
          <cell r="F2789" t="str">
            <v>指通过一个电化学过程,将连续供应的反应物和氧化剂的化学能直接转换为电能的电化学发电装置。</v>
          </cell>
          <cell r="G2789" t="str">
            <v>普通机械制造业</v>
          </cell>
        </row>
        <row r="2790">
          <cell r="E2790" t="str">
            <v>其他电池</v>
          </cell>
          <cell r="F2790" t="str">
            <v>无说明</v>
          </cell>
          <cell r="G2790" t="str">
            <v>普通机械制造业</v>
          </cell>
        </row>
        <row r="2791">
          <cell r="E2791" t="str">
            <v>电池零部件</v>
          </cell>
          <cell r="F2791" t="str">
            <v>无说明</v>
          </cell>
          <cell r="G2791" t="str">
            <v>普通机械制造业</v>
          </cell>
        </row>
        <row r="2792">
          <cell r="E2792" t="str">
            <v>家用冷藏冷冻箱</v>
          </cell>
          <cell r="F2792" t="str">
            <v>指冷藏-冷冻组合机，包括单门冷藏冷冻箱、双门冷藏冷冻箱、多门冷藏冷冻箱</v>
          </cell>
          <cell r="G2792" t="str">
            <v>普通机械制造业</v>
          </cell>
        </row>
        <row r="2793">
          <cell r="E2793" t="str">
            <v>家用冷藏箱</v>
          </cell>
          <cell r="F2793" t="str">
            <v>指家用和类似用途的单冷藏箱，包括电气吸收式、压缩式（含其中的家用酒柜）、半导体式、其他各式家用冷藏箱</v>
          </cell>
          <cell r="G2793" t="str">
            <v>普通机械制造业</v>
          </cell>
        </row>
        <row r="2794">
          <cell r="E2794" t="str">
            <v>家用冷冻箱</v>
          </cell>
          <cell r="F2794" t="str">
            <v>指家用和类似用途的卧式、立式及其他各式冷冻箱（冷柜），含具有冷藏和冷冻转换功能的冷柜。不包括家用电冰箱（详见109041401）、家用冷藏箱（详见109041402）</v>
          </cell>
          <cell r="G2794" t="str">
            <v>普通机械制造业</v>
          </cell>
        </row>
        <row r="2795">
          <cell r="E2795" t="str">
            <v>其他家用制冷电器具</v>
          </cell>
          <cell r="F2795" t="str">
            <v>无说明</v>
          </cell>
          <cell r="G2795" t="str">
            <v>普通机械制造业</v>
          </cell>
        </row>
        <row r="2796">
          <cell r="E2796" t="str">
            <v>房间空气调节器</v>
          </cell>
          <cell r="F2796" t="str">
            <v>指家用和类似用途的房间空气调节器（俗称空调机），用于向封闭的房间、空间或区域直接提供经过处理的空气的一种空气调节电器。包括整体式、分体式、一拖多式冷热或单冷的房间空气调节器，以及制冷量≤14000W的其他房间空气调节器。不包括家用房间空气清洁装置（详见109041503）、未装有制冷装置的家用空气湿度调节装置或空气调节器（详见109041502、109041599）、制冷量＞14000W的工商用房间空调器（详见109013104）</v>
          </cell>
          <cell r="G2796" t="str">
            <v>普通机械制造业</v>
          </cell>
        </row>
        <row r="2797">
          <cell r="E2797" t="str">
            <v>家用空气湿度调节装置</v>
          </cell>
          <cell r="F2797" t="str">
            <v>包括除湿机、加湿机、其他家用空气湿度调节装置</v>
          </cell>
          <cell r="G2797" t="str">
            <v>普通机械制造业</v>
          </cell>
        </row>
        <row r="2798">
          <cell r="E2798" t="str">
            <v>家用房间空气清洁装置</v>
          </cell>
          <cell r="F2798" t="str">
            <v>包括空气清洁器、负离子发生器、其他家用房间空气清洁装置</v>
          </cell>
          <cell r="G2798" t="str">
            <v>普通机械制造业</v>
          </cell>
        </row>
        <row r="2799">
          <cell r="E2799" t="str">
            <v>其他家用空气调节器</v>
          </cell>
          <cell r="F2799" t="str">
            <v>无说明</v>
          </cell>
          <cell r="G2799" t="str">
            <v>普通机械制造业</v>
          </cell>
        </row>
        <row r="2800">
          <cell r="E2800" t="str">
            <v>家用电风扇</v>
          </cell>
          <cell r="F2800" t="str">
            <v>指家用和类似用途的电风扇（5W＜功率≤125W），包括吊扇、落地扇、台扇、壁扇、塔式扇、箱式扇等。不包括房屋、设备、计算机等用的换气扇（详见109012702）</v>
          </cell>
          <cell r="G2800" t="str">
            <v>普通机械制造业</v>
          </cell>
        </row>
        <row r="2801">
          <cell r="E2801" t="str">
            <v>家用吸排油烟机</v>
          </cell>
          <cell r="F2801" t="str">
            <v>指家用和类似用途的吸排油烟机，包括深型吸排油烟机、欧式塔型吸排油烟机、侧吸式吸排油烟机、其他家用吸排油烟机</v>
          </cell>
          <cell r="G2801" t="str">
            <v>普通机械制造业</v>
          </cell>
        </row>
        <row r="2802">
          <cell r="E2802" t="str">
            <v>家用换气、排气扇</v>
          </cell>
          <cell r="F2802" t="str">
            <v>指家用和类似用途的换气、排气扇，包括卫生间、厨房等用换气、排气扇</v>
          </cell>
          <cell r="G2802" t="str">
            <v>普通机械制造业</v>
          </cell>
        </row>
        <row r="2803">
          <cell r="E2803" t="str">
            <v>电热干手器</v>
          </cell>
          <cell r="F2803" t="str">
            <v>无说明</v>
          </cell>
          <cell r="G2803" t="str">
            <v>普通机械制造业</v>
          </cell>
        </row>
        <row r="2804">
          <cell r="E2804" t="str">
            <v>其他家用通风电器具</v>
          </cell>
          <cell r="F2804" t="str">
            <v>无说明</v>
          </cell>
          <cell r="G2804" t="str">
            <v>普通机械制造业</v>
          </cell>
        </row>
        <row r="2805">
          <cell r="E2805" t="str">
            <v>家用电热烹调器具</v>
          </cell>
          <cell r="F2805" t="str">
            <v>指家用和类似用途的电热烹调器具，包括电饭锅、电炒锅、电火锅、电饼铛、电煎锅、电煎炸锅、电压力锅、其他家用电热烹调器具</v>
          </cell>
          <cell r="G2805" t="str">
            <v>普通机械制造业</v>
          </cell>
        </row>
        <row r="2806">
          <cell r="E2806" t="str">
            <v>家用电热烘烤器具</v>
          </cell>
          <cell r="F2806" t="str">
            <v>指家用和类似用途的电热烘烤器具，包括面包片烘烤炉、三明治炉、家用电烤箱、电热板、电烧烤炉、自动制面包机、其他家用电热烘烤器具</v>
          </cell>
          <cell r="G2806" t="str">
            <v>普通机械制造业</v>
          </cell>
        </row>
        <row r="2807">
          <cell r="E2807" t="str">
            <v>家用水及饮料加热器具</v>
          </cell>
          <cell r="F2807" t="str">
            <v>主要指家用水及饮料加热器具，包括电咖啡壶、电水壶、加热环、电冷热饮水机、电热水瓶、制酸奶机、其他家用水及饮料加热器具</v>
          </cell>
          <cell r="G2807" t="str">
            <v>普通机械制造业</v>
          </cell>
        </row>
        <row r="2808">
          <cell r="E2808" t="str">
            <v>家用电炉灶</v>
          </cell>
          <cell r="F2808" t="str">
            <v>指家用和类似用途的电炉灶，包括微波炉、电磁灶、电灶、气电两用灶、其他家用电炉灶</v>
          </cell>
          <cell r="G2808" t="str">
            <v>普通机械制造业</v>
          </cell>
        </row>
        <row r="2809">
          <cell r="E2809" t="str">
            <v>家用食品加工电动器具</v>
          </cell>
          <cell r="F2809" t="str">
            <v>指家用和类似用途的食品加工电动器具，包括榨汁机（家用）、豆浆机、食品研磨机、电动绞肉机、咖啡研磨机、瓜果电动削皮机及类似机械、揉面轧面机、其他家用食品加工电动器具</v>
          </cell>
          <cell r="G2809" t="str">
            <v>普通机械制造业</v>
          </cell>
        </row>
        <row r="2810">
          <cell r="E2810" t="str">
            <v>家用厨房电清洁器具</v>
          </cell>
          <cell r="F2810" t="str">
            <v>包括家用型洗碗机、厨房废物处理器、家用餐具消毒柜、家用餐具干燥器、磨刀器及净刀器、其他家用厨房电清洁器具</v>
          </cell>
          <cell r="G2810" t="str">
            <v>普通机械制造业</v>
          </cell>
        </row>
        <row r="2811">
          <cell r="E2811" t="str">
            <v>家用饮水电过滤、净化装置</v>
          </cell>
          <cell r="F2811" t="str">
            <v>包括家用型滤水器、其他家用饮水电过滤装置、其他家用饮水电净化装置</v>
          </cell>
          <cell r="G2811" t="str">
            <v>普通机械制造业</v>
          </cell>
        </row>
        <row r="2812">
          <cell r="E2812" t="str">
            <v>其他家用厨房电器具</v>
          </cell>
          <cell r="F2812" t="str">
            <v>无说明</v>
          </cell>
          <cell r="G2812" t="str">
            <v>普通机械制造业</v>
          </cell>
        </row>
        <row r="2813">
          <cell r="E2813" t="str">
            <v>家用洗衣机</v>
          </cell>
          <cell r="F2813" t="str">
            <v>指干衣量≤10kg的家用洗衣机，包括全自动洗衣机、半自动双桶洗衣机、其他家用洗衣机</v>
          </cell>
          <cell r="G2813" t="str">
            <v>普通机械制造业</v>
          </cell>
        </row>
        <row r="2814">
          <cell r="E2814" t="str">
            <v>家用干衣机</v>
          </cell>
          <cell r="F2814" t="str">
            <v>指干衣量≤10kg的家用衣服干燥机，是利用电加热来使洗好的衣物中的水分即时蒸发干燥的清洁类家用电器</v>
          </cell>
          <cell r="G2814" t="str">
            <v>普通机械制造业</v>
          </cell>
        </row>
        <row r="2815">
          <cell r="E2815" t="str">
            <v>家用脱水机</v>
          </cell>
          <cell r="F2815" t="str">
            <v>无说明</v>
          </cell>
          <cell r="G2815" t="str">
            <v>普通机械制造业</v>
          </cell>
        </row>
        <row r="2816">
          <cell r="E2816" t="str">
            <v>电热水器</v>
          </cell>
          <cell r="F2816" t="str">
            <v>指以电作为能源进行加热的热水器，包括家用电热水器、非家用电热水器</v>
          </cell>
          <cell r="G2816" t="str">
            <v>普通机械制造业</v>
          </cell>
        </row>
        <row r="2817">
          <cell r="E2817" t="str">
            <v>家用电清洁器具</v>
          </cell>
          <cell r="F2817" t="str">
            <v>包括家用吸尘器、地板打蜡机、地板擦洗机、电动扫地机、蒸汽清洁机、其他家用电清洁器具</v>
          </cell>
          <cell r="G2817" t="str">
            <v>普通机械制造业</v>
          </cell>
        </row>
        <row r="2818">
          <cell r="E2818" t="str">
            <v>其他家用清洁卫生电器具</v>
          </cell>
          <cell r="F2818" t="str">
            <v>无说明</v>
          </cell>
          <cell r="G2818" t="str">
            <v>普通机械制造业</v>
          </cell>
        </row>
        <row r="2819">
          <cell r="E2819" t="str">
            <v>家用理发、吹风电器具</v>
          </cell>
          <cell r="F2819" t="str">
            <v>指家用和类似用途的理发、吹风电器具，含理发店、美发店用理发、吹风电器具。包括电动剃须刀、电动理发推剪、电吹风机、电热卷发器、卷发电熨器、其他家用理发电器具</v>
          </cell>
          <cell r="G2819" t="str">
            <v>普通机械制造业</v>
          </cell>
        </row>
        <row r="2820">
          <cell r="E2820" t="str">
            <v>电动脱毛器</v>
          </cell>
          <cell r="F2820" t="str">
            <v>无说明</v>
          </cell>
          <cell r="G2820" t="str">
            <v>普通机械制造业</v>
          </cell>
        </row>
        <row r="2821">
          <cell r="E2821" t="str">
            <v>电美容仪</v>
          </cell>
          <cell r="F2821" t="str">
            <v>指家用和类似用途的电美容仪</v>
          </cell>
          <cell r="G2821" t="str">
            <v>普通机械制造业</v>
          </cell>
        </row>
        <row r="2822">
          <cell r="E2822" t="str">
            <v>电动牙刷</v>
          </cell>
          <cell r="F2822" t="str">
            <v>无说明</v>
          </cell>
          <cell r="G2822" t="str">
            <v>普通机械制造业</v>
          </cell>
        </row>
        <row r="2823">
          <cell r="E2823" t="str">
            <v>家用电动按摩器</v>
          </cell>
          <cell r="F2823" t="str">
            <v>包括足底电动按摩器、多功能电动按摩器、电动按摩沙发、电动氧摇摆器、其他家用电动按摩器</v>
          </cell>
          <cell r="G2823" t="str">
            <v>普通机械制造业</v>
          </cell>
        </row>
        <row r="2824">
          <cell r="E2824" t="str">
            <v>其他家用美容、保健电器具</v>
          </cell>
          <cell r="F2824" t="str">
            <v>无说明</v>
          </cell>
          <cell r="G2824" t="str">
            <v>普通机械制造业</v>
          </cell>
        </row>
        <row r="2825">
          <cell r="E2825" t="str">
            <v>家用电热取暖器具</v>
          </cell>
          <cell r="F2825" t="str">
            <v>包括电暖气、电暖炉、电热毯、其他家用电热取暖器具</v>
          </cell>
          <cell r="G2825" t="str">
            <v>普通机械制造业</v>
          </cell>
        </row>
        <row r="2826">
          <cell r="E2826" t="str">
            <v>家用电熨烫器具</v>
          </cell>
          <cell r="F2826" t="str">
            <v>包括电熨斗、其他家用电熨烫器具</v>
          </cell>
          <cell r="G2826" t="str">
            <v>普通机械制造业</v>
          </cell>
        </row>
        <row r="2827">
          <cell r="E2827" t="str">
            <v>其他家用电热电力器具类似产品</v>
          </cell>
          <cell r="F2827" t="str">
            <v>无说明</v>
          </cell>
          <cell r="G2827" t="str">
            <v>普通机械制造业</v>
          </cell>
        </row>
        <row r="2828">
          <cell r="E2828" t="str">
            <v>家用空调设备零件</v>
          </cell>
          <cell r="F2828" t="str">
            <v>无说明</v>
          </cell>
          <cell r="G2828" t="str">
            <v>电气机械及器材制造业</v>
          </cell>
        </row>
        <row r="2829">
          <cell r="E2829" t="str">
            <v>家用电冰箱用配件</v>
          </cell>
          <cell r="F2829" t="str">
            <v>包括家用电冰箱用蒸发器、家用电冰箱用冷凝器、家用电冰箱用吸收器、家用电冰箱用温控器、其他家用电冰箱用配件</v>
          </cell>
          <cell r="G2829" t="str">
            <v>电气机械及器材制造业</v>
          </cell>
        </row>
        <row r="2830">
          <cell r="E2830" t="str">
            <v>家用洗衣机用配件</v>
          </cell>
          <cell r="F2830" t="str">
            <v>干衣量≤10kg洗衣机的零件，包括洗衣机用传感器、其他家用洗衣机用配件</v>
          </cell>
          <cell r="G2830" t="str">
            <v>电气机械及器材制造业</v>
          </cell>
        </row>
        <row r="2831">
          <cell r="E2831" t="str">
            <v>电动理发工具零件</v>
          </cell>
          <cell r="F2831" t="str">
            <v>包括电动剃须刀零件、电动毛发推剪的零件等</v>
          </cell>
          <cell r="G2831" t="str">
            <v>电气机械及器材制造业</v>
          </cell>
        </row>
        <row r="2832">
          <cell r="E2832" t="str">
            <v>电热器具零件</v>
          </cell>
          <cell r="F2832" t="str">
            <v>包括微波炉用磁控管、其他电热器具零件</v>
          </cell>
          <cell r="G2832" t="str">
            <v>电气机械及器材制造业</v>
          </cell>
        </row>
        <row r="2833">
          <cell r="E2833" t="str">
            <v>家用电动器具零件</v>
          </cell>
          <cell r="F2833" t="str">
            <v>无说明</v>
          </cell>
          <cell r="G2833" t="str">
            <v>电气机械及器材制造业</v>
          </cell>
        </row>
        <row r="2834">
          <cell r="E2834" t="str">
            <v>家用型过滤、净化装置零件</v>
          </cell>
          <cell r="F2834" t="str">
            <v>无说明</v>
          </cell>
          <cell r="G2834" t="str">
            <v>电气机械及器材制造业</v>
          </cell>
        </row>
        <row r="2835">
          <cell r="E2835" t="str">
            <v>其他家用电力器具专用配件</v>
          </cell>
          <cell r="F2835" t="str">
            <v>无说明</v>
          </cell>
          <cell r="G2835" t="str">
            <v>电气机械及器材制造业</v>
          </cell>
        </row>
        <row r="2836">
          <cell r="E2836" t="str">
            <v>家用燃气用具</v>
          </cell>
          <cell r="F2836" t="str">
            <v>指用天然气、液化石油气等作燃料的燃气用具，包括家用燃气炊事器具、家用燃气保暖器、家用燃气热水器、淋浴房、淋浴设备、其他家用燃气用具</v>
          </cell>
          <cell r="G2836" t="str">
            <v>普通机械制造业</v>
          </cell>
        </row>
        <row r="2837">
          <cell r="E2837" t="str">
            <v>沼气用具</v>
          </cell>
          <cell r="F2837" t="str">
            <v>包括沼气炊事器具、沼气保暖器、沼气热水器、其他沼气用具</v>
          </cell>
          <cell r="G2837" t="str">
            <v>普通机械制造业</v>
          </cell>
        </row>
        <row r="2838">
          <cell r="E2838" t="str">
            <v>太阳能用具</v>
          </cell>
          <cell r="F2838" t="str">
            <v>包括太阳能炊事器具、太阳能保暖器、太阳能热水器、其他太阳能用具</v>
          </cell>
          <cell r="G2838" t="str">
            <v>普通机械制造业</v>
          </cell>
        </row>
        <row r="2839">
          <cell r="E2839" t="str">
            <v>液体燃料家用器具</v>
          </cell>
          <cell r="F2839" t="str">
            <v>包括液体燃料炊事器具、其他液体燃料家用器具</v>
          </cell>
          <cell r="G2839" t="str">
            <v>普通机械制造业</v>
          </cell>
        </row>
        <row r="2840">
          <cell r="E2840" t="str">
            <v>固体燃料家用器具</v>
          </cell>
          <cell r="F2840" t="str">
            <v>无说明</v>
          </cell>
          <cell r="G2840" t="str">
            <v>普通机械制造业</v>
          </cell>
        </row>
        <row r="2841">
          <cell r="E2841" t="str">
            <v>铜制家用烹饪或供暖器具</v>
          </cell>
          <cell r="F2841" t="str">
            <v>钢铁制家用非电力器具，包括铜火锅、铜制炭火盆、铜制暖手炉、其他铜制家用烹饪或供暖器具</v>
          </cell>
          <cell r="G2841" t="str">
            <v>普通机械制造业</v>
          </cell>
        </row>
        <row r="2842">
          <cell r="E2842" t="str">
            <v>非电力家用器具零件</v>
          </cell>
          <cell r="F2842" t="str">
            <v>包括家用燃气用具零件、沼气用具零件、太阳能用具零件、液体燃料家用器具零件、固体燃料家用器具零件、其他非电力家用器具零件</v>
          </cell>
          <cell r="G2842" t="str">
            <v>普通机械制造业</v>
          </cell>
        </row>
        <row r="2843">
          <cell r="E2843" t="str">
            <v>白炽灯泡</v>
          </cell>
          <cell r="F2843" t="str">
            <v>指将灯丝通电加热到白炽状态，利用热辐射发出可见光的电光源。包括科研医疗专用白炽灯泡、火车用白炽灯泡、航空器用白炽灯泡、船舶用白炽灯泡、机动车辆用白炽灯泡、普通照明用白炽灯泡、其他白炽灯泡。不包括卤钨灯（详见109042304）、封闭式聚光灯（详见109042404）</v>
          </cell>
          <cell r="G2843" t="str">
            <v>普通机械制造业</v>
          </cell>
        </row>
        <row r="2844">
          <cell r="E2844" t="str">
            <v>荧光灯</v>
          </cell>
          <cell r="F2844" t="str">
            <v>指热阴极荧光灯，包括科研专用荧光灯、医疗专用荧光灯、火车用热阴极荧光灯、航空器用热阴极荧光灯、船舶用热阴极荧光灯、普通照明用荧光灯、其他荧光灯</v>
          </cell>
          <cell r="G2844" t="str">
            <v>普通机械制造业</v>
          </cell>
        </row>
        <row r="2845">
          <cell r="E2845" t="str">
            <v>冷阴极荧光灯</v>
          </cell>
          <cell r="F2845" t="str">
            <v>包括背景光源用冷阴极荧光灯、照明用冷阴极荧光灯、其他冷阴极荧光灯</v>
          </cell>
          <cell r="G2845" t="str">
            <v>普通机械制造业</v>
          </cell>
        </row>
        <row r="2846">
          <cell r="E2846" t="str">
            <v>卤钨灯</v>
          </cell>
          <cell r="F2846" t="str">
            <v>指填充气体内含有部分卤族元素或卤化物的充气白炽灯。包括科研、医疗专用卤钨灯、火车用卤钨灯、航空器用卤钨灯、船舶用卤钨灯、机动车辆用卤钨灯、其他卤钨灯</v>
          </cell>
          <cell r="G2846" t="str">
            <v>普通机械制造业</v>
          </cell>
        </row>
        <row r="2847">
          <cell r="E2847" t="str">
            <v>高强度气体放电灯（HID灯）</v>
          </cell>
          <cell r="F2847" t="str">
            <v>包括汞蒸气灯（水银灯）、钠蒸气灯、金属卤化物灯、其他高强度气体放电灯</v>
          </cell>
          <cell r="G2847" t="str">
            <v>普通机械制造业</v>
          </cell>
        </row>
        <row r="2848">
          <cell r="E2848" t="str">
            <v>照相闪光灯源</v>
          </cell>
          <cell r="F2848" t="str">
            <v>包括单端闪光灯泡、电池闪光灯、管形闪光灯、其他照相闪光灯源</v>
          </cell>
          <cell r="G2848" t="str">
            <v>普通机械制造业</v>
          </cell>
        </row>
        <row r="2849">
          <cell r="E2849" t="str">
            <v>其他电光源</v>
          </cell>
          <cell r="F2849" t="str">
            <v>无说明</v>
          </cell>
          <cell r="G2849" t="str">
            <v>普通机械制造业</v>
          </cell>
        </row>
        <row r="2850">
          <cell r="E2850" t="str">
            <v>室内照明灯具</v>
          </cell>
          <cell r="F2850" t="str">
            <v>包括吊灯、吸顶灯、壁灯、台灯、落地灯、嵌入式灯具、轨道灯、支架灯具、射灯等</v>
          </cell>
          <cell r="G2850" t="str">
            <v>普通机械制造业</v>
          </cell>
        </row>
        <row r="2851">
          <cell r="E2851" t="str">
            <v>户外照明用灯具及装置</v>
          </cell>
          <cell r="F2851" t="str">
            <v>包括街灯及照明装置、庭院灯、投光灯、道路灯、草坪灯、地埋灯、其他户外照明用灯具及装置</v>
          </cell>
          <cell r="G2851" t="str">
            <v>普通机械制造业</v>
          </cell>
        </row>
        <row r="2852">
          <cell r="E2852" t="str">
            <v>装饰用灯</v>
          </cell>
          <cell r="F2852" t="str">
            <v>包括圣诞树用成套灯具、其他装饰用灯</v>
          </cell>
          <cell r="G2852" t="str">
            <v>普通机械制造业</v>
          </cell>
        </row>
        <row r="2853">
          <cell r="E2853" t="str">
            <v>特殊用途灯具及照明装置</v>
          </cell>
          <cell r="F2853" t="str">
            <v>包括农业用灯具、医疗用灯具、火车用照明装置、飞机用照明装置、船舶用照明装置、应急灯、防爆灯、水下灯、影视舞台灯、其他特殊用途灯具及照明装置</v>
          </cell>
          <cell r="G2853" t="str">
            <v>普通机械制造业</v>
          </cell>
        </row>
        <row r="2854">
          <cell r="E2854" t="str">
            <v>发光标志、发光铭牌及类似品</v>
          </cell>
          <cell r="F2854" t="str">
            <v>包括灯饰招牌、灯饰铭牌、霓虹灯具、广告灯具、安全标志灯、其他发光标志、其他发光铭牌及类似品</v>
          </cell>
          <cell r="G2854" t="str">
            <v>普通机械制造业</v>
          </cell>
        </row>
        <row r="2855">
          <cell r="E2855" t="str">
            <v>非电气灯具及照明装置</v>
          </cell>
          <cell r="F2855" t="str">
            <v>包括便携式灯具、烛台、烛架、其他非电气灯具及照明装置</v>
          </cell>
          <cell r="G2855" t="str">
            <v>普通机械制造业</v>
          </cell>
        </row>
        <row r="2856">
          <cell r="E2856" t="str">
            <v>自供能源灯具</v>
          </cell>
          <cell r="F2856" t="str">
            <v>指依靠自供电源进行工作的手提式电灯，包括手电筒、莫尔斯信号灯、矿工安全灯、头戴通用检查灯（头灯）、其他自供能源灯具</v>
          </cell>
          <cell r="G2856" t="str">
            <v>普通机械制造业</v>
          </cell>
        </row>
        <row r="2857">
          <cell r="E2857" t="str">
            <v>灯用电器附件</v>
          </cell>
          <cell r="F2857" t="str">
            <v>包括灯用镇流器、灯用启辉器、灯用变压器、灯用触发器、灯用逆变器、其他灯用电器附件</v>
          </cell>
          <cell r="G2857" t="str">
            <v>普通机械制造业</v>
          </cell>
        </row>
        <row r="2858">
          <cell r="E2858" t="str">
            <v>电光源、灯具及照明装置零件</v>
          </cell>
          <cell r="F2858" t="str">
            <v>包括电光源零件、室内照明灯具零件、户外照明用灯具及装置零件、自供能源灯具零件、其他灯具及照明装置零件</v>
          </cell>
          <cell r="G2858" t="str">
            <v>普通机械制造业</v>
          </cell>
        </row>
        <row r="2859">
          <cell r="E2859" t="str">
            <v>机动车辆用电气照明装置</v>
          </cell>
          <cell r="F2859" t="str">
            <v>包括车头灯、警车用探照灯、车用信号、指示灯、车用组合灯具、车辆内部照明灯具、其他机动车辆用电气照明装置</v>
          </cell>
          <cell r="G2859" t="str">
            <v>普通机械制造业</v>
          </cell>
        </row>
        <row r="2860">
          <cell r="E2860" t="str">
            <v>车辆用视觉信号装置</v>
          </cell>
          <cell r="F2860" t="str">
            <v>包括停车设备、发光超车信号装置、电气视觉信号设备、其他车辆用视觉信号装置</v>
          </cell>
          <cell r="G2860" t="str">
            <v>普通机械制造业</v>
          </cell>
        </row>
        <row r="2861">
          <cell r="E2861" t="str">
            <v>自行车照明或视觉、音响信号装置</v>
          </cell>
          <cell r="F2861" t="str">
            <v>包括自行车电气照明装置，自行车视觉信号装置，自行车喇叭，其他自行车照明、音响信号装置</v>
          </cell>
          <cell r="G2861" t="str">
            <v>普通机械制造业</v>
          </cell>
        </row>
        <row r="2862">
          <cell r="E2862" t="str">
            <v>车辆用电气音响信号装置</v>
          </cell>
          <cell r="F2862" t="str">
            <v>包括汽车喇叭、车辆用蜂鸣器、其他车辆用电气音响信号装置</v>
          </cell>
          <cell r="G2862" t="str">
            <v>普通机械制造业</v>
          </cell>
        </row>
        <row r="2863">
          <cell r="E2863" t="str">
            <v>电气音响或视觉信号装置</v>
          </cell>
          <cell r="F2863" t="str">
            <v>包括显示板及类似装置，电气音响、信号及类似装置，</v>
          </cell>
          <cell r="G2863" t="str">
            <v>普通机械制造业</v>
          </cell>
        </row>
        <row r="2864">
          <cell r="E2864" t="str">
            <v>照明及电气信号装置零件</v>
          </cell>
          <cell r="F2864" t="str">
            <v>包括车辆专用照明及电气信号装置零件、电气音响或视觉信号装置零件</v>
          </cell>
          <cell r="G2864" t="str">
            <v>普通机械制造业</v>
          </cell>
        </row>
        <row r="2865">
          <cell r="E2865" t="str">
            <v>其他车辆专用照明、信号及其装置</v>
          </cell>
          <cell r="F2865" t="str">
            <v>无说明</v>
          </cell>
          <cell r="G2865" t="str">
            <v>普通机械制造业</v>
          </cell>
        </row>
        <row r="2866">
          <cell r="E2866" t="str">
            <v>粒子加速器</v>
          </cell>
          <cell r="F2866" t="str">
            <v>包括回旋粒子加速器、其他粒子加速器</v>
          </cell>
          <cell r="G2866" t="str">
            <v>普通机械制造业</v>
          </cell>
        </row>
        <row r="2867">
          <cell r="E2867" t="str">
            <v>信号发生器（电气装置）</v>
          </cell>
          <cell r="F2867" t="str">
            <v>包括通用信号发生器、其他信号发生器（电气装置）</v>
          </cell>
          <cell r="G2867" t="str">
            <v>普通机械制造业</v>
          </cell>
        </row>
        <row r="2868">
          <cell r="E2868" t="str">
            <v>电气空间加热器具装置</v>
          </cell>
          <cell r="F2868" t="str">
            <v>包括电气储存式散热器，对流加热器，加热嵌板，汽车、火车、飞机用电热装置，道路加热设备，电气土壤加热器，发动机加热器，加热电阻器，其他电气空间加热器具装置</v>
          </cell>
          <cell r="G2868" t="str">
            <v>普通机械制造业</v>
          </cell>
        </row>
        <row r="2869">
          <cell r="E2869" t="str">
            <v>电篱网激发器</v>
          </cell>
          <cell r="F2869" t="str">
            <v>无说明</v>
          </cell>
          <cell r="G2869" t="str">
            <v>普通机械制造业</v>
          </cell>
        </row>
        <row r="2870">
          <cell r="E2870" t="str">
            <v>紫外线辐照设备</v>
          </cell>
          <cell r="F2870" t="str">
            <v>指一般工业用的紫外线辐照设备</v>
          </cell>
          <cell r="G2870" t="str">
            <v>普通机械制造业</v>
          </cell>
        </row>
        <row r="2871">
          <cell r="E2871" t="str">
            <v>其他具有独立功能电气设备及装置</v>
          </cell>
          <cell r="F2871" t="str">
            <v>除粒子加速器、信号发生器（电气装置）、电气空间加热器具装置、电篱网激发器、紫外线辐照设备外的其他具有独立功能电气设备及装置，包括信号发电机、探雷器、电动地雷搜索器、臭氧发生及扩散电气装置等</v>
          </cell>
          <cell r="G2871" t="str">
            <v>普通机械制造业</v>
          </cell>
        </row>
        <row r="2872">
          <cell r="E2872" t="str">
            <v>光通信设备</v>
          </cell>
          <cell r="F2872" t="str">
            <v>包括光端机、光缆中继设备、光纤放大器、波分复用器、光交叉联接设备、光分插复用设备（ADM）、多业务传送设备（MSTP）、电光转换器、无源光分路器、自动交换光网络设备（ASON）、光传送网络设备（OTN）、分组传送网络设备（PTN）、其他光通信设备</v>
          </cell>
          <cell r="G2872" t="str">
            <v>普通机械制造业</v>
          </cell>
        </row>
        <row r="2873">
          <cell r="E2873" t="str">
            <v>卫星通信设备</v>
          </cell>
          <cell r="F2873" t="str">
            <v>包括卫星地面接收机、卫星接收天线、卫星导航定位接收机、卫星导航定位天线、卫星通信地面站终端机、甚小型天线地球站（VSAT）、卫星地面站零部件、其他卫星通信设备。不包括电视用卫星通信设备（详见109050802）</v>
          </cell>
          <cell r="G2873" t="str">
            <v>普通机械制造业</v>
          </cell>
        </row>
        <row r="2874">
          <cell r="E2874" t="str">
            <v>微波通信设备</v>
          </cell>
          <cell r="F2874" t="str">
            <v>包括微波收发通信机，微波终端机，微波天线、馈线，其他微波通信设备</v>
          </cell>
          <cell r="G2874" t="str">
            <v>普通机械制造业</v>
          </cell>
        </row>
        <row r="2875">
          <cell r="E2875" t="str">
            <v>散射通信设备</v>
          </cell>
          <cell r="F2875" t="str">
            <v>包括散射通信终端机、散射信道机、散射通信天线、其他散射通信设备</v>
          </cell>
          <cell r="G2875" t="str">
            <v>普通机械制造业</v>
          </cell>
        </row>
        <row r="2876">
          <cell r="E2876" t="str">
            <v>载波通信设备</v>
          </cell>
          <cell r="F2876" t="str">
            <v>含海底电缆载波通信系统设备，包括载波终端机、载波增音机、电力线载波机、其他载波通信设备</v>
          </cell>
          <cell r="G2876" t="str">
            <v>普通机械制造业</v>
          </cell>
        </row>
        <row r="2877">
          <cell r="E2877" t="str">
            <v>通信导航定向设备</v>
          </cell>
          <cell r="F2877" t="str">
            <v>包括飞机通信导航定向设备、航用通信导航定向设备、地面通信导航定向设备、其他通信导航定向设备</v>
          </cell>
          <cell r="G2877" t="str">
            <v>普通机械制造业</v>
          </cell>
        </row>
        <row r="2878">
          <cell r="E2878" t="str">
            <v>通信传输设备零件</v>
          </cell>
          <cell r="F2878" t="str">
            <v>包括天线滤波器及分离器、天线支架（底架）、天线及其反射器零件、光端机零件、脉冲编码调制设备零件、其他通信传输设备零件</v>
          </cell>
          <cell r="G2878" t="str">
            <v>普通机械制造业</v>
          </cell>
        </row>
        <row r="2879">
          <cell r="E2879" t="str">
            <v>程控交换机</v>
          </cell>
          <cell r="F2879" t="str">
            <v>包括数字程控交换机、固网软交换相关设备、七号信令转接设备。不包括移动交换机(详见109050401)</v>
          </cell>
          <cell r="G2879" t="str">
            <v>普通机械制造业</v>
          </cell>
        </row>
        <row r="2880">
          <cell r="E2880" t="str">
            <v>ATM交换机</v>
          </cell>
          <cell r="F2880" t="str">
            <v>无说明</v>
          </cell>
          <cell r="G2880" t="str">
            <v>普通机械制造业</v>
          </cell>
        </row>
        <row r="2881">
          <cell r="E2881" t="str">
            <v>光交换机</v>
          </cell>
          <cell r="F2881" t="str">
            <v>无说明</v>
          </cell>
          <cell r="G2881" t="str">
            <v>普通机械制造业</v>
          </cell>
        </row>
        <row r="2882">
          <cell r="E2882" t="str">
            <v>通信交换设备零件</v>
          </cell>
          <cell r="F2882" t="str">
            <v>含通信交换设备专用箱、壳，包括数字式程控电话交换机零件、电报交换机零件、其他通信交换设备零件</v>
          </cell>
          <cell r="G2882" t="str">
            <v>普通机械制造业</v>
          </cell>
        </row>
        <row r="2883">
          <cell r="E2883" t="str">
            <v>其他通信交换设备</v>
          </cell>
          <cell r="F2883" t="str">
            <v>包括分组交换机、电报交换机等</v>
          </cell>
          <cell r="G2883" t="str">
            <v>普通机械制造业</v>
          </cell>
        </row>
        <row r="2884">
          <cell r="E2884" t="str">
            <v>收发合一中小型电台</v>
          </cell>
          <cell r="F2884" t="str">
            <v>指无线电报收发合一设备，包括短波电台、超短波电台、短波跳频电台、超短波跳频电台、其他收发合一中小型电台</v>
          </cell>
          <cell r="G2884" t="str">
            <v>普通机械制造业</v>
          </cell>
        </row>
        <row r="2885">
          <cell r="E2885" t="str">
            <v>电话单机</v>
          </cell>
          <cell r="F2885" t="str">
            <v>有线电话、电报设备，包括PSTN普通电话机、网络电话机（IP电话机）、特种电话机</v>
          </cell>
          <cell r="G2885" t="str">
            <v>普通机械制造业</v>
          </cell>
        </row>
        <row r="2886">
          <cell r="E2886" t="str">
            <v>数据终端设备</v>
          </cell>
          <cell r="F2886" t="str">
            <v>包括传真机、数传机、其他数据终端设备</v>
          </cell>
          <cell r="G2886" t="str">
            <v>普通机械制造业</v>
          </cell>
        </row>
        <row r="2887">
          <cell r="E2887" t="str">
            <v>通信终端设备用零件</v>
          </cell>
          <cell r="F2887" t="str">
            <v>含通信终端设备专用箱、壳，包括传真机零件、其他通信终端设备用零件</v>
          </cell>
          <cell r="G2887" t="str">
            <v>普通机械制造业</v>
          </cell>
        </row>
        <row r="2888">
          <cell r="E2888" t="str">
            <v>数字蜂窝移动电话系统设备</v>
          </cell>
          <cell r="F2888" t="str">
            <v>包括移动通信基站设备、移动通信基站天线、直放站、干线放大器、移动交换机（MSC）、移动软交换设备、移动通信核心网分组域设备、其他数字蜂窝移动电话系统设备</v>
          </cell>
          <cell r="G2888" t="str">
            <v>电子及通信设备制造业</v>
          </cell>
        </row>
        <row r="2889">
          <cell r="E2889" t="str">
            <v>集群通信系统设备</v>
          </cell>
          <cell r="F2889" t="str">
            <v>包括集群基站设备、集群基站天线、集群交换设备</v>
          </cell>
          <cell r="G2889" t="str">
            <v>电子及通信设备制造业</v>
          </cell>
        </row>
        <row r="2890">
          <cell r="E2890" t="str">
            <v>无中心选址通信系统设备</v>
          </cell>
          <cell r="F2890" t="str">
            <v>无说明</v>
          </cell>
          <cell r="G2890" t="str">
            <v>电子及通信设备制造业</v>
          </cell>
        </row>
        <row r="2891">
          <cell r="E2891" t="str">
            <v>移动通信设备零件</v>
          </cell>
          <cell r="F2891" t="str">
            <v>无说明</v>
          </cell>
          <cell r="G2891" t="str">
            <v>电子及通信设备制造业</v>
          </cell>
        </row>
        <row r="2892">
          <cell r="E2892" t="str">
            <v>移动通信手持机（手机）</v>
          </cell>
          <cell r="F2892" t="str">
            <v>车载终端、无线固定话机等终端按照技术标准对应到下列细目中，包括GSM手持机、CDMA手持机、3G手持机、SCDMA终端</v>
          </cell>
          <cell r="G2892" t="str">
            <v>电子及通信设备制造业</v>
          </cell>
        </row>
        <row r="2893">
          <cell r="E2893" t="str">
            <v>移动通信终端设备零件</v>
          </cell>
          <cell r="F2893" t="str">
            <v>包括移动通信手持机零件、对讲机零件、其他移动通信终端设备零件</v>
          </cell>
          <cell r="G2893" t="str">
            <v>电子及通信设备制造业</v>
          </cell>
        </row>
        <row r="2894">
          <cell r="E2894" t="str">
            <v>其他移动通信终端设备</v>
          </cell>
          <cell r="F2894" t="str">
            <v>除移动通信手持机（手机）、移动通信终端设备零件外的其他移动通信终端设备，包括集群通信终端、对讲机、小灵通、其他未列明移动通信终端设备</v>
          </cell>
          <cell r="G2894" t="str">
            <v>电子及通信设备制造业</v>
          </cell>
        </row>
        <row r="2895">
          <cell r="E2895" t="str">
            <v>光纤接入设备</v>
          </cell>
          <cell r="F2895" t="str">
            <v>指为满足高速宽带业务和双向宽带业务的需要，在服务器端与用户之间完全以光纤作为传输媒体，以光波传输技术为主要技术形势的接入设备。包括无源光网络（PON）、有源光网络（AON）</v>
          </cell>
          <cell r="G2895" t="str">
            <v>普通机械制造业</v>
          </cell>
        </row>
        <row r="2896">
          <cell r="E2896" t="str">
            <v>铜缆接入设备</v>
          </cell>
          <cell r="F2896" t="str">
            <v>指以铜线为传输介质的宽带接入技术。包括非对称数字用户线（ADSL）、高速率数字用户线路调制解调器（HDSLMODEM）、甚高速率数字用户线（VDSL）</v>
          </cell>
          <cell r="G2896" t="str">
            <v>普通机械制造业</v>
          </cell>
        </row>
        <row r="2897">
          <cell r="E2897" t="str">
            <v>电力线宽带接入设备（BPL）</v>
          </cell>
          <cell r="F2897" t="str">
            <v>电力宽带接入技术就是以电力线作为传输介质实现宽带接入的技术，包括电力网桥、电力线调制解调器（电力猫）</v>
          </cell>
          <cell r="G2897" t="str">
            <v>普通机械制造业</v>
          </cell>
        </row>
        <row r="2898">
          <cell r="E2898" t="str">
            <v>固定无线接入设备</v>
          </cell>
          <cell r="F2898" t="str">
            <v>包括WiMAX设备、McWill设备、其他固定无线接入设备</v>
          </cell>
          <cell r="G2898" t="str">
            <v>普通机械制造业</v>
          </cell>
        </row>
        <row r="2899">
          <cell r="E2899" t="str">
            <v>雷达设备</v>
          </cell>
          <cell r="F2899" t="str">
            <v>包括导航用雷达设备、盲降及交通控制设备、雷达测高设备、气象雷达、空袭警报雷达装置、盲目投弹设备、雷达发射-应答器、其他雷达设备</v>
          </cell>
          <cell r="G2899" t="str">
            <v>普通机械制造业</v>
          </cell>
        </row>
        <row r="2900">
          <cell r="E2900" t="str">
            <v>无线电导航设备</v>
          </cell>
          <cell r="F2900" t="str">
            <v>包括机动车辆用无线电导航设备、无线电罗盘、无线电信标、无线电浮标、接收机、其他无线电导航设备</v>
          </cell>
          <cell r="G2900" t="str">
            <v>普通机械制造业</v>
          </cell>
        </row>
        <row r="2901">
          <cell r="E2901" t="str">
            <v>无线电遥控设备</v>
          </cell>
          <cell r="F2901" t="str">
            <v>包括船舶无线电遥控设备、无人驾驶飞机无线电遥控设备、遥控火箭、导弹无线电遥控设备、玩具、模型遥控用无线电装置、地雷引爆遥控用无线电装置、机器遥控用无线电装置、其他无线电遥控设备</v>
          </cell>
          <cell r="G2901" t="str">
            <v>普通机械制造业</v>
          </cell>
        </row>
        <row r="2902">
          <cell r="E2902" t="str">
            <v>雷达及无线电导航设备零件</v>
          </cell>
          <cell r="F2902" t="str">
            <v>包括雷达天线及其反射器及零件、其他雷达及无线电导航设备零件</v>
          </cell>
          <cell r="G2902" t="str">
            <v>普通机械制造业</v>
          </cell>
        </row>
        <row r="2903">
          <cell r="E2903" t="str">
            <v>广播电视节目制作及播控设备</v>
          </cell>
          <cell r="F2903" t="str">
            <v>包括音频节目制作和播控设备、视听节目制作及播控设备、电视转播车及现场新闻采集车</v>
          </cell>
          <cell r="G2903" t="str">
            <v>普通机械制造业</v>
          </cell>
        </row>
        <row r="2904">
          <cell r="E2904" t="str">
            <v>广播电视发射及传输设备</v>
          </cell>
          <cell r="F2904" t="str">
            <v>包括广播发射设备、电视发射设备、卫星电视设备、广播电视微波传输设备、有线电视网络设备</v>
          </cell>
          <cell r="G2904" t="str">
            <v>普通机械制造业</v>
          </cell>
        </row>
        <row r="2905">
          <cell r="E2905" t="str">
            <v>应用广播电视设备</v>
          </cell>
          <cell r="F2905" t="str">
            <v>包括通用应用电视监控系统设备、特殊环境应用电视设备、特殊成像及功能应用电视设备、其他应用广播电视设备</v>
          </cell>
          <cell r="G2905" t="str">
            <v>普通机械制造业</v>
          </cell>
        </row>
        <row r="2906">
          <cell r="E2906" t="str">
            <v>广播电视设备专用配件</v>
          </cell>
          <cell r="F2906" t="str">
            <v>包括激励器、中频调制器、双工器、输出滤波器、天线开关、发射天线、其他广播电视设备专用配件</v>
          </cell>
          <cell r="G2906" t="str">
            <v>普通机械制造业</v>
          </cell>
        </row>
        <row r="2907">
          <cell r="E2907" t="str">
            <v>电子计算机整机</v>
          </cell>
          <cell r="F2907" t="str">
            <v>指数字式自动数据处理设备，含模拟式或混合式自动数据处理设备，包括计算机工作站、微型计算机设备、服务器、系统形式自动数据处理设备</v>
          </cell>
          <cell r="G2907" t="str">
            <v>电子及通信设备制造业</v>
          </cell>
        </row>
        <row r="2908">
          <cell r="E2908" t="str">
            <v>计算机数字式处理部件</v>
          </cell>
          <cell r="F2908" t="str">
            <v>包括高性能计算机数字式处理部件、微型计算机数字式处理部件、服务器数字式处理部件、笔记本计算机数字式处理部件、工业控制计算机处理部件、工业控制计算机输入输出部件、其他计算机数字式处理部件</v>
          </cell>
          <cell r="G2908" t="str">
            <v>电子及通信设备制造业</v>
          </cell>
        </row>
        <row r="2909">
          <cell r="E2909" t="str">
            <v>网络控制设备</v>
          </cell>
          <cell r="F2909" t="str">
            <v>包括通信控制处理机、集中器、网络终端控制器、其他网络控制设备</v>
          </cell>
          <cell r="G2909" t="str">
            <v>电子及通信设备制造业</v>
          </cell>
        </row>
        <row r="2910">
          <cell r="E2910" t="str">
            <v>网络接口和适配器</v>
          </cell>
          <cell r="F2910" t="str">
            <v>包括网络收发器、网络转发器、网络分配器、通信网络时钟同步设备、其他网络接口和适配器</v>
          </cell>
          <cell r="G2910" t="str">
            <v>电子及通信设备制造业</v>
          </cell>
        </row>
        <row r="2911">
          <cell r="E2911" t="str">
            <v>网络连接设备</v>
          </cell>
          <cell r="F2911" t="str">
            <v>包括集线器、路由器、数字数据网络节点设备、数字交叉连接设备、交换机、无线局域网接入点（AP）、其他网络连接设备</v>
          </cell>
          <cell r="G2911" t="str">
            <v>电子及通信设备制造业</v>
          </cell>
        </row>
        <row r="2912">
          <cell r="E2912" t="str">
            <v>网络优化设备</v>
          </cell>
          <cell r="F2912" t="str">
            <v>包括负载均衡器、流量控制器、其他网络优化设备</v>
          </cell>
          <cell r="G2912" t="str">
            <v>电子及通信设备制造业</v>
          </cell>
        </row>
        <row r="2913">
          <cell r="E2913" t="str">
            <v>网络检测设备</v>
          </cell>
          <cell r="F2913" t="str">
            <v>包括协议分析器、协议测试设备、差错检测设备、其他网络检测设备</v>
          </cell>
          <cell r="G2913" t="str">
            <v>电子及通信设备制造业</v>
          </cell>
        </row>
        <row r="2914">
          <cell r="E2914" t="str">
            <v>其他计算机网络设备</v>
          </cell>
          <cell r="F2914" t="str">
            <v>无说明</v>
          </cell>
          <cell r="G2914" t="str">
            <v>电子及通信设备制造业</v>
          </cell>
        </row>
        <row r="2915">
          <cell r="E2915" t="str">
            <v>终端显示设备</v>
          </cell>
          <cell r="F2915" t="str">
            <v>包括字符汉字终端、图形图像终端、显示器</v>
          </cell>
          <cell r="G2915" t="str">
            <v>电子及通信设备制造业</v>
          </cell>
        </row>
        <row r="2916">
          <cell r="E2916" t="str">
            <v>输入设备及装置</v>
          </cell>
          <cell r="F2916" t="str">
            <v>包括绘图仪、人机交互式设备、扫描仪、IC卡读写机具、磁卡读写器、摄像头、图形板、触感屏、字符阅读机、射频卡读写机具、手写板、生物特征识别设备、其他输入设备及装置</v>
          </cell>
          <cell r="G2916" t="str">
            <v>电子及通信设备制造业</v>
          </cell>
        </row>
        <row r="2917">
          <cell r="E2917" t="str">
            <v>输出设备及装置</v>
          </cell>
          <cell r="F2917" t="str">
            <v>包括打印机、语音输出设备、图形图像输出设备、其他输出设备及装置</v>
          </cell>
          <cell r="G2917" t="str">
            <v>电子及通信设备制造业</v>
          </cell>
        </row>
        <row r="2918">
          <cell r="E2918" t="str">
            <v>外存储设备及部件</v>
          </cell>
          <cell r="F2918" t="str">
            <v>包括软盘存储器、硬盘存储器、光盘存储器、半导体存储器、网络存储设备、磁性存储设备、其他外存储设备及部件</v>
          </cell>
          <cell r="G2918" t="str">
            <v>电子及通信设备制造业</v>
          </cell>
        </row>
        <row r="2919">
          <cell r="E2919" t="str">
            <v>阅读机、数据转录及处理机械</v>
          </cell>
          <cell r="F2919" t="str">
            <v>包括磁性阅读机、光学阅读机、数据转录媒体机械、数据处理机械、其他阅读机</v>
          </cell>
          <cell r="G2919" t="str">
            <v>电子及通信设备制造业</v>
          </cell>
        </row>
        <row r="2920">
          <cell r="E2920" t="str">
            <v>微机板卡</v>
          </cell>
          <cell r="F2920" t="str">
            <v>包括微机主机板、内存条、声卡、显卡、网卡、其他微机板卡</v>
          </cell>
          <cell r="G2920" t="str">
            <v>电子及通信设备制造业</v>
          </cell>
        </row>
        <row r="2921">
          <cell r="E2921" t="str">
            <v>计算机电源</v>
          </cell>
          <cell r="F2921" t="str">
            <v>指计算机专用电源，包括开关电源、UPS电源</v>
          </cell>
          <cell r="G2921" t="str">
            <v>电子及通信设备制造业</v>
          </cell>
        </row>
        <row r="2922">
          <cell r="E2922" t="str">
            <v>其他电子计算机配套产品及耗材</v>
          </cell>
          <cell r="F2922" t="str">
            <v>除外微机板卡、计算机电源的其他电子计算机配套产品及耗材，包括机箱、鼠标器、键盘、打印头、墨盒、磁卡、IC卡、色带、硒鼓、其他未列明电子计算机配套产品及耗材</v>
          </cell>
          <cell r="G2922" t="str">
            <v>电子及通信设备制造业</v>
          </cell>
        </row>
        <row r="2923">
          <cell r="E2923" t="str">
            <v>印制电路板</v>
          </cell>
          <cell r="F2923" t="str">
            <v>又称印刷电路板，是电子元器件电气连接的提供者。包括刚性印制电路板、挠性印制电路板、刚挠印制电路板、金属芯印制电路板、齐平印制电路板、碳膜印制电路板、其他印制电路板</v>
          </cell>
          <cell r="G2923" t="str">
            <v>普通机械制造业</v>
          </cell>
        </row>
        <row r="2924">
          <cell r="E2924" t="str">
            <v>访问控制类设备</v>
          </cell>
          <cell r="F2924" t="str">
            <v>包括单点登录系统、接入服务器、权限管理基础设施、其他访问控制类设备和系统</v>
          </cell>
          <cell r="G2924" t="str">
            <v>普通机械制造业</v>
          </cell>
        </row>
        <row r="2925">
          <cell r="E2925" t="str">
            <v>边界防护类设备</v>
          </cell>
          <cell r="F2925" t="str">
            <v>包括防火墙、防水墙、虚拟专用网设备（VPN）、抗拒绝服务（Dos）攻击系统、网络隔离设备、其他边界防护类设备和系统</v>
          </cell>
          <cell r="G2925" t="str">
            <v>普通机械制造业</v>
          </cell>
        </row>
        <row r="2926">
          <cell r="E2926" t="str">
            <v>数据保护类设备</v>
          </cell>
          <cell r="F2926" t="str">
            <v>包括防病毒系统、恶意代码检测系统、数据备份与恢复系统、数据防拷贝设备、其他数据保护类设备和系统</v>
          </cell>
          <cell r="G2926" t="str">
            <v>普通机械制造业</v>
          </cell>
        </row>
        <row r="2927">
          <cell r="E2927" t="str">
            <v>安全检测类设备</v>
          </cell>
          <cell r="F2927" t="str">
            <v>包括入侵检测系统、入侵防御系统、安全扫描器、安全审计系统、其他安全检测类设备和系统</v>
          </cell>
          <cell r="G2927" t="str">
            <v>普通机械制造业</v>
          </cell>
        </row>
        <row r="2928">
          <cell r="E2928" t="str">
            <v>安全智能卡类设备</v>
          </cell>
          <cell r="F2928" t="str">
            <v>无说明</v>
          </cell>
          <cell r="G2928" t="str">
            <v>普通机械制造业</v>
          </cell>
        </row>
        <row r="2929">
          <cell r="E2929" t="str">
            <v>密钥管理类设备</v>
          </cell>
          <cell r="F2929" t="str">
            <v>无说明</v>
          </cell>
          <cell r="G2929" t="str">
            <v>普通机械制造业</v>
          </cell>
        </row>
        <row r="2930">
          <cell r="E2930" t="str">
            <v>税控设备</v>
          </cell>
          <cell r="F2930" t="str">
            <v>包括金税盘、税控盘，不包括税控加油机（详见10906260101）、税控收款机（详见10906260102）</v>
          </cell>
          <cell r="G2930" t="str">
            <v>普通机械制造业</v>
          </cell>
        </row>
        <row r="2931">
          <cell r="E2931" t="str">
            <v>其他信息系统安全设备</v>
          </cell>
          <cell r="F2931" t="str">
            <v>除访问控制类设备、边界防护类设备、数据保护类设备、安全检测类设备、安全智能卡类设备、密钥管理类设备外的其他信息系统安全设备</v>
          </cell>
          <cell r="G2931" t="str">
            <v>普通机械制造业</v>
          </cell>
        </row>
        <row r="2932">
          <cell r="E2932" t="str">
            <v>电子管</v>
          </cell>
          <cell r="F2932" t="str">
            <v>包括收讯放大管、微波管、发射管、稳定管、离子管</v>
          </cell>
          <cell r="G2932" t="str">
            <v>普通机械制造业</v>
          </cell>
        </row>
        <row r="2933">
          <cell r="E2933" t="str">
            <v>电子束管</v>
          </cell>
          <cell r="F2933" t="str">
            <v>包括显像管、显示管、投影管、监视管、示波管、储存管、脉冲形成管、飞点扫描管、其他电子束管</v>
          </cell>
          <cell r="G2933" t="str">
            <v>普通机械制造业</v>
          </cell>
        </row>
        <row r="2934">
          <cell r="E2934" t="str">
            <v>射线计数管</v>
          </cell>
          <cell r="F2934" t="str">
            <v>无说明</v>
          </cell>
          <cell r="G2934" t="str">
            <v>普通机械制造业</v>
          </cell>
        </row>
        <row r="2935">
          <cell r="E2935" t="str">
            <v>真空开关管</v>
          </cell>
          <cell r="F2935" t="str">
            <v>包括高、中压真空开关管（3～36kV），低压真空开关管（3kV以下），其他真空开关管</v>
          </cell>
          <cell r="G2935" t="str">
            <v>普通机械制造业</v>
          </cell>
        </row>
        <row r="2936">
          <cell r="E2936" t="str">
            <v>真空电子器件零件</v>
          </cell>
          <cell r="F2936" t="str">
            <v>包括显像管配件、电子管零件、其他真空电子器件零件</v>
          </cell>
          <cell r="G2936" t="str">
            <v>普通机械制造业</v>
          </cell>
        </row>
        <row r="2937">
          <cell r="E2937" t="str">
            <v>其他真空电子器件</v>
          </cell>
          <cell r="F2937" t="str">
            <v>包括真空荧光显示器件（VFD）、真空规管、频标管、其他未列明真空电子器件</v>
          </cell>
          <cell r="G2937" t="str">
            <v>普通机械制造业</v>
          </cell>
        </row>
        <row r="2938">
          <cell r="E2938" t="str">
            <v>半导体二极管</v>
          </cell>
          <cell r="F2938" t="str">
            <v>包括小信号二极管、稳压、整流、开关二极管、过电过压保护二极管、微波二极管、其他半导体二极管。不包括光电器件(详见1090516)</v>
          </cell>
          <cell r="G2938" t="str">
            <v>普通机械制造业</v>
          </cell>
        </row>
        <row r="2939">
          <cell r="E2939" t="str">
            <v>半导体三极管</v>
          </cell>
          <cell r="F2939" t="str">
            <v>无说明</v>
          </cell>
          <cell r="G2939" t="str">
            <v>普通机械制造业</v>
          </cell>
        </row>
        <row r="2940">
          <cell r="E2940" t="str">
            <v>小信号晶体管</v>
          </cell>
          <cell r="F2940" t="str">
            <v>包括双极晶体管、场效应晶体管、微波晶体管</v>
          </cell>
          <cell r="G2940" t="str">
            <v>普通机械制造业</v>
          </cell>
        </row>
        <row r="2941">
          <cell r="E2941" t="str">
            <v>功率晶体管</v>
          </cell>
          <cell r="F2941" t="str">
            <v>包括双极功率晶体管、双极功率晶体管模块、场效应功率晶体管、场效应功率晶体管模块、微波功率晶体管、微波功率晶体管模块、绝缘栅双极晶体管、绝缘栅双极晶体管模块、晶闸管（5A以下）</v>
          </cell>
          <cell r="G2941" t="str">
            <v>普通机械制造业</v>
          </cell>
        </row>
        <row r="2942">
          <cell r="E2942" t="str">
            <v>半导体敏感器件</v>
          </cell>
          <cell r="F2942" t="str">
            <v>包括压力敏感器件、磁敏器件、气敏器件、湿敏器件、离子敏感器件、声敏感器件、射线敏感器件、生物敏感器件、静电敏感器件、光敏感器件、热敏感器件、其他半导体敏感器件</v>
          </cell>
          <cell r="G2942" t="str">
            <v>普通机械制造业</v>
          </cell>
        </row>
        <row r="2943">
          <cell r="E2943" t="str">
            <v>其他半导体分立器件</v>
          </cell>
          <cell r="F2943" t="str">
            <v>无说明</v>
          </cell>
          <cell r="G2943" t="str">
            <v>普通机械制造业</v>
          </cell>
        </row>
        <row r="2944">
          <cell r="E2944" t="str">
            <v>电子束光电器件</v>
          </cell>
          <cell r="F2944" t="str">
            <v>包括光电倍增管、X射线图像增强管、摄像管、光电图像器件、其他电子束光电器件</v>
          </cell>
          <cell r="G2944" t="str">
            <v>普通机械制造业</v>
          </cell>
        </row>
        <row r="2945">
          <cell r="E2945" t="str">
            <v>电真空光电子器件</v>
          </cell>
          <cell r="F2945" t="str">
            <v>包括显示器件、发光器件、光敏器件、光电耦合器件、红外器件、X射线（光）管、其他电真空光电子器件</v>
          </cell>
          <cell r="G2945" t="str">
            <v>普通机械制造业</v>
          </cell>
        </row>
        <row r="2946">
          <cell r="E2946" t="str">
            <v>半导体光电器件</v>
          </cell>
          <cell r="F2946" t="str">
            <v>包括光电探测器件、发光二极管（LED管）、其他半导体光电器件</v>
          </cell>
          <cell r="G2946" t="str">
            <v>普通机械制造业</v>
          </cell>
        </row>
        <row r="2947">
          <cell r="E2947" t="str">
            <v>激光器件</v>
          </cell>
          <cell r="F2947" t="str">
            <v>包括半导体激光器件、固体激光器件、气体激光器件、其他激光器件</v>
          </cell>
          <cell r="G2947" t="str">
            <v>普通机械制造业</v>
          </cell>
        </row>
        <row r="2948">
          <cell r="E2948" t="str">
            <v>集成电路</v>
          </cell>
          <cell r="F2948" t="str">
            <v>一种微型电子器件或部件，包括集成电路圆片、集成电路封装系列、集成电路成品</v>
          </cell>
          <cell r="G2948" t="str">
            <v>普通机械制造业</v>
          </cell>
        </row>
        <row r="2949">
          <cell r="E2949" t="str">
            <v>微电子组件</v>
          </cell>
          <cell r="F2949" t="str">
            <v>包括集成电路模块、多芯片封装组件（MCM）、其他微电子组件</v>
          </cell>
          <cell r="G2949" t="str">
            <v>普通机械制造业</v>
          </cell>
        </row>
        <row r="2950">
          <cell r="E2950" t="str">
            <v>电容器</v>
          </cell>
          <cell r="F2950" t="str">
            <v>由两块金属电极之间夹一层绝缘电介质构成。包括电解电容器、瓷介电容器、纸介质电容器、塑料介质电容器、云母电容器、玻璃釉电容器、真空电容器、可变电容器、电容网络、其他电容器</v>
          </cell>
          <cell r="G2950" t="str">
            <v>电子及通信设备制造业</v>
          </cell>
        </row>
        <row r="2951">
          <cell r="E2951" t="str">
            <v>电阻器及电阻网络</v>
          </cell>
          <cell r="F2951" t="str">
            <v>包括电阻器、电阻网络</v>
          </cell>
          <cell r="G2951" t="str">
            <v>电子及通信设备制造业</v>
          </cell>
        </row>
        <row r="2952">
          <cell r="E2952" t="str">
            <v>电位器</v>
          </cell>
          <cell r="F2952" t="str">
            <v>是可变电阻器的一种，通常由电阻体与转动或滑动系统组成。包括线绕电位器、碳膜电位器、实芯电位器、玻璃釉电位器、导电塑料电位器、片式电位器、其他电位器</v>
          </cell>
          <cell r="G2952" t="str">
            <v>电子及通信设备制造业</v>
          </cell>
        </row>
        <row r="2953">
          <cell r="E2953" t="str">
            <v>频率控制元器件</v>
          </cell>
          <cell r="F2953" t="str">
            <v>包括压电陶瓷及频率元件、压电石英晶体元器件</v>
          </cell>
          <cell r="G2953" t="str">
            <v>电子及通信设备制造业</v>
          </cell>
        </row>
        <row r="2954">
          <cell r="E2954" t="str">
            <v>磁性材料元件</v>
          </cell>
          <cell r="F2954" t="str">
            <v>指金属永磁铁及磁化后准备制永磁铁的物品，包括金属软磁元件、铁氧体软磁元件、铁氧体永磁元件、稀土永磁元件、永磁合金、微波铁氧体器件、电子变压器</v>
          </cell>
          <cell r="G2954" t="str">
            <v>电子及通信设备制造业</v>
          </cell>
        </row>
        <row r="2955">
          <cell r="E2955" t="str">
            <v>电声器件</v>
          </cell>
          <cell r="F2955" t="str">
            <v>指电和声相互转换的器件，利用电磁感应、静电感应或压电效应等来完成电声转换，传声器、扬声器、耳机及类似装置，包括通信传声器件、传声器（麦克风）、扬声器、音箱、耳机、蜂鸣器、蜂鸣片、其他电声器件</v>
          </cell>
          <cell r="G2955" t="str">
            <v>电子及通信设备制造业</v>
          </cell>
        </row>
        <row r="2956">
          <cell r="E2956" t="str">
            <v>射频元器件</v>
          </cell>
          <cell r="F2956" t="str">
            <v>无说明</v>
          </cell>
          <cell r="G2956" t="str">
            <v>电子及通信设备制造业</v>
          </cell>
        </row>
        <row r="2957">
          <cell r="E2957" t="str">
            <v>电子元件、组件零件</v>
          </cell>
          <cell r="F2957" t="str">
            <v>包括电容器零件、电阻器零件、电位器零件、频率控制元器件零件、磁性元器件零件、电声器件零件，其他电子元件、组件零件</v>
          </cell>
          <cell r="G2957" t="str">
            <v>电子及通信设备制造业</v>
          </cell>
        </row>
        <row r="2958">
          <cell r="E2958" t="str">
            <v>其他电子元件</v>
          </cell>
          <cell r="F2958" t="str">
            <v>除电容器，电阻器及电阻网络，电位器，频率控制元器件，磁性材料元件，电声器件，射频元器件，电子元件、组件零件外的其他电子元件</v>
          </cell>
          <cell r="G2958" t="str">
            <v>电子及通信设备制造业</v>
          </cell>
        </row>
        <row r="2959">
          <cell r="E2959" t="str">
            <v>传感器</v>
          </cell>
          <cell r="F2959" t="str">
            <v>敏感元件指能够灵敏地感受被测变量并做出响应的元件，是传感器中能直接感受被测量的部分；传感器指能感受规定的被测量件并按照一定的规律(数学函数法则)转换成可用信号的器件或装置，通常由敏感元件和转换元件组成。</v>
          </cell>
          <cell r="G2959" t="str">
            <v>普通机械制造业</v>
          </cell>
        </row>
        <row r="2960">
          <cell r="E2960" t="str">
            <v>视频设备</v>
          </cell>
          <cell r="F2960" t="str">
            <v>包括彩色电视机、黑白电视机、其他视频设备</v>
          </cell>
          <cell r="G2960" t="str">
            <v>普通机械制造业</v>
          </cell>
        </row>
        <row r="2961">
          <cell r="E2961" t="str">
            <v>家用影视摄、录、放设备</v>
          </cell>
          <cell r="F2961" t="str">
            <v>包括家用摄录像机，数字激光音、视盘机，其他家用影视摄、录、放设备</v>
          </cell>
          <cell r="G2961" t="str">
            <v>普通机械制造业</v>
          </cell>
        </row>
        <row r="2962">
          <cell r="E2962" t="str">
            <v>家用音响设备</v>
          </cell>
          <cell r="F2962" t="str">
            <v>包括收音机及组合音响，半导体收音机，便携式收录（放）音组合机，家用电唱机、放声机，家用录放音机，数字化多媒体组合机，其他家用音响设备</v>
          </cell>
          <cell r="G2962" t="str">
            <v>普通机械制造业</v>
          </cell>
        </row>
        <row r="2963">
          <cell r="E2963" t="str">
            <v>汽车用音响设备</v>
          </cell>
          <cell r="F2963" t="str">
            <v>包括汽车用收录（放）音组合机、其他汽车用音响设备</v>
          </cell>
          <cell r="G2963" t="str">
            <v>普通机械制造业</v>
          </cell>
        </row>
        <row r="2964">
          <cell r="E2964" t="str">
            <v>家用音视频设备用配件</v>
          </cell>
          <cell r="F2964" t="str">
            <v>包括走带机芯、激光视盘机机芯、磁头、光学头、家用天线、电视接收机顶盒、调谐器、偏转线圈、录音录像磁鼓、充电器、遥控器、光机引擎、接口、其他家用音视频设备用配件。不包括传声器、扬声器、耳机及类似装置(详见109051906)</v>
          </cell>
          <cell r="G2964" t="str">
            <v>普通机械制造业</v>
          </cell>
        </row>
        <row r="2965">
          <cell r="E2965" t="str">
            <v>其他家用音视频设备</v>
          </cell>
          <cell r="F2965" t="str">
            <v>无说明</v>
          </cell>
          <cell r="G2965" t="str">
            <v>普通机械制造业</v>
          </cell>
        </row>
        <row r="2966">
          <cell r="E2966" t="str">
            <v>其他未列明电子设备</v>
          </cell>
          <cell r="F2966" t="str">
            <v>无说明</v>
          </cell>
          <cell r="G2966" t="str">
            <v>普通机械制造业</v>
          </cell>
        </row>
        <row r="2967">
          <cell r="E2967" t="str">
            <v>工业自动调节仪表</v>
          </cell>
          <cell r="F2967" t="str">
            <v>指在工业产品制造过程中，对流量、物位、压力、温度及其他变化量进行自动调节和控制的仪器仪表及装置，不论是否具有智能功能均包括在内。包括电动调节仪表、气动调节仪表、其他工业自动调节仪表。</v>
          </cell>
          <cell r="G2967" t="str">
            <v>仪器仪表及文化、办公用机械制造业</v>
          </cell>
        </row>
        <row r="2968">
          <cell r="E2968" t="str">
            <v>工业自动控制系统</v>
          </cell>
          <cell r="F2968" t="str">
            <v>包括自动控制非电量的仪器或设备，可分为分散型控制系统（DCS系统）、可编程控制系统（PLC系统）、其他工业自动控制系统</v>
          </cell>
          <cell r="G2968" t="str">
            <v>仪器仪表及文化、办公用机械制造业</v>
          </cell>
        </row>
        <row r="2969">
          <cell r="E2969" t="str">
            <v>楼宇控制系统</v>
          </cell>
          <cell r="F2969" t="str">
            <v>指用于建筑物温度、湿度、能源、消防、安全、保安等控制的系统</v>
          </cell>
          <cell r="G2969" t="str">
            <v>仪器仪表及文化、办公用机械制造业</v>
          </cell>
        </row>
        <row r="2970">
          <cell r="E2970" t="str">
            <v>工业自动调节仪表与控制系统零件、附件</v>
          </cell>
          <cell r="F2970" t="str">
            <v>无说明</v>
          </cell>
          <cell r="G2970" t="str">
            <v>仪器仪表及文化、办公用机械制造业</v>
          </cell>
        </row>
        <row r="2971">
          <cell r="E2971" t="str">
            <v>温度测量仪表</v>
          </cell>
          <cell r="F2971" t="str">
            <v>指采用接触或非接触方式进行温度、热像测量的仪表及装置；包括智能和非智能仪表</v>
          </cell>
          <cell r="G2971" t="str">
            <v>仪器仪表及文化、办公用机械制造业</v>
          </cell>
        </row>
        <row r="2972">
          <cell r="E2972" t="str">
            <v>压力测量仪表</v>
          </cell>
          <cell r="F2972" t="str">
            <v>指采用各种原理测量压力、差压的仪表与装置；包括智能和非智能检测液体或气体压力的仪表及装置</v>
          </cell>
          <cell r="G2972" t="str">
            <v>仪器仪表及文化、办公用机械制造业</v>
          </cell>
        </row>
        <row r="2973">
          <cell r="E2973" t="str">
            <v>流量测量仪表</v>
          </cell>
          <cell r="F2973" t="str">
            <v>指采用各种原理测量管道或明渠中气体、液体、多相流体的流量的仪表与装置；包括智能和非智能液体或气体流量、液位、压力检测仪器</v>
          </cell>
          <cell r="G2973" t="str">
            <v>仪器仪表及文化、办公用机械制造业</v>
          </cell>
        </row>
        <row r="2974">
          <cell r="E2974" t="str">
            <v>物位、液位测量仪表</v>
          </cell>
          <cell r="F2974" t="str">
            <v>指采用各种原理测量液体、固体的物位或界面位置的仪表和装置，包括浮子式物位仪表、电容物位仪表、压力式物位仪表、雷达物位仪表、核辐射物位仪表、超声物位仪表、微波物位仪表、直视式液位计</v>
          </cell>
          <cell r="G2974" t="str">
            <v>仪器仪表及文化、办公用机械制造业</v>
          </cell>
        </row>
        <row r="2975">
          <cell r="E2975" t="str">
            <v>显示仪表、记录仪</v>
          </cell>
          <cell r="F2975" t="str">
            <v>包括指示仪、记录仪、报警装置、其他显示仪表、其他记录仪</v>
          </cell>
          <cell r="G2975" t="str">
            <v>仪器仪表及文化、办公用机械制造业</v>
          </cell>
        </row>
        <row r="2976">
          <cell r="E2976" t="str">
            <v>执行器</v>
          </cell>
          <cell r="F2976" t="str">
            <v>指接受控制系统信号，对被控介质进行调节的仪表，包括各种类型的调节阀，各种原理的执行机构及其各种附件。包括电动执行机构、气动执行机构、电液执行机构、阀门定位器、调节阀、电磁阀、其他执行器；</v>
          </cell>
          <cell r="G2976" t="str">
            <v>仪器仪表及文化、办公用机械制造业</v>
          </cell>
        </row>
        <row r="2977">
          <cell r="E2977" t="str">
            <v>其他工业仪表</v>
          </cell>
          <cell r="F2977" t="str">
            <v>无说明</v>
          </cell>
          <cell r="G2977" t="str">
            <v>仪器仪表及文化、办公用机械制造业</v>
          </cell>
        </row>
        <row r="2978">
          <cell r="E2978" t="str">
            <v>电能表</v>
          </cell>
          <cell r="F2978" t="str">
            <v>用来测量电能的仪表，又称电度表，火表，千瓦小时表。包括单相感应式电能表、三相感应式电能表、单相电子式电能表、三相电子式电能表、多用户电能表、其他电能表。</v>
          </cell>
          <cell r="G2978" t="str">
            <v>仪器仪表及文化、办公用机械制造业</v>
          </cell>
        </row>
        <row r="2979">
          <cell r="E2979" t="str">
            <v>自动抄表系统（不含表）</v>
          </cell>
          <cell r="F2979" t="str">
            <v>自动抄表系统主要由电能表、采集器、集中器、数据传输通道、主站系统构成，包括低压载波自动抄表系统、无线自动抄表系统、专用线自动抄表系统、其他自动抄表系统。</v>
          </cell>
          <cell r="G2979" t="str">
            <v>仪器仪表及文化、办公用机械制造业</v>
          </cell>
        </row>
        <row r="2980">
          <cell r="E2980" t="str">
            <v>电力负荷控制系统</v>
          </cell>
          <cell r="F2980" t="str">
            <v>无说明</v>
          </cell>
          <cell r="G2980" t="str">
            <v>仪器仪表及文化、办公用机械制造业</v>
          </cell>
        </row>
        <row r="2981">
          <cell r="E2981" t="str">
            <v>电磁参数测量仪器仪表</v>
          </cell>
          <cell r="F2981" t="str">
            <v>包括安装式仪表、便携式模拟仪表、数字仪表、精密仪器、测磁仪器、其他电磁参数测量仪器仪表。</v>
          </cell>
          <cell r="G2981" t="str">
            <v>仪器仪表及文化、办公用机械制造业</v>
          </cell>
        </row>
        <row r="2982">
          <cell r="E2982" t="str">
            <v>电磁参量分析与记录装置</v>
          </cell>
          <cell r="F2982" t="str">
            <v>包括示波器、电工用频谱分析仪、电工用逻辑分析仪、记录仪器、电磁参量分析与记录装置附件</v>
          </cell>
          <cell r="G2982" t="str">
            <v>仪器仪表及文化、办公用机械制造业</v>
          </cell>
        </row>
        <row r="2983">
          <cell r="E2983" t="str">
            <v>配电系统电气安全检测与分析装置</v>
          </cell>
          <cell r="F2983" t="str">
            <v>包括电能质量分析仪、电力参数综合测量装置、配电系统电气安全检测装置、其他配电系统电气安全检测与分析装置</v>
          </cell>
          <cell r="G2983" t="str">
            <v>仪器仪表及文化、办公用机械制造业</v>
          </cell>
        </row>
        <row r="2984">
          <cell r="E2984" t="str">
            <v>电源装置</v>
          </cell>
          <cell r="F2984" t="str">
            <v>包括测量电源、普通电源装置，不包括电源变压稳压稳流装置（详见1090404）、控制开关（详见1090407）。</v>
          </cell>
          <cell r="G2984" t="str">
            <v>仪器仪表及文化、办公用机械制造业</v>
          </cell>
        </row>
        <row r="2985">
          <cell r="E2985" t="str">
            <v>标准与校验设备</v>
          </cell>
          <cell r="F2985" t="str">
            <v>包括标准仪表、交直流仪器、校验装置</v>
          </cell>
          <cell r="G2985" t="str">
            <v>仪器仪表及文化、办公用机械制造业</v>
          </cell>
        </row>
        <row r="2986">
          <cell r="E2986" t="str">
            <v>扩大量限装置</v>
          </cell>
          <cell r="F2986" t="str">
            <v>无说明</v>
          </cell>
          <cell r="G2986" t="str">
            <v>仪器仪表及文化、办公用机械制造业</v>
          </cell>
        </row>
        <row r="2987">
          <cell r="E2987" t="str">
            <v>电力自动化仪表及系统</v>
          </cell>
          <cell r="F2987" t="str">
            <v>包括电量变送器、变送仪表及屏、输变电自动化系统、配用电自动化系统、其他电力自动化仪表及系统</v>
          </cell>
          <cell r="G2987" t="str">
            <v>仪器仪表及文化、办公用机械制造业</v>
          </cell>
        </row>
        <row r="2988">
          <cell r="E2988" t="str">
            <v>自动测试系统与虚拟仪器</v>
          </cell>
          <cell r="F2988" t="str">
            <v>无说明</v>
          </cell>
          <cell r="G2988" t="str">
            <v>仪器仪表及文化、办公用机械制造业</v>
          </cell>
        </row>
        <row r="2989">
          <cell r="E2989" t="str">
            <v>非电量电测仪表及装置</v>
          </cell>
          <cell r="F2989" t="str">
            <v>无说明</v>
          </cell>
          <cell r="G2989" t="str">
            <v>仪器仪表及文化、办公用机械制造业</v>
          </cell>
        </row>
        <row r="2990">
          <cell r="E2990" t="str">
            <v>电工仪器仪表零部件</v>
          </cell>
          <cell r="F2990" t="str">
            <v>包括计量芯片、计量模块、计度器、仪表外壳、仪用互感器（内置）、仪用电源（内置）、其他电工仪器仪表零部件</v>
          </cell>
          <cell r="G2990" t="str">
            <v>仪器仪表及文化、办公用机械制造业</v>
          </cell>
        </row>
        <row r="2991">
          <cell r="E2991" t="str">
            <v>其他电工仪器仪表</v>
          </cell>
          <cell r="F2991" t="str">
            <v>无说明</v>
          </cell>
          <cell r="G2991" t="str">
            <v>仪器仪表及文化、办公用机械制造业</v>
          </cell>
        </row>
        <row r="2992">
          <cell r="E2992" t="str">
            <v>绘图台及绘图机</v>
          </cell>
          <cell r="F2992" t="str">
            <v>包括绘图台及绘图机、绘图台（桌）、绘图板、导轨式绘图机、轻便绘图机、其他绘图台及绘图机</v>
          </cell>
          <cell r="G2992" t="str">
            <v>仪器仪表及文化、办公用机械制造业</v>
          </cell>
        </row>
        <row r="2993">
          <cell r="E2993" t="str">
            <v>绘图工具</v>
          </cell>
          <cell r="F2993" t="str">
            <v>包括缩放仪、缩放绘图仪、航线标绘器具、绘图圆规、分规、比例规、绘图用尺、板、线及类似器具、分度规、其他绘图工具</v>
          </cell>
          <cell r="G2993" t="str">
            <v>仪器仪表及文化、办公用机械制造业</v>
          </cell>
        </row>
        <row r="2994">
          <cell r="E2994" t="str">
            <v>划线用具</v>
          </cell>
          <cell r="F2994" t="str">
            <v>包括划线器、中心冲、其他划线用具</v>
          </cell>
          <cell r="G2994" t="str">
            <v>仪器仪表及文化、办公用机械制造业</v>
          </cell>
        </row>
        <row r="2995">
          <cell r="E2995" t="str">
            <v>数学计算器具</v>
          </cell>
          <cell r="F2995" t="str">
            <v>包括计算尺、盘式计算器、圆柱计算器、算盘、其他数学计算器具，不包括电子计算器（详见1090626）。</v>
          </cell>
          <cell r="G2995" t="str">
            <v>仪器仪表及文化、办公用机械制造业</v>
          </cell>
        </row>
        <row r="2996">
          <cell r="E2996" t="str">
            <v>量具</v>
          </cell>
          <cell r="F2996" t="str">
            <v>包括卡尺、量块及量规、测微螺杆类量具、量表、角度和平直度量具、电子数显量具、辅助测量器具、其他量具</v>
          </cell>
          <cell r="G2996" t="str">
            <v>仪器仪表及文化、办公用机械制造业</v>
          </cell>
        </row>
        <row r="2997">
          <cell r="E2997" t="str">
            <v>手动测量长度器具</v>
          </cell>
          <cell r="F2997" t="str">
            <v>包括比较仪（刻度盘式）、刻度尺、量图器（计图器）、其他手动测量长度器具</v>
          </cell>
          <cell r="G2997" t="str">
            <v>仪器仪表及文化、办公用机械制造业</v>
          </cell>
        </row>
        <row r="2998">
          <cell r="E2998" t="str">
            <v>量仪</v>
          </cell>
          <cell r="F2998" t="str">
            <v>包括通用长度量仪、通用角度量仪、形状和位置误差量仪、表面质量量仪、三坐标测量仪、齿轮量仪、螺纹量仪、气动、电动、主动量仪检验机、其他量仪</v>
          </cell>
          <cell r="G2998" t="str">
            <v>仪器仪表及文化、办公用机械制造业</v>
          </cell>
        </row>
        <row r="2999">
          <cell r="E2999" t="str">
            <v>机械量仪表</v>
          </cell>
          <cell r="F2999" t="str">
            <v>包括尺度计、测力仪表、转距测量仪</v>
          </cell>
          <cell r="G2999" t="str">
            <v>仪器仪表及文化、办公用机械制造业</v>
          </cell>
        </row>
        <row r="3000">
          <cell r="E3000" t="str">
            <v>数显装置</v>
          </cell>
          <cell r="F3000" t="str">
            <v>指位移传感器、数显表组成的位移测量系统，包括直线位移传感器、角位移传感器、其他数显装置</v>
          </cell>
          <cell r="G3000" t="str">
            <v>仪器仪表及文化、办公用机械制造业</v>
          </cell>
        </row>
        <row r="3001">
          <cell r="E3001" t="str">
            <v>测量仪器</v>
          </cell>
          <cell r="F3001" t="str">
            <v>包括面积仪、千分表式比较仪、柱式测量仪表、测斜仪、球径仪、其他测量仪器。不包括大地及水道测量、摄影测量用仪器（详见1090610）。</v>
          </cell>
          <cell r="G3001" t="str">
            <v>仪器仪表及文化、办公用机械制造业</v>
          </cell>
        </row>
        <row r="3002">
          <cell r="E3002" t="str">
            <v>其他绘图、计算仪器及零件</v>
          </cell>
          <cell r="F3002" t="str">
            <v>无说明</v>
          </cell>
          <cell r="G3002" t="str">
            <v>仪器仪表及文化、办公用机械制造业</v>
          </cell>
        </row>
        <row r="3003">
          <cell r="E3003" t="str">
            <v>电化学式分析仪器</v>
          </cell>
          <cell r="F3003" t="str">
            <v>包括极谱分析仪、电位式分析仪器、电解式分析仪器、电导式分析仪器、电量式分析仪器、滴定仪、湿化学分析仪、溶解氧测定仪、其他电化学式分析仪器</v>
          </cell>
          <cell r="G3003" t="str">
            <v>仪器仪表及文化、办公用机械制造业</v>
          </cell>
        </row>
        <row r="3004">
          <cell r="E3004" t="str">
            <v>光学分析仪器</v>
          </cell>
          <cell r="F3004" t="str">
            <v>包括分光仪、分光光度计、摄谱仪、光电直读光谱仪、光度计、照度计、折光仪、光电比色分析仪器、光度式分析仪器、红外线分析仪器、激光气体分析仪器、其他光学分析仪器</v>
          </cell>
          <cell r="G3004" t="str">
            <v>仪器仪表及文化、办公用机械制造业</v>
          </cell>
        </row>
        <row r="3005">
          <cell r="E3005" t="str">
            <v>热学分析仪器</v>
          </cell>
          <cell r="F3005" t="str">
            <v>包括热重分析仪、差热分析仪、差热天平、热量计、量热仪、热物快速测定仪、差示扫描量热仪、平板导热仪、热膨胀仪、热机械分析仪、冰点测定器、沸点测定器、检镜切片机、其他热学分析仪器</v>
          </cell>
          <cell r="G3005" t="str">
            <v>仪器仪表及文化、办公用机械制造业</v>
          </cell>
        </row>
        <row r="3006">
          <cell r="E3006" t="str">
            <v>质谱仪器</v>
          </cell>
          <cell r="F3006" t="str">
            <v>包括有机质谱仪、同位素质谱仪、无机质谱仪、气体分析质谱计、表面分析质谱计、质谱联用仪、集成电路生产用氦质谱检漏台、其他质谱仪器</v>
          </cell>
          <cell r="G3006" t="str">
            <v>仪器仪表及文化、办公用机械制造业</v>
          </cell>
        </row>
        <row r="3007">
          <cell r="E3007" t="str">
            <v>波谱仪器</v>
          </cell>
          <cell r="F3007" t="str">
            <v>包括核磁共振波谱仪、顺磁共振波谱仪、核电四极矩共振波谱仪、光磁共振波谱仪、其他波谱仪器</v>
          </cell>
          <cell r="G3007" t="str">
            <v>仪器仪表及文化、办公用机械制造业</v>
          </cell>
        </row>
        <row r="3008">
          <cell r="E3008" t="str">
            <v>色谱仪器</v>
          </cell>
          <cell r="F3008" t="str">
            <v>包括气相色谱仪、液相色谱仪、色谱联用仪、色谱柱、自动进样器、其他色谱仪器</v>
          </cell>
          <cell r="G3008" t="str">
            <v>仪器仪表及文化、办公用机械制造业</v>
          </cell>
        </row>
        <row r="3009">
          <cell r="E3009" t="str">
            <v>电泳仪</v>
          </cell>
          <cell r="F3009" t="str">
            <v>利用电泳现象对某些化学或生物化学组分进行分离分析的仪器，一般由分离装置、电源和检测装置构成，包括自由电泳仪、支持物电泳仪、其他电泳仪，不含医疗用电泳仪（详见109024312）。</v>
          </cell>
          <cell r="G3009" t="str">
            <v>仪器仪表及文化、办公用机械制造业</v>
          </cell>
        </row>
        <row r="3010">
          <cell r="E3010" t="str">
            <v>能谱仪及射线分析仪器</v>
          </cell>
          <cell r="F3010" t="str">
            <v>包括电子能谱仪、离子散射谱仪、二次离子谱仪、X射线衍射仪、发射式X射线谱仪、吸收式X射线谱仪、荧光折射仪、其他能谱仪及射线分析仪器</v>
          </cell>
          <cell r="G3010" t="str">
            <v>仪器仪表及文化、办公用机械制造业</v>
          </cell>
        </row>
        <row r="3011">
          <cell r="E3011" t="str">
            <v>物性分析仪器</v>
          </cell>
          <cell r="F3011" t="str">
            <v>指测量或检验粘性、多孔性、膨胀性、比重、湿度、表面张力及类似性能的仪器及装置。包括粘度计、偏振光镜、膨胀计、孔率计、渗透仪、浊度计、密度计、表面张力仪、rH（氧化还原值）计、比重计、湿度计、其他物性分析仪器。</v>
          </cell>
          <cell r="G3011" t="str">
            <v>仪器仪表及文化、办公用机械制造业</v>
          </cell>
        </row>
        <row r="3012">
          <cell r="E3012" t="str">
            <v>气体分析测定装置</v>
          </cell>
          <cell r="F3012" t="str">
            <v>包括氮气计、微量气体分析器、氧浓度测定仪、弥散功能测试仪、压力型容积描绘仪、其他气体分析测定装置</v>
          </cell>
          <cell r="G3012" t="str">
            <v>仪器仪表及文化、办公用机械制造业</v>
          </cell>
        </row>
        <row r="3013">
          <cell r="E3013" t="str">
            <v>分析仪器及装置零件、附件</v>
          </cell>
          <cell r="F3013" t="str">
            <v>包括理化分析、测量或检验粘性仪器的零附件</v>
          </cell>
          <cell r="G3013" t="str">
            <v>仪器仪表及文化、办公用机械制造业</v>
          </cell>
        </row>
        <row r="3014">
          <cell r="E3014" t="str">
            <v>其他分析仪器及装置</v>
          </cell>
          <cell r="F3014" t="str">
            <v>无说明</v>
          </cell>
          <cell r="G3014" t="str">
            <v>仪器仪表及文化、办公用机械制造业</v>
          </cell>
        </row>
        <row r="3015">
          <cell r="E3015" t="str">
            <v>试验机</v>
          </cell>
          <cell r="F3015" t="str">
            <v>指机械性能试验机械及器具；包括对各种材料（如金属、木材、混凝土、橡胶、塑料等）的硬度、弹性、抗张强度、可压缩性或其他机械性能的试验机械及器具。可分为金属材料试验机、非金属材料试验机、平衡试验机、探伤仪器、其他试验机。</v>
          </cell>
          <cell r="G3015" t="str">
            <v>普通机械制造业</v>
          </cell>
        </row>
        <row r="3016">
          <cell r="E3016" t="str">
            <v>真空计</v>
          </cell>
          <cell r="F3016" t="str">
            <v>测量真空度或气压的仪器</v>
          </cell>
          <cell r="G3016" t="str">
            <v>普通机械制造业</v>
          </cell>
        </row>
        <row r="3017">
          <cell r="E3017" t="str">
            <v>动力测试仪器</v>
          </cell>
          <cell r="F3017" t="str">
            <v>包括电信号传递器、测功仪、测功器、压力测量仪器、油耗测量仪器、燃烧分析仪器、漏气量测量仪器、多参数测试装置、控制仪、动力测试专用校准仪器、其他动力测试仪器</v>
          </cell>
          <cell r="G3017" t="str">
            <v>普通机械制造业</v>
          </cell>
        </row>
        <row r="3018">
          <cell r="E3018" t="str">
            <v>天平仪器</v>
          </cell>
          <cell r="F3018" t="str">
            <v>包括机械天平、电子天平、其他天平仪器，不包括差热天平（详见109060503）。</v>
          </cell>
          <cell r="G3018" t="str">
            <v>普通机械制造业</v>
          </cell>
        </row>
        <row r="3019">
          <cell r="E3019" t="str">
            <v>环境试验设备</v>
          </cell>
          <cell r="F3019" t="str">
            <v>指模仿环境温度、湿度、振动、冲击、盐雾、沙尘等实验的设备。包括力学环境试验设备、气候环境试验设备、可靠性试验设备、其他环境试验设备。</v>
          </cell>
          <cell r="G3019" t="str">
            <v>普通机械制造业</v>
          </cell>
        </row>
        <row r="3020">
          <cell r="E3020" t="str">
            <v>产品、材料检验专用仪器</v>
          </cell>
          <cell r="F3020" t="str">
            <v>包括手表及零件检验专用仪器、材料厚度测量或检查仪器、光学加工用中心仪、其他产品、材料检验专用仪器</v>
          </cell>
          <cell r="G3020" t="str">
            <v>普通机械制造业</v>
          </cell>
        </row>
        <row r="3021">
          <cell r="E3021" t="str">
            <v>检测器具及设备</v>
          </cell>
          <cell r="F3021" t="str">
            <v>包括车辆发动机测试设备、制帽用头形量器、正弦规、铅垂线、校验标准器、多维测量设备、测微式标准测量机、振动、膨胀、冲击测定设备、测定粘土等收缩率仪器、应力及应变特殊电测量仪器、负荷传感器、电子记时计、电子计时仪、轮廓投影仪、其他检测器具及设备</v>
          </cell>
          <cell r="G3021" t="str">
            <v>普通机械制造业</v>
          </cell>
        </row>
        <row r="3022">
          <cell r="E3022" t="str">
            <v>试验机械，相关检测仪器、器具零件</v>
          </cell>
          <cell r="F3022" t="str">
            <v>无说明</v>
          </cell>
          <cell r="G3022" t="str">
            <v>普通机械制造业</v>
          </cell>
        </row>
        <row r="3023">
          <cell r="E3023" t="str">
            <v>水污染监测仪器</v>
          </cell>
          <cell r="F3023" t="str">
            <v>包括采水器、污水流量和液位计、沉淀物采样器、水质测试仪器、水质污染监测系统、水质污染遥测系统、其他水污染监测仪器</v>
          </cell>
          <cell r="G3023" t="str">
            <v>仪器仪表及文化、办公用机械制造业</v>
          </cell>
        </row>
        <row r="3024">
          <cell r="E3024" t="str">
            <v>气体或烟雾分析、检测仪器</v>
          </cell>
          <cell r="F3024" t="str">
            <v>包括气体或烟雾分析仪、电子烟度检测器、沼气检定器、二氧化碳浓度检定器、尘埃仪、污染源采样器、空气环境质量测定仪、污染源污染物测定仪、其他气体或烟雾分析、检测仪器</v>
          </cell>
          <cell r="G3024" t="str">
            <v>仪器仪表及文化、办公用机械制造业</v>
          </cell>
        </row>
        <row r="3025">
          <cell r="E3025" t="str">
            <v>噪声监测仪器，相关环境监测仪器</v>
          </cell>
          <cell r="F3025" t="str">
            <v>包括噪声监测仪器、振动监测仪器等、放射性监测仪器、电磁波监测仪器、其他相关环境监测仪器</v>
          </cell>
          <cell r="G3025" t="str">
            <v>仪器仪表及文化、办公用机械制造业</v>
          </cell>
        </row>
        <row r="3026">
          <cell r="E3026" t="str">
            <v>汽车仪器仪表</v>
          </cell>
          <cell r="F3026" t="str">
            <v>包括车辆用速度表、里程计、车费计价计、汽车油表、其他汽车仪器仪表</v>
          </cell>
          <cell r="G3026" t="str">
            <v>交通运输设备制造业</v>
          </cell>
        </row>
        <row r="3027">
          <cell r="E3027" t="str">
            <v>计数装置</v>
          </cell>
          <cell r="F3027" t="str">
            <v>包括转数计、产量计数器、步数计（计步器）、入场计数器、电子脉冲计数器、机器工作时间计数器、台球计分器、手揿计数器、其他计数装置</v>
          </cell>
          <cell r="G3027" t="str">
            <v>交通运输设备制造业</v>
          </cell>
        </row>
        <row r="3028">
          <cell r="E3028" t="str">
            <v>速度计及转速表</v>
          </cell>
          <cell r="F3028" t="str">
            <v>指显示单位时间内的转数、速度、产量等速度计及转速表，包括速度测量仪表、精密计时系统、振荡式转速系统、离心式系统、电气式系统、其他速度计及转速表</v>
          </cell>
          <cell r="G3028" t="str">
            <v>交通运输设备制造业</v>
          </cell>
        </row>
        <row r="3029">
          <cell r="E3029" t="str">
            <v>汽车速测仪</v>
          </cell>
          <cell r="F3029" t="str">
            <v>包括汽车电子速测仪、双像速测仪、自动归算速测仪、其他汽车速测仪</v>
          </cell>
          <cell r="G3029" t="str">
            <v>交通运输设备制造业</v>
          </cell>
        </row>
        <row r="3030">
          <cell r="E3030" t="str">
            <v>频闪观测仪</v>
          </cell>
          <cell r="F3030" t="str">
            <v>无说明</v>
          </cell>
          <cell r="G3030" t="str">
            <v>交通运输设备制造业</v>
          </cell>
        </row>
        <row r="3031">
          <cell r="E3031" t="str">
            <v>计数装置、速度计及转速表零件</v>
          </cell>
          <cell r="F3031" t="str">
            <v>无说明</v>
          </cell>
          <cell r="G3031" t="str">
            <v>交通运输设备制造业</v>
          </cell>
        </row>
        <row r="3032">
          <cell r="E3032" t="str">
            <v>定向罗盘及定位系统</v>
          </cell>
          <cell r="F3032" t="str">
            <v>包括定向罗盘、卫星定位系统（GPS）、激光导向仪</v>
          </cell>
          <cell r="G3032" t="str">
            <v>仪器仪表及文化、办公用机械制造业</v>
          </cell>
        </row>
        <row r="3033">
          <cell r="E3033" t="str">
            <v>航空或航天导航仪器及装置</v>
          </cell>
          <cell r="F3033" t="str">
            <v>包括高度表、空速指示器、升降速度表、仿真地平仪及陀螺地平仪、转弯倾斜仪、马赫计、加速度计、自动驾驶仪、其他航空或航天导航仪器及装置，不包括定向罗盘及定位系统（详见109060901）。</v>
          </cell>
          <cell r="G3033" t="str">
            <v>仪器仪表及文化、办公用机械制造业</v>
          </cell>
        </row>
        <row r="3034">
          <cell r="E3034" t="str">
            <v>船舶导航系统</v>
          </cell>
          <cell r="F3034" t="str">
            <v>包括船舶定位仪器、船用天文导航设备、超声波探测或搜索设备、其他船舶导航系统</v>
          </cell>
          <cell r="G3034" t="str">
            <v>仪器仪表及文化、办公用机械制造业</v>
          </cell>
        </row>
        <row r="3035">
          <cell r="E3035" t="str">
            <v>导航仪器及装置零件、附件</v>
          </cell>
          <cell r="F3035" t="str">
            <v>无说明</v>
          </cell>
          <cell r="G3035" t="str">
            <v>仪器仪表及文化、办公用机械制造业</v>
          </cell>
        </row>
        <row r="3036">
          <cell r="E3036" t="str">
            <v>测距仪</v>
          </cell>
          <cell r="F3036" t="str">
            <v>用于直接测量被测目标和测距仪的空间距离的仪器，包括光学测距仪、光电测距仪、微波测距仪、手持测距仪、其他测距仪</v>
          </cell>
          <cell r="G3036" t="str">
            <v>仪器仪表及文化、办公用机械制造业</v>
          </cell>
        </row>
        <row r="3037">
          <cell r="E3037" t="str">
            <v>经纬仪</v>
          </cell>
          <cell r="F3037" t="str">
            <v>用于测量空间水平夹角和垂直夹角的仪器，包括光学经纬仪、电子经纬仪、激光经纬仪、陀螺经纬仪、其他经纬仪</v>
          </cell>
          <cell r="G3037" t="str">
            <v>仪器仪表及文化、办公用机械制造业</v>
          </cell>
        </row>
        <row r="3038">
          <cell r="E3038" t="str">
            <v>电子速测仪</v>
          </cell>
          <cell r="F3038" t="str">
            <v>同时具有测量水平夹角、垂直夹角和距离功能的仪器，包括组合式电子速测仪、全站型电子速测仪、陀螺电子速测仪、其他电子速测仪</v>
          </cell>
          <cell r="G3038" t="str">
            <v>仪器仪表及文化、办公用机械制造业</v>
          </cell>
        </row>
        <row r="3039">
          <cell r="E3039" t="str">
            <v>水准仪</v>
          </cell>
          <cell r="F3039" t="str">
            <v>用于测量空间两点高程差的，具有和视准轴垂直的竖轴的仪器，包括水准器水准仪、自动安平水准仪、数字水准仪、激光水准仪、其他水准仪</v>
          </cell>
          <cell r="G3039" t="str">
            <v>仪器仪表及文化、办公用机械制造业</v>
          </cell>
        </row>
        <row r="3040">
          <cell r="E3040" t="str">
            <v>平板仪</v>
          </cell>
          <cell r="F3040" t="str">
            <v>在低精度地形测量中能同时测量和绘图的简易仪器</v>
          </cell>
          <cell r="G3040" t="str">
            <v>仪器仪表及文化、办公用机械制造业</v>
          </cell>
        </row>
        <row r="3041">
          <cell r="E3041" t="str">
            <v>垂准仪</v>
          </cell>
          <cell r="F3041" t="str">
            <v>用于测量、监测垂直偏差或提供垂直基准线的仪器，包括光学垂准仪、自动安平垂准仪、激光垂准仪、其他垂准仪</v>
          </cell>
          <cell r="G3041" t="str">
            <v>仪器仪表及文化、办公用机械制造业</v>
          </cell>
        </row>
        <row r="3042">
          <cell r="E3042" t="str">
            <v>建筑施工激光仪器</v>
          </cell>
          <cell r="F3042" t="str">
            <v>用于建筑施工中的利用可见激光作为指示和基准的仪器，包括激光扫平仪、激光投线仪、激光指向仪、其他建筑施工激光仪器</v>
          </cell>
          <cell r="G3042" t="str">
            <v>仪器仪表及文化、办公用机械制造业</v>
          </cell>
        </row>
        <row r="3043">
          <cell r="E3043" t="str">
            <v>空间扫描测量仪</v>
          </cell>
          <cell r="F3043" t="str">
            <v>利用自动激光扫描测量获得被测目标表面空间点坐标的仪器，包括激光跟踪测量仪、三维激光扫描测量仪、断面扫描测量仪、其他空间扫描测量仪</v>
          </cell>
          <cell r="G3043" t="str">
            <v>仪器仪表及文化、办公用机械制造业</v>
          </cell>
        </row>
        <row r="3044">
          <cell r="E3044" t="str">
            <v>摄影测量系统</v>
          </cell>
          <cell r="F3044" t="str">
            <v>利用照相摄影采集地表影像并通过图像数据处理进行测量和测绘的仪器系统，包括近景摄影测量系统、航空摄影测量系统、其他摄影测量系统</v>
          </cell>
          <cell r="G3044" t="str">
            <v>仪器仪表及文化、办公用机械制造业</v>
          </cell>
        </row>
        <row r="3045">
          <cell r="E3045" t="str">
            <v>测量型GNSS接收机</v>
          </cell>
          <cell r="F3045" t="str">
            <v>用于测量的GNSS（全球导航卫星系统）信号接收机，包括测量型静态GNSS接收机、测量型实时差分GNSS接收机、其他测量型GNSS接收机</v>
          </cell>
          <cell r="G3045" t="str">
            <v>仪器仪表及文化、办公用机械制造业</v>
          </cell>
        </row>
        <row r="3046">
          <cell r="E3046" t="str">
            <v>大地测量仪器零件、附件</v>
          </cell>
          <cell r="F3046" t="str">
            <v>无说明</v>
          </cell>
          <cell r="G3046" t="str">
            <v>仪器仪表及文化、办公用机械制造业</v>
          </cell>
        </row>
        <row r="3047">
          <cell r="E3047" t="str">
            <v>其他大地测量仪器</v>
          </cell>
          <cell r="F3047" t="str">
            <v>无说明</v>
          </cell>
          <cell r="G3047" t="str">
            <v>仪器仪表及文化、办公用机械制造业</v>
          </cell>
        </row>
        <row r="3048">
          <cell r="E3048" t="str">
            <v>气象观测仪器</v>
          </cell>
          <cell r="F3048" t="str">
            <v>包括气象专用测温仪器及温度传感器、气象专用测湿仪器及湿度传感器、温湿组合装置及温、湿传感器、测气压仪器、测风仪器、降水蒸发仪器、辐射、日照记录仪、测云仪、能见度仪、高空探测设备、气象仪器检定设备、其他气象观测仪器</v>
          </cell>
          <cell r="G3048" t="str">
            <v>仪器仪表及文化、办公用机械制造业</v>
          </cell>
        </row>
        <row r="3049">
          <cell r="E3049" t="str">
            <v>水文仪器</v>
          </cell>
          <cell r="F3049" t="str">
            <v>包括海洋水文及其他水文仪器，可分为自动记录水位计、三用电导仪、旋杯式流速仪、旋桨式流速仪、涌浪或潮汐观测仪器、水动态测量仪、温度测量仪器、深度测量仪器、海冰测量仪器、多参数综合测量仪器、其他水文仪器</v>
          </cell>
          <cell r="G3049" t="str">
            <v>仪器仪表及文化、办公用机械制造业</v>
          </cell>
        </row>
        <row r="3050">
          <cell r="E3050" t="str">
            <v>气象、水文仪器及装置零件、附件</v>
          </cell>
          <cell r="F3050" t="str">
            <v>无说明</v>
          </cell>
          <cell r="G3050" t="str">
            <v>仪器仪表及文化、办公用机械制造业</v>
          </cell>
        </row>
        <row r="3051">
          <cell r="E3051" t="str">
            <v>其他气象、水文仪器及装置</v>
          </cell>
          <cell r="F3051" t="str">
            <v>无说明</v>
          </cell>
          <cell r="G3051" t="str">
            <v>仪器仪表及文化、办公用机械制造业</v>
          </cell>
        </row>
        <row r="3052">
          <cell r="E3052" t="str">
            <v>农、林专用仪器</v>
          </cell>
          <cell r="F3052" t="str">
            <v>包括土壤测试仪器、种子测试处理仪器、数粒仪、植物生长仪、叶绿素测定仪、活体叶绿素仪、光电叶面积仪、粮油检样器、木材水分测试仪、其他农、林专用仪器</v>
          </cell>
          <cell r="G3052" t="str">
            <v>仪器仪表及文化、办公用机械制造业</v>
          </cell>
        </row>
        <row r="3053">
          <cell r="E3053" t="str">
            <v>牧业专用仪器</v>
          </cell>
          <cell r="F3053" t="str">
            <v>包括牧草生长仪、乳脂测定仪、测膘仪、牛胃金属异物探测仪、其他牧业专用仪器</v>
          </cell>
          <cell r="G3053" t="str">
            <v>仪器仪表及文化、办公用机械制造业</v>
          </cell>
        </row>
        <row r="3054">
          <cell r="E3054" t="str">
            <v>渔业专用仪器</v>
          </cell>
          <cell r="F3054" t="str">
            <v>包括探鱼仪、虾苗放流计数仪、其他渔业专用仪器</v>
          </cell>
          <cell r="G3054" t="str">
            <v>仪器仪表及文化、办公用机械制造业</v>
          </cell>
        </row>
        <row r="3055">
          <cell r="E3055" t="str">
            <v>测震仪器</v>
          </cell>
          <cell r="F3055" t="str">
            <v>包括甚宽频带测震仪器、宽频带测震仪器、短周期地震仪器、其他测震仪器</v>
          </cell>
          <cell r="G3055" t="str">
            <v>仪器仪表及文化、办公用机械制造业</v>
          </cell>
        </row>
        <row r="3056">
          <cell r="E3056" t="str">
            <v>地震前兆仪器</v>
          </cell>
          <cell r="F3056" t="str">
            <v>包括地下流体观测仪器、形变仪器、电磁仪器、强震仪器</v>
          </cell>
          <cell r="G3056" t="str">
            <v>仪器仪表及文化、办公用机械制造业</v>
          </cell>
        </row>
        <row r="3057">
          <cell r="E3057" t="str">
            <v>其他地震专用仪器</v>
          </cell>
          <cell r="F3057" t="str">
            <v>无说明</v>
          </cell>
          <cell r="G3057" t="str">
            <v>仪器仪表及文化、办公用机械制造业</v>
          </cell>
        </row>
        <row r="3058">
          <cell r="E3058" t="str">
            <v>金属、矿藏探测器</v>
          </cell>
          <cell r="F3058" t="str">
            <v>包括金属探测器、井中物探仪器、核物探仪器、化探仪器、其他矿藏探测器</v>
          </cell>
          <cell r="G3058" t="str">
            <v>仪器仪表及文化、办公用机械制造业</v>
          </cell>
        </row>
        <row r="3059">
          <cell r="E3059" t="str">
            <v>钻探测试、分析仪器</v>
          </cell>
          <cell r="F3059" t="str">
            <v>包括钻探测井仪器、泥浆分析仪器、岩矿物理性质测量仪、其他钻探测试、分析仪器</v>
          </cell>
          <cell r="G3059" t="str">
            <v>仪器仪表及文化、办公用机械制造业</v>
          </cell>
        </row>
        <row r="3060">
          <cell r="E3060" t="str">
            <v>金属、矿藏探测器零件</v>
          </cell>
          <cell r="F3060" t="str">
            <v>无说明</v>
          </cell>
          <cell r="G3060" t="str">
            <v>仪器仪表及文化、办公用机械制造业</v>
          </cell>
        </row>
        <row r="3061">
          <cell r="E3061" t="str">
            <v>电气化教学设备</v>
          </cell>
          <cell r="F3061" t="str">
            <v>包括教学演示瓦特表、教学演示用直流电流表、教学演示用直流电压电表、教学演示交流电表、教学演示用交流电压电表、其他电气化教学设备</v>
          </cell>
          <cell r="G3061" t="str">
            <v>仪器仪表及文化、办公用机械制造业</v>
          </cell>
        </row>
        <row r="3062">
          <cell r="E3062" t="str">
            <v>供示范用机器或装置</v>
          </cell>
          <cell r="F3062" t="str">
            <v>包括维姆休斯特起电机、阿特伍德机械、马德堡半球、格氏环、牛顿盘、其他供示范用机器或装置</v>
          </cell>
          <cell r="G3062" t="str">
            <v>仪器仪表及文化、办公用机械制造业</v>
          </cell>
        </row>
        <row r="3063">
          <cell r="E3063" t="str">
            <v>其他教学专用仪器</v>
          </cell>
          <cell r="F3063" t="str">
            <v>无说明</v>
          </cell>
          <cell r="G3063" t="str">
            <v>仪器仪表及文化、办公用机械制造业</v>
          </cell>
        </row>
        <row r="3064">
          <cell r="E3064" t="str">
            <v>离子射线测量或检验仪器</v>
          </cell>
          <cell r="F3064" t="str">
            <v>指α射线、β射线、γ射线、Ｘ射线、宇宙射线或其他离子射线的测量或检验仪器及装置，包括带有电离室检测仪器、盖革计数器、电离室、辐射剂量仪及类似设备、测量宇宙射线设备、热电堆中子探测仪器、热电堆中子测量仪器、射线测量或探测仪器、其他离子射线测量或检验仪器</v>
          </cell>
          <cell r="G3064" t="str">
            <v>仪器仪表及文化、办公用机械制造业</v>
          </cell>
        </row>
        <row r="3065">
          <cell r="E3065" t="str">
            <v>离子射线应用设备</v>
          </cell>
          <cell r="F3065" t="str">
            <v>包括离子射线检验设备、离子射线测量仪器设备、电离风速计、其他离子射线应用设备</v>
          </cell>
          <cell r="G3065" t="str">
            <v>仪器仪表及文化、办公用机械制造业</v>
          </cell>
        </row>
        <row r="3066">
          <cell r="E3066" t="str">
            <v>核辐射监测报警仪器</v>
          </cell>
          <cell r="F3066" t="str">
            <v>包括射线烟雾探测器火灾报警器、核辐射剂量监测报警仪器、核反应堆用记录、监测仪器、核反应堆用报警仪器、其他核辐射监测报警仪器</v>
          </cell>
          <cell r="G3066" t="str">
            <v>仪器仪表及文化、办公用机械制造业</v>
          </cell>
        </row>
        <row r="3067">
          <cell r="E3067" t="str">
            <v>放射性物体加工计量仪器</v>
          </cell>
          <cell r="F3067" t="str">
            <v>无说明</v>
          </cell>
          <cell r="G3067" t="str">
            <v>仪器仪表及文化、办公用机械制造业</v>
          </cell>
        </row>
        <row r="3068">
          <cell r="E3068" t="str">
            <v>辐照加工用仪器设备</v>
          </cell>
          <cell r="F3068" t="str">
            <v>无说明</v>
          </cell>
          <cell r="G3068" t="str">
            <v>仪器仪表及文化、办公用机械制造业</v>
          </cell>
        </row>
        <row r="3069">
          <cell r="E3069" t="str">
            <v>辐射无损检测、探伤仪器</v>
          </cell>
          <cell r="F3069" t="str">
            <v>无说明</v>
          </cell>
          <cell r="G3069" t="str">
            <v>仪器仪表及文化、办公用机械制造业</v>
          </cell>
        </row>
        <row r="3070">
          <cell r="E3070" t="str">
            <v>其他核子及核辐射测量仪器</v>
          </cell>
          <cell r="F3070" t="str">
            <v>无说明</v>
          </cell>
          <cell r="G3070" t="str">
            <v>仪器仪表及文化、办公用机械制造业</v>
          </cell>
        </row>
        <row r="3071">
          <cell r="E3071" t="str">
            <v>光学检测仪器及设备</v>
          </cell>
          <cell r="F3071" t="str">
            <v>包括氦质谱检漏台、半导体器件光学检验仪器、光学或分度尺比较仪、光学表面检查仪、光学测角仪或角规、比长仪工作台、干涉仪、校直望远镜、光学尺、测微读数装置、焦距计、其他光学检测仪器及设备</v>
          </cell>
          <cell r="G3071" t="str">
            <v>仪器仪表及文化、办公用机械制造业</v>
          </cell>
        </row>
        <row r="3072">
          <cell r="E3072" t="str">
            <v>通信测量仪器</v>
          </cell>
          <cell r="F3072" t="str">
            <v>包括有线通信测量仪器、无线通信测量仪器、移动通信测量仪器、光通信测量仪器、光纤特性测量仪器、网络通信测量仪器、基站测量仪器、手机测量仪器、其他通信测量仪器</v>
          </cell>
          <cell r="G3072" t="str">
            <v>仪器仪表及文化、办公用机械制造业</v>
          </cell>
        </row>
        <row r="3073">
          <cell r="E3073" t="str">
            <v>通用电子测量仪器</v>
          </cell>
          <cell r="F3073" t="str">
            <v>包括频率测量仪器、电子计数器、时间测量仪器、电压测量仪器、LCR电桥、电子元器件参数测量仪器、信号发生器（通用电子）、脉冲测量仪器、频谱波形分析仪、逻辑分析仪（通用电子）、频谱分析仪（通用电子）、扫频仪、网络分析仪、功率计及探头、噪声系数测试仪、超低频测量仪、总线测量仪器</v>
          </cell>
          <cell r="G3073" t="str">
            <v>仪器仪表及文化、办公用机械制造业</v>
          </cell>
        </row>
        <row r="3074">
          <cell r="E3074" t="str">
            <v>广播电视测量仪器</v>
          </cell>
          <cell r="F3074" t="str">
            <v>包括音视频测量仪器、数字电视测量仪器</v>
          </cell>
          <cell r="G3074" t="str">
            <v>仪器仪表及文化、办公用机械制造业</v>
          </cell>
        </row>
        <row r="3075">
          <cell r="E3075" t="str">
            <v>新型显示器件测量仪器</v>
          </cell>
          <cell r="F3075" t="str">
            <v>包括TFT-LCD、PDP、OLED平板显示器件测试仪器、LED发光器件测量仪器、其他新型显示器件测量仪器</v>
          </cell>
          <cell r="G3075" t="str">
            <v>仪器仪表及文化、办公用机械制造业</v>
          </cell>
        </row>
        <row r="3076">
          <cell r="E3076" t="str">
            <v>新型材料测试仪器</v>
          </cell>
          <cell r="F3076" t="str">
            <v>包括半导体材料测试仪器、新型显示器件材料测试仪器、光电子材料测试仪器、磁性材料测试仪器、电子功能材料测试仪器、其他新型材料测试仪器</v>
          </cell>
          <cell r="G3076" t="str">
            <v>仪器仪表及文化、办公用机械制造业</v>
          </cell>
        </row>
        <row r="3077">
          <cell r="E3077" t="str">
            <v>集成电路测试仪器</v>
          </cell>
          <cell r="F3077" t="str">
            <v>包括数字IC测试仪、混合IC测试仪、SOC测试仪、边界扫描测试仪、其他集成电路测试仪器</v>
          </cell>
          <cell r="G3077" t="str">
            <v>仪器仪表及文化、办公用机械制造业</v>
          </cell>
        </row>
        <row r="3078">
          <cell r="E3078" t="str">
            <v>微波测量仪器</v>
          </cell>
          <cell r="F3078" t="str">
            <v>包括微波网络特性测试仪及网络分析仪、雷达综合测试仪、微波功率放大器、微波漏能测试仪、微波同轴器件、微波波导器件、微波集成器件、其他微波测量仪器</v>
          </cell>
          <cell r="G3078" t="str">
            <v>仪器仪表及文化、办公用机械制造业</v>
          </cell>
        </row>
        <row r="3079">
          <cell r="E3079" t="str">
            <v>印制电路板测量仪器</v>
          </cell>
          <cell r="F3079" t="str">
            <v>无说明</v>
          </cell>
          <cell r="G3079" t="str">
            <v>仪器仪表及文化、办公用机械制造业</v>
          </cell>
        </row>
        <row r="3080">
          <cell r="E3080" t="str">
            <v>声学测量仪器</v>
          </cell>
          <cell r="F3080" t="str">
            <v>包括声级计和噪声测量仪、电声测量仪、震动测量仪、噪声显示屏</v>
          </cell>
          <cell r="G3080" t="str">
            <v>仪器仪表及文化、办公用机械制造业</v>
          </cell>
        </row>
        <row r="3081">
          <cell r="E3081" t="str">
            <v>干扰场强测量仪器</v>
          </cell>
          <cell r="F3081" t="str">
            <v>无说明</v>
          </cell>
          <cell r="G3081" t="str">
            <v>仪器仪表及文化、办公用机械制造业</v>
          </cell>
        </row>
        <row r="3082">
          <cell r="E3082" t="str">
            <v>电子测量仪器零、附件</v>
          </cell>
          <cell r="F3082" t="str">
            <v>无说明</v>
          </cell>
          <cell r="G3082" t="str">
            <v>仪器仪表及文化、办公用机械制造业</v>
          </cell>
        </row>
        <row r="3083">
          <cell r="E3083" t="str">
            <v>其他光学、电子测量仪器</v>
          </cell>
          <cell r="F3083" t="str">
            <v>无说明</v>
          </cell>
          <cell r="G3083" t="str">
            <v>仪器仪表及文化、办公用机械制造业</v>
          </cell>
        </row>
        <row r="3084">
          <cell r="E3084" t="str">
            <v>纺织专用测试仪器</v>
          </cell>
          <cell r="F3084" t="str">
            <v>包括纺织品测试仪器、检验纺织材料设备</v>
          </cell>
          <cell r="G3084" t="str">
            <v>仪器仪表及文化、办公用机械制造业</v>
          </cell>
        </row>
        <row r="3085">
          <cell r="E3085" t="str">
            <v>其他纺织相关专用测试仪器</v>
          </cell>
          <cell r="F3085" t="str">
            <v>无说明</v>
          </cell>
          <cell r="G3085" t="str">
            <v>仪器仪表及文化、办公用机械制造业</v>
          </cell>
        </row>
        <row r="3086">
          <cell r="E3086" t="str">
            <v>钟</v>
          </cell>
          <cell r="F3086" t="str">
            <v>包括石英电子钟、机械钟、电波钟、设备、仪器仪表用钟、其他钟，不包括考勤钟等时间记录器及类似计时仪器（详见109061807）。</v>
          </cell>
          <cell r="G3086" t="str">
            <v>普通机械制造业</v>
          </cell>
        </row>
        <row r="3087">
          <cell r="E3087" t="str">
            <v>高档手表</v>
          </cell>
          <cell r="F3087" t="str">
            <v>销售价格（不含增值税）每只在10000元（含）以上的各类手表。包括石英电子手表、机械手表、电波表、其他手表</v>
          </cell>
          <cell r="G3087" t="str">
            <v>普通机械制造业</v>
          </cell>
        </row>
        <row r="3088">
          <cell r="E3088" t="str">
            <v>其他表</v>
          </cell>
          <cell r="F3088" t="str">
            <v>不包括高档手表（详见109061802)、停车计时表、时刻记录器等时间记录器及类似计时仪器（详见109061807）。</v>
          </cell>
          <cell r="G3088" t="str">
            <v>普通机械制造业</v>
          </cell>
        </row>
        <row r="3089">
          <cell r="E3089" t="str">
            <v>组装钟表机心</v>
          </cell>
          <cell r="F3089" t="str">
            <v>指已组装的完整钟表心，包括表机心（石英电子表心、机械表心、其他表机心）、钟机心（其他钟机心、机械表心、其他表机心）</v>
          </cell>
          <cell r="G3089" t="str">
            <v>普通机械制造业</v>
          </cell>
        </row>
        <row r="3090">
          <cell r="E3090" t="str">
            <v>未组装钟表机心</v>
          </cell>
          <cell r="F3090" t="str">
            <v>包括未组装或部分组装完整钟表心，不完整钟表心，包括未组装表机心、未组装钟机心</v>
          </cell>
          <cell r="G3090" t="str">
            <v>普通机械制造业</v>
          </cell>
        </row>
        <row r="3091">
          <cell r="E3091" t="str">
            <v>定时器</v>
          </cell>
          <cell r="F3091" t="str">
            <v>包括定时开关，指装有钟、表机心或同步电动机，能在设定时间段（通常根据每日或每周预先设定的时间或程序所规定的时间段）报时或自动接通或断开电源的装置。可分为电子式定时器、机械式定时器、其他定时器</v>
          </cell>
          <cell r="G3091" t="str">
            <v>普通机械制造业</v>
          </cell>
        </row>
        <row r="3092">
          <cell r="E3092" t="str">
            <v>时间记录器及类似计时仪器</v>
          </cell>
          <cell r="F3092" t="str">
            <v>指包括记录、测量或指示时间的装置，可分为考勤钟、时刻记录器、停车计时表、时段测量仪、其他时间记录器及类似计时仪器</v>
          </cell>
          <cell r="G3092" t="str">
            <v>普通机械制造业</v>
          </cell>
        </row>
        <row r="3093">
          <cell r="E3093" t="str">
            <v>钟表零配件</v>
          </cell>
          <cell r="F3093" t="str">
            <v>可分为钟表元配件、表壳及其零件、钟壳及其零件，不包括已组装的完整表机心和钟机心（详见109061804），以及未组装钟表机心（含未组装或部分组装完整钟表机心和不完整钟表机心）（详见109061805）。</v>
          </cell>
          <cell r="G3093" t="str">
            <v>普通机械制造业</v>
          </cell>
        </row>
        <row r="3094">
          <cell r="E3094" t="str">
            <v>表带及其零件</v>
          </cell>
          <cell r="F3094" t="str">
            <v>包括贵金属表带、其他金属表带及其零件、皮革制表带、化纤制表带、塑料制表带、其他非金属表带及其零件</v>
          </cell>
          <cell r="G3094" t="str">
            <v>普通机械制造业</v>
          </cell>
        </row>
        <row r="3095">
          <cell r="E3095" t="str">
            <v>光学望远镜</v>
          </cell>
          <cell r="F3095" t="str">
            <v>包括望远镜座架，可分为双筒望远镜、天文望远镜、单筒望远镜、其他光学望远镜</v>
          </cell>
          <cell r="G3095" t="str">
            <v>仪器仪表及文化、办公用机械制造业</v>
          </cell>
        </row>
        <row r="3096">
          <cell r="E3096" t="str">
            <v>天文仪器</v>
          </cell>
          <cell r="F3096" t="str">
            <v>包括中星仪、赤道仪、天顶仪、地平经纬仪、地平经度度盘、日光摄谱仪、日光观测镜、定天镜、量日仪、日冕仪、其他天文仪器，不包括天文望远镜（详见109061901）。</v>
          </cell>
          <cell r="G3096" t="str">
            <v>仪器仪表及文化、办公用机械制造业</v>
          </cell>
        </row>
        <row r="3097">
          <cell r="E3097" t="str">
            <v>显微镜</v>
          </cell>
          <cell r="F3097" t="str">
            <v>包括光学显微镜、医用非光学显微镜设备、电子显微镜、质子显微镜、其他显微镜</v>
          </cell>
          <cell r="G3097" t="str">
            <v>仪器仪表及文化、办公用机械制造业</v>
          </cell>
        </row>
        <row r="3098">
          <cell r="E3098" t="str">
            <v>望远镜瞄准具及类似器具</v>
          </cell>
          <cell r="F3098" t="str">
            <v>包括武器望远瞄准具、潜望望远镜、仪器或器具部件望远镜、激光器及激光器系统、放大镜、光学门眼、光学光束信号设备、体视镜、其他望远镜瞄准具及类似器具</v>
          </cell>
          <cell r="G3098" t="str">
            <v>仪器仪表及文化、办公用机械制造业</v>
          </cell>
        </row>
        <row r="3099">
          <cell r="E3099" t="str">
            <v>物镜</v>
          </cell>
          <cell r="F3099" t="str">
            <v>包括照相机用物镜、摄影机用物镜、放映机用物镜、缩微阅读机用物镜、放大机用物镜、缩片机用物镜、投影仪用物镜、其他物镜</v>
          </cell>
          <cell r="G3099" t="str">
            <v>仪器仪表及文化、办公用机械制造业</v>
          </cell>
        </row>
        <row r="3100">
          <cell r="E3100" t="str">
            <v>已装配光学元件</v>
          </cell>
          <cell r="F3100" t="str">
            <v>可分为滤色镜、照相机用附加镜、照相机用取景器、偏振滤光镜、目镜及物镜、棱镜、透镜、反射镜、已装配半色调网屏、其他已装配光学元件，不包括物镜（详见109061905）。</v>
          </cell>
          <cell r="G3100" t="str">
            <v>仪器仪表及文化、办公用机械制造业</v>
          </cell>
        </row>
        <row r="3101">
          <cell r="E3101" t="str">
            <v>偏振材料制片及板</v>
          </cell>
          <cell r="F3101" t="str">
            <v>无说明</v>
          </cell>
          <cell r="G3101" t="str">
            <v>仪器仪表及文化、办公用机械制造业</v>
          </cell>
        </row>
        <row r="3102">
          <cell r="E3102" t="str">
            <v>光学仪器零件、附件</v>
          </cell>
          <cell r="F3102" t="str">
            <v>包括光学望远镜及天文仪器零件、复式光学显微镜零件、附件、其他光学仪器零件、附件</v>
          </cell>
          <cell r="G3102" t="str">
            <v>仪器仪表及文化、办公用机械制造业</v>
          </cell>
        </row>
        <row r="3103">
          <cell r="E3103" t="str">
            <v>眼镜成镜</v>
          </cell>
          <cell r="F3103" t="str">
            <v>包括矫正视力用眼镜、护目眼镜</v>
          </cell>
          <cell r="G3103" t="str">
            <v>普通机械制造业</v>
          </cell>
        </row>
        <row r="3104">
          <cell r="E3104" t="str">
            <v>眼镜片</v>
          </cell>
          <cell r="F3104" t="str">
            <v>包括角膜接触镜（隐形眼镜）、光学玻璃制眼镜片、树脂材料制眼镜片、其他眼镜片</v>
          </cell>
          <cell r="G3104" t="str">
            <v>普通机械制造业</v>
          </cell>
        </row>
        <row r="3105">
          <cell r="E3105" t="str">
            <v>眼镜框架及其零件</v>
          </cell>
          <cell r="F3105" t="str">
            <v>包括眼镜脚及眼镜脚芯、铰链或接头、镜圈、鼻梁架、托叶、夹鼻眼镜的弹簧装置、长柄眼镜的柄把等</v>
          </cell>
          <cell r="G3105" t="str">
            <v>普通机械制造业</v>
          </cell>
        </row>
        <row r="3106">
          <cell r="E3106" t="str">
            <v>眼镜盒（袋）</v>
          </cell>
          <cell r="F3106" t="str">
            <v>一种为了携带方便而用于盛放眼镜的工具</v>
          </cell>
          <cell r="G3106" t="str">
            <v>普通机械制造业</v>
          </cell>
        </row>
        <row r="3107">
          <cell r="E3107" t="str">
            <v>电影摄影机</v>
          </cell>
          <cell r="F3107" t="str">
            <v>包括普通电影摄影机、特种电影摄影机、同期录音电影摄影机</v>
          </cell>
          <cell r="G3107" t="str">
            <v>普通机械制造业</v>
          </cell>
        </row>
        <row r="3108">
          <cell r="E3108" t="str">
            <v>电影放映机</v>
          </cell>
          <cell r="F3108" t="str">
            <v>包括模拟、数字电影放映机，可分为固定式电影放映机、便携式电影放映机、数字电影放映机、流动式数字电影放映设备、其他电影放映机</v>
          </cell>
          <cell r="G3108" t="str">
            <v>普通机械制造业</v>
          </cell>
        </row>
        <row r="3109">
          <cell r="E3109" t="str">
            <v>电路投影装置</v>
          </cell>
          <cell r="F3109" t="str">
            <v>指将电路绘制到感光半导体材料上的装置，包括直接记录到晶片上装置、分步重复校准器、其他电路投影装置</v>
          </cell>
          <cell r="G3109" t="str">
            <v>普通机械制造业</v>
          </cell>
        </row>
        <row r="3110">
          <cell r="E3110" t="str">
            <v>银幕</v>
          </cell>
          <cell r="F3110" t="str">
            <v>包括电影银幕、投影屏幕</v>
          </cell>
          <cell r="G3110" t="str">
            <v>普通机械制造业</v>
          </cell>
        </row>
        <row r="3111">
          <cell r="E3111" t="str">
            <v>电影设备零件和附件</v>
          </cell>
          <cell r="F3111" t="str">
            <v>包括电影摄影机零件、附件、电影放映机零件、附件</v>
          </cell>
          <cell r="G3111" t="str">
            <v>普通机械制造业</v>
          </cell>
        </row>
        <row r="3112">
          <cell r="E3112" t="str">
            <v>照相机</v>
          </cell>
          <cell r="F3112" t="str">
            <v>包括通用照相机、数码照相机、制版照相机、专用特种照相机</v>
          </cell>
          <cell r="G3112" t="str">
            <v>普通机械制造业</v>
          </cell>
        </row>
        <row r="3113">
          <cell r="E3113" t="str">
            <v>照相机器材</v>
          </cell>
          <cell r="F3113" t="str">
            <v>包括闪光灯装置、照片放大机、照片缩片机、其他照相机器材</v>
          </cell>
          <cell r="G3113" t="str">
            <v>普通机械制造业</v>
          </cell>
        </row>
        <row r="3114">
          <cell r="E3114" t="str">
            <v>缩微设备</v>
          </cell>
          <cell r="F3114" t="str">
            <v>不包括缩微照相机（详见109062201），可分为缩微胶卷阅读机、缩微胶片阅读机、缩微胶片装片机、缩微品检索设备、缩微品阅读复印机、缩微品放大复印机、其他缩微设备</v>
          </cell>
          <cell r="G3114" t="str">
            <v>普通机械制造业</v>
          </cell>
        </row>
        <row r="3115">
          <cell r="E3115" t="str">
            <v>照相机、缩微阅读机零件</v>
          </cell>
          <cell r="F3115" t="str">
            <v>包括照相机零件、附件、照相闪光灯装置零件、缩微阅读机零件、照片放大机及缩片机零件</v>
          </cell>
          <cell r="G3115" t="str">
            <v>普通机械制造业</v>
          </cell>
        </row>
        <row r="3116">
          <cell r="E3116" t="str">
            <v>自动洗印设备</v>
          </cell>
          <cell r="F3116" t="str">
            <v>包括照相胶卷或成卷感光纸的自动洗印设备，可分为电影胶卷自动洗印设备、特种照相用胶卷自动洗印设备、成卷感光纸自动洗印设备、彩色胶卷洗印设备、数码冲印设备、公安数码制证设备、其他自动洗印设备</v>
          </cell>
          <cell r="G3116" t="str">
            <v>普通机械制造业</v>
          </cell>
        </row>
        <row r="3117">
          <cell r="E3117" t="str">
            <v>非自动洗印用装置和设备</v>
          </cell>
          <cell r="F3117" t="str">
            <v>照相、电影洗印用其他装置和设备，包括负片显示器、胶片分裁机、胶片拷贝机、印片机、上光机（照相洗印用）、电影片缩印机、放大印片机、光学技巧机、同步配音控制设备、影片剪辑设备、加工处理影片剪辑台、影片字幕放映设备、数码片夹、其他非自动洗印用装置和设备</v>
          </cell>
          <cell r="G3117" t="str">
            <v>普通机械制造业</v>
          </cell>
        </row>
        <row r="3118">
          <cell r="E3118" t="str">
            <v>照相及电影洗印设备零件</v>
          </cell>
          <cell r="F3118" t="str">
            <v>包括照相及电影通用洗印设备及装置的零件、附件</v>
          </cell>
          <cell r="G3118" t="str">
            <v>普通机械制造业</v>
          </cell>
        </row>
        <row r="3119">
          <cell r="E3119" t="str">
            <v>幻灯机</v>
          </cell>
          <cell r="F3119" t="str">
            <v>包括小型幻灯机、大型固定式幻灯机，可分为自动程序控制幻灯机、氙灯光源幻灯机、其他幻灯机</v>
          </cell>
          <cell r="G3119" t="str">
            <v>普通机械制造业</v>
          </cell>
        </row>
        <row r="3120">
          <cell r="E3120" t="str">
            <v>投影仪</v>
          </cell>
          <cell r="F3120" t="str">
            <v>电影用影像投影仪除外（详见109062102），包括正射投影仪、光谱投影仪、显微投影仪、透射式投影仪、反射式投影仪、其他投影仪</v>
          </cell>
          <cell r="G3120" t="str">
            <v>普通机械制造业</v>
          </cell>
        </row>
        <row r="3121">
          <cell r="E3121" t="str">
            <v>幻灯及投影设备附件、零件</v>
          </cell>
          <cell r="F3121" t="str">
            <v>无说明</v>
          </cell>
          <cell r="G3121" t="str">
            <v>普通机械制造业</v>
          </cell>
        </row>
        <row r="3122">
          <cell r="E3122" t="str">
            <v>静电复印设备</v>
          </cell>
          <cell r="F3122" t="str">
            <v>采用静电方式将原稿通过光导鼓成像方式复制文件或图像的设备，包括模拟式复印设备、数字式复印设备、多功能一体机、多功能印刷机或印艺系统、喷墨复印机、重氮复印机（晒图机）、热敏复印设备、银盐复印设备</v>
          </cell>
          <cell r="G3122" t="str">
            <v>普通机械制造业</v>
          </cell>
        </row>
        <row r="3123">
          <cell r="E3123" t="str">
            <v>胶印设备</v>
          </cell>
          <cell r="F3123" t="str">
            <v>采用水墨分离原理，将事先制好的印版复制成印品的设备；包括A2或A2以下幅面的单色小胶印机、彩色（或多色）小胶印机</v>
          </cell>
          <cell r="G3123" t="str">
            <v>普通机械制造业</v>
          </cell>
        </row>
        <row r="3124">
          <cell r="E3124" t="str">
            <v>办公印刷设备</v>
          </cell>
          <cell r="F3124" t="str">
            <v>采用油墨在事先制好的镂板上印刷方式的设备，包括油印机、速印机、胶版复印机、其他办公印刷设备</v>
          </cell>
          <cell r="G3124" t="str">
            <v>普通机械制造业</v>
          </cell>
        </row>
        <row r="3125">
          <cell r="E3125" t="str">
            <v>复印设备配套装置、零件</v>
          </cell>
          <cell r="F3125" t="str">
            <v>包括文件自动送入器、送纸器、分页器、盖章装置、有机光导体感光鼓、成像卡盒组件（总成）、黑色显影剂及装置、彩色显影剂及装置、其他复印设备配套装置、零件</v>
          </cell>
          <cell r="G3125" t="str">
            <v>普通机械制造业</v>
          </cell>
        </row>
        <row r="3126">
          <cell r="E3126" t="str">
            <v>其他复印和胶版印制设备</v>
          </cell>
          <cell r="F3126" t="str">
            <v>无说明</v>
          </cell>
          <cell r="G3126" t="str">
            <v>普通机械制造业</v>
          </cell>
        </row>
        <row r="3127">
          <cell r="E3127" t="str">
            <v>税控加油机</v>
          </cell>
          <cell r="F3127" t="str">
            <v>无说明</v>
          </cell>
          <cell r="G3127" t="str">
            <v>普通机械制造业</v>
          </cell>
        </row>
        <row r="3128">
          <cell r="E3128" t="str">
            <v>税控收款机</v>
          </cell>
          <cell r="F3128" t="str">
            <v>无说明</v>
          </cell>
          <cell r="G3128" t="str">
            <v>普通机械制造业</v>
          </cell>
        </row>
        <row r="3129">
          <cell r="E3129" t="str">
            <v>其他装有计算和电子装置设备</v>
          </cell>
          <cell r="F3129" t="str">
            <v>无说明</v>
          </cell>
          <cell r="G3129" t="str">
            <v>普通机械制造业</v>
          </cell>
        </row>
        <row r="3130">
          <cell r="E3130" t="str">
            <v>银行专用机器</v>
          </cell>
          <cell r="F3130" t="str">
            <v>包括自动柜员机（ATM机）、硬币分类机、硬币计数机、验钞机、点钞机、清分机、复点机、自动登折机、其他银行专用机器</v>
          </cell>
          <cell r="G3130" t="str">
            <v>普通机械制造业</v>
          </cell>
        </row>
        <row r="3131">
          <cell r="E3131" t="str">
            <v>打字机及文字处理机</v>
          </cell>
          <cell r="F3131" t="str">
            <v>包括打字机、文字处理机</v>
          </cell>
          <cell r="G3131" t="str">
            <v>普通机械制造业</v>
          </cell>
        </row>
        <row r="3132">
          <cell r="E3132" t="str">
            <v>削笔类用具</v>
          </cell>
          <cell r="F3132" t="str">
            <v>包括手动削笔机、电动削笔机、卷笔刀、削笔刀、其他削笔类用具</v>
          </cell>
          <cell r="G3132" t="str">
            <v>普通机械制造业</v>
          </cell>
        </row>
        <row r="3133">
          <cell r="E3133" t="str">
            <v>文件装订用机械</v>
          </cell>
          <cell r="F3133" t="str">
            <v>不包括订书枪、装订书籍用的订书机器（详见109022203），可分为订书机、打孔机、订折机、其他文件装订用机械</v>
          </cell>
          <cell r="G3133" t="str">
            <v>普通机械制造业</v>
          </cell>
        </row>
        <row r="3134">
          <cell r="E3134" t="str">
            <v>其他文化、办公用设备或器具</v>
          </cell>
          <cell r="F3134" t="str">
            <v>无说明</v>
          </cell>
          <cell r="G3134" t="str">
            <v>普通机械制造业</v>
          </cell>
        </row>
        <row r="3135">
          <cell r="E3135" t="str">
            <v>其他仪器仪表及文化、办公用机械</v>
          </cell>
          <cell r="F3135" t="str">
            <v>无说明</v>
          </cell>
          <cell r="G3135" t="str">
            <v>仪器仪表及文化、办公用机械制造业</v>
          </cell>
        </row>
        <row r="3136">
          <cell r="E3136" t="str">
            <v>其他机械、设备类产品</v>
          </cell>
          <cell r="F3136" t="str">
            <v>无说明</v>
          </cell>
          <cell r="G3136" t="str">
            <v>普通机械制造业</v>
          </cell>
        </row>
        <row r="3137">
          <cell r="E3137" t="str">
            <v>火力发电</v>
          </cell>
          <cell r="F3137" t="str">
            <v>包括以煤炭、石油、天然气、余热、余气为能源发电以及其他火力发电</v>
          </cell>
          <cell r="G3137" t="str">
            <v>电力、蒸汽、热水生产和供应业</v>
          </cell>
        </row>
        <row r="3138">
          <cell r="E3138" t="str">
            <v>5万千瓦以下（含5万千瓦）水力发电</v>
          </cell>
          <cell r="F3138" t="str">
            <v>无说明</v>
          </cell>
          <cell r="G3138" t="str">
            <v>电力、蒸汽、热水生产和供应业</v>
          </cell>
        </row>
        <row r="3139">
          <cell r="E3139" t="str">
            <v>5万千瓦以上（不含5万千瓦）100万千瓦（含）以下水力发电</v>
          </cell>
          <cell r="F3139" t="str">
            <v>无说明</v>
          </cell>
          <cell r="G3139" t="str">
            <v>电力、蒸汽、热水生产和供应业</v>
          </cell>
        </row>
        <row r="3140">
          <cell r="E3140" t="str">
            <v>100万千瓦以上（不含100万千瓦）水力发电</v>
          </cell>
          <cell r="F3140" t="str">
            <v>无说明</v>
          </cell>
          <cell r="G3140" t="str">
            <v>电力、蒸汽、热水生产和供应业</v>
          </cell>
        </row>
        <row r="3141">
          <cell r="E3141" t="str">
            <v>核能发电</v>
          </cell>
          <cell r="F3141" t="str">
            <v>无说明</v>
          </cell>
          <cell r="G3141" t="str">
            <v>电力、蒸汽、热水生产和供应业</v>
          </cell>
        </row>
        <row r="3142">
          <cell r="E3142" t="str">
            <v>太阳能发电</v>
          </cell>
          <cell r="F3142" t="str">
            <v>无说明</v>
          </cell>
          <cell r="G3142" t="str">
            <v>电力、蒸汽、热水生产和供应业</v>
          </cell>
        </row>
        <row r="3143">
          <cell r="E3143" t="str">
            <v>风力发电</v>
          </cell>
          <cell r="F3143" t="str">
            <v>无说明</v>
          </cell>
          <cell r="G3143" t="str">
            <v>电力、蒸汽、热水生产和供应业</v>
          </cell>
        </row>
        <row r="3144">
          <cell r="E3144" t="str">
            <v>潮汐能发电</v>
          </cell>
          <cell r="F3144" t="str">
            <v>无说明</v>
          </cell>
          <cell r="G3144" t="str">
            <v>电力、蒸汽、热水生产和供应业</v>
          </cell>
        </row>
        <row r="3145">
          <cell r="E3145" t="str">
            <v>沼气发电</v>
          </cell>
          <cell r="F3145" t="str">
            <v>无说明</v>
          </cell>
          <cell r="G3145" t="str">
            <v>电力、蒸汽、热水生产和供应业</v>
          </cell>
        </row>
        <row r="3146">
          <cell r="E3146" t="str">
            <v>地热能发电</v>
          </cell>
          <cell r="F3146" t="str">
            <v>无说明</v>
          </cell>
          <cell r="G3146" t="str">
            <v>电力、蒸汽、热水生产和供应业</v>
          </cell>
        </row>
        <row r="3147">
          <cell r="E3147" t="str">
            <v>垃圾发电</v>
          </cell>
          <cell r="F3147" t="str">
            <v>无说明</v>
          </cell>
          <cell r="G3147" t="str">
            <v>电力、蒸汽、热水生产和供应业</v>
          </cell>
        </row>
        <row r="3148">
          <cell r="E3148" t="str">
            <v>竹木生物质燃料发电</v>
          </cell>
          <cell r="F3148" t="str">
            <v>无说明</v>
          </cell>
          <cell r="G3148" t="str">
            <v>电力、蒸汽、热水生产和供应业</v>
          </cell>
        </row>
        <row r="3149">
          <cell r="E3149" t="str">
            <v>其他发电</v>
          </cell>
          <cell r="F3149" t="str">
            <v>指其他能源发电，包括生物能发电、余热发电、余压发电</v>
          </cell>
          <cell r="G3149" t="str">
            <v>电力、蒸汽、热水生产和供应业</v>
          </cell>
        </row>
        <row r="3150">
          <cell r="E3150" t="str">
            <v>电力产品</v>
          </cell>
          <cell r="F3150" t="str">
            <v>指电力企业售给用户（包括趸售户）的电量以及供给本企业非电力生产、基本建设、大修和非生产部门（如食堂、宿舍）等所使用的电量</v>
          </cell>
          <cell r="G3150" t="str">
            <v>电力、蒸汽、热水生产和供应业</v>
          </cell>
        </row>
        <row r="3151">
          <cell r="E3151" t="str">
            <v>售电</v>
          </cell>
          <cell r="F3151" t="str">
            <v>指电力企业售给用户（包括趸售户）的电量以及供给本企业非电力生产、基本建设、大修和非生产部门（如食堂、宿舍）等所使用的电量</v>
          </cell>
          <cell r="G3151" t="str">
            <v>电力、蒸汽、热水生产和供应业</v>
          </cell>
        </row>
        <row r="3152">
          <cell r="E3152" t="str">
            <v>农村电网维护费</v>
          </cell>
          <cell r="F3152" t="str">
            <v>指农村电管站在收取电价时一并向用户收取的农村电网维护费（包括低压线路损耗和维护费以及电工经费）</v>
          </cell>
          <cell r="G3152" t="str">
            <v>电力、蒸汽、热水生产和供应业</v>
          </cell>
        </row>
        <row r="3153">
          <cell r="E3153" t="str">
            <v>三北热力</v>
          </cell>
          <cell r="F3153" t="str">
            <v>指北京、天津、河北、山西、内蒙古、辽宁、大连、吉林、黑龙江、山东、青岛、河南、陕西、甘肃、宁夏、新疆、青海的供热企业向居民个人供热而取得的采暖费</v>
          </cell>
          <cell r="G3153" t="str">
            <v>电力、蒸汽、热水生产和供应业</v>
          </cell>
        </row>
        <row r="3154">
          <cell r="E3154" t="str">
            <v>蒸汽</v>
          </cell>
          <cell r="F3154" t="str">
            <v>包括饱和蒸汽、过热蒸汽，主要用途有加热、加湿；还可以产生动力；作为机器驱动等</v>
          </cell>
          <cell r="G3154" t="str">
            <v>电力、蒸汽、热水生产和供应业</v>
          </cell>
        </row>
        <row r="3155">
          <cell r="E3155" t="str">
            <v>热水</v>
          </cell>
          <cell r="F3155" t="str">
            <v>无说明</v>
          </cell>
          <cell r="G3155" t="str">
            <v>电力、蒸汽、热水生产和供应业</v>
          </cell>
        </row>
        <row r="3156">
          <cell r="E3156" t="str">
            <v>冷气</v>
          </cell>
          <cell r="F3156" t="str">
            <v>无说明</v>
          </cell>
          <cell r="G3156" t="str">
            <v>电力、蒸汽、热水生产和供应业</v>
          </cell>
        </row>
        <row r="3157">
          <cell r="E3157" t="str">
            <v>焦炉煤气</v>
          </cell>
          <cell r="F3157" t="str">
            <v>指在炼焦炉中，煤经过干馏炼焦过程生产的煤气</v>
          </cell>
          <cell r="G3157" t="str">
            <v>煤气生产和供应业</v>
          </cell>
        </row>
        <row r="3158">
          <cell r="E3158" t="str">
            <v>高炉煤气</v>
          </cell>
          <cell r="F3158" t="str">
            <v>指在炼铁过程产生的煤气</v>
          </cell>
          <cell r="G3158" t="str">
            <v>煤气生产和供应业</v>
          </cell>
        </row>
        <row r="3159">
          <cell r="E3159" t="str">
            <v>油制气</v>
          </cell>
          <cell r="F3159" t="str">
            <v>指用重油或轻油裂解生产的燃气</v>
          </cell>
          <cell r="G3159" t="str">
            <v>煤气生产和供应业</v>
          </cell>
        </row>
        <row r="3160">
          <cell r="E3160" t="str">
            <v>水煤气</v>
          </cell>
          <cell r="F3160" t="str">
            <v>指向固定床煤气化炉交替通入空气和水蒸气制得的煤气</v>
          </cell>
          <cell r="G3160" t="str">
            <v>煤气生产和供应业</v>
          </cell>
        </row>
        <row r="3161">
          <cell r="E3161" t="str">
            <v>发生炉煤气</v>
          </cell>
          <cell r="F3161" t="str">
            <v>指利用煤气发生炉使固体燃料转化成的煤气</v>
          </cell>
          <cell r="G3161" t="str">
            <v>煤气生产和供应业</v>
          </cell>
        </row>
        <row r="3162">
          <cell r="E3162" t="str">
            <v>加压气化炉煤气</v>
          </cell>
          <cell r="F3162" t="str">
            <v>指将煤与氧气、水蒸汽等介质通过加压气化炉在一定温度和压力下反应生成的可燃气体</v>
          </cell>
          <cell r="G3162" t="str">
            <v>煤气生产和供应业</v>
          </cell>
        </row>
        <row r="3163">
          <cell r="E3163" t="str">
            <v>其他煤气</v>
          </cell>
          <cell r="F3163" t="str">
            <v>无说明</v>
          </cell>
          <cell r="G3163" t="str">
            <v>煤气生产和供应业</v>
          </cell>
        </row>
        <row r="3164">
          <cell r="E3164" t="str">
            <v>人工煤气</v>
          </cell>
          <cell r="F3164" t="str">
            <v>包括煤制气、油制气。</v>
          </cell>
          <cell r="G3164" t="str">
            <v>煤气生产和供应业</v>
          </cell>
        </row>
        <row r="3165">
          <cell r="E3165" t="str">
            <v>民用天然气</v>
          </cell>
          <cell r="F3165" t="str">
            <v>无说明</v>
          </cell>
          <cell r="G3165" t="str">
            <v>煤气生产和供应业</v>
          </cell>
        </row>
        <row r="3166">
          <cell r="E3166" t="str">
            <v>液化天然气（LNG）</v>
          </cell>
          <cell r="F3166" t="str">
            <v>无说明</v>
          </cell>
          <cell r="G3166" t="str">
            <v>煤气生产和供应业</v>
          </cell>
        </row>
        <row r="3167">
          <cell r="E3167" t="str">
            <v>民用液化石油气</v>
          </cell>
          <cell r="F3167" t="str">
            <v>无说明</v>
          </cell>
          <cell r="G3167" t="str">
            <v>煤气生产和供应业</v>
          </cell>
        </row>
        <row r="3168">
          <cell r="E3168" t="str">
            <v>自来水</v>
          </cell>
          <cell r="F3168" t="str">
            <v>无说明</v>
          </cell>
          <cell r="G3168" t="str">
            <v>自来水生产和供应业</v>
          </cell>
        </row>
        <row r="3169">
          <cell r="E3169" t="str">
            <v>再生水</v>
          </cell>
          <cell r="F3169" t="str">
            <v>无说明</v>
          </cell>
          <cell r="G3169" t="str">
            <v>自来水生产和供应业</v>
          </cell>
        </row>
        <row r="3170">
          <cell r="E3170" t="str">
            <v>淡化水</v>
          </cell>
          <cell r="F3170" t="str">
            <v>无说明</v>
          </cell>
          <cell r="G3170" t="str">
            <v>自来水生产和供应业</v>
          </cell>
        </row>
        <row r="3171">
          <cell r="E3171" t="str">
            <v>天然水</v>
          </cell>
          <cell r="F3171" t="str">
            <v>包括江河、海洋、冰川、湖泊、沼泽等地表水以及土壤、岩石层内的地下水等天然水体</v>
          </cell>
          <cell r="G3171" t="str">
            <v>自来水生产和供应业</v>
          </cell>
        </row>
        <row r="3172">
          <cell r="E3172" t="str">
            <v>自然冰</v>
          </cell>
          <cell r="F3172" t="str">
            <v>无说明</v>
          </cell>
          <cell r="G3172" t="str">
            <v>自来水生产和供应业</v>
          </cell>
        </row>
        <row r="3173">
          <cell r="E3173" t="str">
            <v>工业人造冰</v>
          </cell>
          <cell r="F3173" t="str">
            <v>无说明</v>
          </cell>
          <cell r="G3173" t="str">
            <v>自来水生产和供应业</v>
          </cell>
        </row>
        <row r="3174">
          <cell r="E3174" t="str">
            <v>自然雪</v>
          </cell>
          <cell r="F3174" t="str">
            <v>无说明</v>
          </cell>
          <cell r="G3174" t="str">
            <v>自来水生产和供应业</v>
          </cell>
        </row>
        <row r="3175">
          <cell r="E3175" t="str">
            <v>人造雪</v>
          </cell>
          <cell r="F3175" t="str">
            <v>无说明</v>
          </cell>
          <cell r="G3175" t="str">
            <v>自来水生产和供应业</v>
          </cell>
        </row>
        <row r="3176">
          <cell r="E3176" t="str">
            <v>其他水冰雪</v>
          </cell>
          <cell r="F3176" t="str">
            <v>无说明</v>
          </cell>
          <cell r="G3176" t="str">
            <v>自来水生产和供应业</v>
          </cell>
        </row>
        <row r="3177">
          <cell r="E3177" t="str">
            <v>制造性废钢铁</v>
          </cell>
          <cell r="F3177" t="str">
            <v>使用钢材制造终端使用商品的边角余料。</v>
          </cell>
          <cell r="G3177" t="str">
            <v>废品废料</v>
          </cell>
        </row>
        <row r="3178">
          <cell r="E3178" t="str">
            <v>农业废钢铁</v>
          </cell>
          <cell r="F3178" t="str">
            <v>来源于损坏的各种农业设施，如闸、坝、桥、具、工器具等。</v>
          </cell>
          <cell r="G3178" t="str">
            <v>废品废料</v>
          </cell>
        </row>
        <row r="3179">
          <cell r="E3179" t="str">
            <v>建筑业废钢铁</v>
          </cell>
          <cell r="F3179" t="str">
            <v>建筑工地上拆解下来的各种型号的钢筋、角、槽、板，工程用角、槽、板的下脚料，淘汰报废的建筑设备和工器具。</v>
          </cell>
          <cell r="G3179" t="str">
            <v>废品废料</v>
          </cell>
        </row>
        <row r="3180">
          <cell r="E3180" t="str">
            <v>家用废钢铁</v>
          </cell>
          <cell r="F3180" t="str">
            <v>家用淘汰产生的废钢铁，例如家电的外皮、钢铁制桌椅家具、办公家具、灶具、厨具、上下水管道、钢制门窗、脚踏工具、健身器材、饮料容器等。</v>
          </cell>
          <cell r="G3180" t="str">
            <v>废品废料</v>
          </cell>
        </row>
        <row r="3181">
          <cell r="E3181" t="str">
            <v>机器设备废钢铁</v>
          </cell>
          <cell r="F3181" t="str">
            <v>来源于报废的各种机器设备。</v>
          </cell>
          <cell r="G3181" t="str">
            <v>废品废料</v>
          </cell>
        </row>
        <row r="3182">
          <cell r="E3182" t="str">
            <v>其他废钢铁</v>
          </cell>
          <cell r="F3182" t="str">
            <v>无说明</v>
          </cell>
          <cell r="G3182" t="str">
            <v>废品废料</v>
          </cell>
        </row>
        <row r="3183">
          <cell r="E3183" t="str">
            <v>废铜</v>
          </cell>
          <cell r="F3183" t="str">
            <v>无说明</v>
          </cell>
          <cell r="G3183" t="str">
            <v>废品废料</v>
          </cell>
        </row>
        <row r="3184">
          <cell r="E3184" t="str">
            <v>废铝</v>
          </cell>
          <cell r="F3184" t="str">
            <v>无说明</v>
          </cell>
          <cell r="G3184" t="str">
            <v>废品废料</v>
          </cell>
        </row>
        <row r="3185">
          <cell r="E3185" t="str">
            <v>废铅</v>
          </cell>
          <cell r="F3185" t="str">
            <v>无说明</v>
          </cell>
          <cell r="G3185" t="str">
            <v>废品废料</v>
          </cell>
        </row>
        <row r="3186">
          <cell r="E3186" t="str">
            <v>废锌</v>
          </cell>
          <cell r="F3186" t="str">
            <v>无说明</v>
          </cell>
          <cell r="G3186" t="str">
            <v>废品废料</v>
          </cell>
        </row>
        <row r="3187">
          <cell r="E3187" t="str">
            <v>废稀贵金属</v>
          </cell>
          <cell r="F3187" t="str">
            <v>不包括稀土及稀土产品。</v>
          </cell>
          <cell r="G3187" t="str">
            <v>废品废料</v>
          </cell>
        </row>
        <row r="3188">
          <cell r="E3188" t="str">
            <v>其他废有色金属</v>
          </cell>
          <cell r="F3188" t="str">
            <v>无说明</v>
          </cell>
          <cell r="G3188" t="str">
            <v>废品废料</v>
          </cell>
        </row>
        <row r="3189">
          <cell r="E3189" t="str">
            <v>废塑料</v>
          </cell>
          <cell r="F3189" t="str">
            <v>无说明</v>
          </cell>
          <cell r="G3189" t="str">
            <v>废品废料</v>
          </cell>
        </row>
        <row r="3190">
          <cell r="E3190" t="str">
            <v>废轮胎</v>
          </cell>
          <cell r="F3190" t="str">
            <v>无说明</v>
          </cell>
          <cell r="G3190" t="str">
            <v>废品废料</v>
          </cell>
        </row>
        <row r="3191">
          <cell r="E3191" t="str">
            <v>废纸</v>
          </cell>
          <cell r="F3191" t="str">
            <v>无说明</v>
          </cell>
          <cell r="G3191" t="str">
            <v>废品废料</v>
          </cell>
        </row>
        <row r="3192">
          <cell r="E3192" t="str">
            <v>废电视机</v>
          </cell>
          <cell r="F3192" t="str">
            <v>无说明</v>
          </cell>
          <cell r="G3192" t="str">
            <v>废品废料</v>
          </cell>
        </row>
        <row r="3193">
          <cell r="E3193" t="str">
            <v>废电冰箱</v>
          </cell>
          <cell r="F3193" t="str">
            <v>无说明</v>
          </cell>
          <cell r="G3193" t="str">
            <v>废品废料</v>
          </cell>
        </row>
        <row r="3194">
          <cell r="E3194" t="str">
            <v>废洗衣机</v>
          </cell>
          <cell r="F3194" t="str">
            <v>无说明</v>
          </cell>
          <cell r="G3194" t="str">
            <v>废品废料</v>
          </cell>
        </row>
        <row r="3195">
          <cell r="E3195" t="str">
            <v>废空调</v>
          </cell>
          <cell r="F3195" t="str">
            <v>无说明</v>
          </cell>
          <cell r="G3195" t="str">
            <v>废品废料</v>
          </cell>
        </row>
        <row r="3196">
          <cell r="E3196" t="str">
            <v>废电脑</v>
          </cell>
          <cell r="F3196" t="str">
            <v>无说明</v>
          </cell>
          <cell r="G3196" t="str">
            <v>废品废料</v>
          </cell>
        </row>
        <row r="3197">
          <cell r="E3197" t="str">
            <v>废手机</v>
          </cell>
          <cell r="F3197" t="str">
            <v>无说明</v>
          </cell>
          <cell r="G3197" t="str">
            <v>废品废料</v>
          </cell>
        </row>
        <row r="3198">
          <cell r="E3198" t="str">
            <v>其他废弃电器电子产品</v>
          </cell>
          <cell r="F3198" t="str">
            <v>无说明</v>
          </cell>
          <cell r="G3198" t="str">
            <v>废品废料</v>
          </cell>
        </row>
        <row r="3199">
          <cell r="E3199" t="str">
            <v>报废汽车</v>
          </cell>
          <cell r="F3199" t="str">
            <v>无说明</v>
          </cell>
          <cell r="G3199" t="str">
            <v>废品废料</v>
          </cell>
        </row>
        <row r="3200">
          <cell r="E3200" t="str">
            <v>报废摩托车</v>
          </cell>
          <cell r="F3200" t="str">
            <v>无说明</v>
          </cell>
          <cell r="G3200" t="str">
            <v>废品废料</v>
          </cell>
        </row>
        <row r="3201">
          <cell r="E3201" t="str">
            <v>其他报废机动车</v>
          </cell>
          <cell r="F3201" t="str">
            <v>无说明</v>
          </cell>
          <cell r="G3201" t="str">
            <v>废品废料</v>
          </cell>
        </row>
        <row r="3202">
          <cell r="E3202" t="str">
            <v>废铅蓄电池</v>
          </cell>
          <cell r="F3202" t="str">
            <v>无说明</v>
          </cell>
          <cell r="G3202" t="str">
            <v>废品废料</v>
          </cell>
        </row>
        <row r="3203">
          <cell r="E3203" t="str">
            <v>废锂离子电池</v>
          </cell>
          <cell r="F3203" t="str">
            <v>无说明</v>
          </cell>
          <cell r="G3203" t="str">
            <v>废品废料</v>
          </cell>
        </row>
        <row r="3204">
          <cell r="E3204" t="str">
            <v>废镍氢电池</v>
          </cell>
          <cell r="F3204" t="str">
            <v>无说明</v>
          </cell>
          <cell r="G3204" t="str">
            <v>废品废料</v>
          </cell>
        </row>
        <row r="3205">
          <cell r="E3205" t="str">
            <v>其他废电池</v>
          </cell>
          <cell r="F3205" t="str">
            <v>无说明</v>
          </cell>
          <cell r="G3205" t="str">
            <v>废品废料</v>
          </cell>
        </row>
        <row r="3206">
          <cell r="E3206" t="str">
            <v>其他生活类报废产品</v>
          </cell>
          <cell r="F3206" t="str">
            <v>无说明</v>
          </cell>
          <cell r="G3206" t="str">
            <v>废品废料</v>
          </cell>
        </row>
        <row r="3207">
          <cell r="E3207" t="str">
            <v>报废船舶</v>
          </cell>
          <cell r="F3207" t="str">
            <v>无说明</v>
          </cell>
          <cell r="G3207" t="str">
            <v>废品废料</v>
          </cell>
        </row>
        <row r="3208">
          <cell r="E3208" t="str">
            <v>其他未列明报废产品</v>
          </cell>
          <cell r="F3208" t="str">
            <v>无说明</v>
          </cell>
          <cell r="G3208" t="str">
            <v>废品废料</v>
          </cell>
        </row>
        <row r="3209">
          <cell r="E3209" t="str">
            <v>废旧纺织品</v>
          </cell>
          <cell r="F3209" t="str">
            <v>无说明</v>
          </cell>
          <cell r="G3209" t="str">
            <v>废品废料</v>
          </cell>
        </row>
        <row r="3210">
          <cell r="E3210" t="str">
            <v>废玻璃</v>
          </cell>
          <cell r="F3210" t="str">
            <v>无说明</v>
          </cell>
          <cell r="G3210" t="str">
            <v>废品废料</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行业排放因子"/>
    </sheetNames>
    <sheetDataSet>
      <sheetData sheetId="0">
        <row r="1">
          <cell r="A1" t="str">
            <v>行业名称</v>
          </cell>
          <cell r="B1" t="str">
            <v>2022年排放因子</v>
          </cell>
        </row>
        <row r="2">
          <cell r="A2" t="str">
            <v/>
          </cell>
          <cell r="B2" t="str">
            <v/>
          </cell>
        </row>
        <row r="3">
          <cell r="A3" t="str">
            <v/>
          </cell>
          <cell r="B3" t="str">
            <v/>
          </cell>
        </row>
        <row r="4">
          <cell r="A4" t="str">
            <v>总排放量</v>
          </cell>
          <cell r="B4">
            <v>10464.349764053901</v>
          </cell>
        </row>
        <row r="5">
          <cell r="A5" t="str">
            <v>农、林、牧、渔及水利业</v>
          </cell>
          <cell r="B5">
            <v>90.746322689478703</v>
          </cell>
        </row>
        <row r="6">
          <cell r="A6" t="str">
            <v>煤炭开采和洗选业</v>
          </cell>
          <cell r="B6">
            <v>33.458829691929502</v>
          </cell>
        </row>
        <row r="7">
          <cell r="A7" t="str">
            <v>石油和天然气开采业</v>
          </cell>
          <cell r="B7">
            <v>44.014305075647201</v>
          </cell>
        </row>
        <row r="8">
          <cell r="A8" t="str">
            <v>黑色金属矿采选业</v>
          </cell>
          <cell r="B8">
            <v>12.6475853646917</v>
          </cell>
        </row>
        <row r="9">
          <cell r="A9" t="str">
            <v>有色金属矿采选业</v>
          </cell>
          <cell r="B9">
            <v>2.2025930407929399</v>
          </cell>
        </row>
        <row r="10">
          <cell r="A10" t="str">
            <v>非金属矿采选业</v>
          </cell>
          <cell r="B10">
            <v>8.6079385990449406</v>
          </cell>
        </row>
        <row r="11">
          <cell r="A11" t="str">
            <v>其他矿采选业</v>
          </cell>
          <cell r="B11">
            <v>6.0323112418060303</v>
          </cell>
        </row>
        <row r="12">
          <cell r="A12" t="str">
            <v>木材及竹材采运业</v>
          </cell>
          <cell r="B12">
            <v>0</v>
          </cell>
        </row>
        <row r="13">
          <cell r="A13" t="str">
            <v>食品加工业</v>
          </cell>
          <cell r="B13">
            <v>8.9338914683308701</v>
          </cell>
        </row>
        <row r="14">
          <cell r="A14" t="str">
            <v>食品制造业</v>
          </cell>
          <cell r="B14">
            <v>14.6354532672489</v>
          </cell>
        </row>
        <row r="15">
          <cell r="A15" t="str">
            <v>饮料制造业</v>
          </cell>
          <cell r="B15">
            <v>8.2163187960783404</v>
          </cell>
        </row>
        <row r="16">
          <cell r="A16" t="str">
            <v>烟草加工业</v>
          </cell>
          <cell r="B16">
            <v>0.377769264521707</v>
          </cell>
        </row>
        <row r="17">
          <cell r="A17" t="str">
            <v>纺织业</v>
          </cell>
          <cell r="B17">
            <v>7.8572897061762799</v>
          </cell>
        </row>
        <row r="18">
          <cell r="A18" t="str">
            <v>服装及其他纤维制品制造业</v>
          </cell>
          <cell r="B18">
            <v>0.72252850402396196</v>
          </cell>
        </row>
        <row r="19">
          <cell r="A19" t="str">
            <v>皮革、毛皮、羽绒及其制品业</v>
          </cell>
          <cell r="B19">
            <v>0.42140309752345301</v>
          </cell>
        </row>
        <row r="20">
          <cell r="A20" t="str">
            <v>木材加工及竹、藤、棕、草制品业</v>
          </cell>
          <cell r="B20">
            <v>1.13686115275368</v>
          </cell>
        </row>
        <row r="21">
          <cell r="A21" t="str">
            <v>家具制造业</v>
          </cell>
          <cell r="B21">
            <v>0.62276731777852501</v>
          </cell>
        </row>
        <row r="22">
          <cell r="A22" t="str">
            <v>造纸及纸制品业</v>
          </cell>
          <cell r="B22">
            <v>9.5823869422898706</v>
          </cell>
        </row>
        <row r="23">
          <cell r="A23" t="str">
            <v>印刷业、记录媒介复制业</v>
          </cell>
          <cell r="B23">
            <v>1.44955998759807</v>
          </cell>
        </row>
        <row r="24">
          <cell r="A24" t="str">
            <v>文教体育用品制造业</v>
          </cell>
          <cell r="B24">
            <v>1.34473732401866</v>
          </cell>
        </row>
        <row r="25">
          <cell r="A25" t="str">
            <v>石油加工及炼焦业</v>
          </cell>
          <cell r="B25">
            <v>228.02728776500501</v>
          </cell>
        </row>
        <row r="26">
          <cell r="A26" t="str">
            <v>化学原料及化学制品制造业</v>
          </cell>
          <cell r="B26">
            <v>82.521245753925498</v>
          </cell>
        </row>
        <row r="27">
          <cell r="A27" t="str">
            <v>医药制造业</v>
          </cell>
          <cell r="B27">
            <v>1.8175069540650799</v>
          </cell>
        </row>
        <row r="28">
          <cell r="A28" t="str">
            <v>化学纤维制造业</v>
          </cell>
          <cell r="B28">
            <v>0.54144355265712596</v>
          </cell>
        </row>
        <row r="29">
          <cell r="A29" t="str">
            <v>橡胶制品业</v>
          </cell>
          <cell r="B29">
            <v>1.0941039674442099</v>
          </cell>
        </row>
        <row r="30">
          <cell r="A30" t="str">
            <v>塑料制品业</v>
          </cell>
          <cell r="B30">
            <v>1.0941039674442099</v>
          </cell>
        </row>
        <row r="31">
          <cell r="A31" t="str">
            <v>非金属矿物制品业</v>
          </cell>
          <cell r="B31">
            <v>1099.3696911419199</v>
          </cell>
        </row>
        <row r="32">
          <cell r="A32" t="str">
            <v>黑色金属冶炼及压延加工业</v>
          </cell>
          <cell r="B32">
            <v>1891.5323606152201</v>
          </cell>
        </row>
        <row r="33">
          <cell r="A33" t="str">
            <v>有色金属冶炼及压延加工业</v>
          </cell>
          <cell r="B33">
            <v>63.160897558961601</v>
          </cell>
        </row>
        <row r="34">
          <cell r="A34" t="str">
            <v>金属制品业</v>
          </cell>
          <cell r="B34">
            <v>27.1093085906552</v>
          </cell>
        </row>
        <row r="35">
          <cell r="A35" t="str">
            <v>普通机械制造业</v>
          </cell>
          <cell r="B35">
            <v>9.6615781889079599</v>
          </cell>
        </row>
        <row r="36">
          <cell r="A36" t="str">
            <v>专用设备制造业</v>
          </cell>
          <cell r="B36">
            <v>2.3522392431260499</v>
          </cell>
        </row>
        <row r="37">
          <cell r="A37" t="str">
            <v>交通运输设备制造业</v>
          </cell>
          <cell r="B37">
            <v>6.2441374348339602</v>
          </cell>
        </row>
        <row r="38">
          <cell r="A38" t="str">
            <v>电气机械及器材制造业</v>
          </cell>
          <cell r="B38">
            <v>2.8631259995277101</v>
          </cell>
        </row>
        <row r="39">
          <cell r="A39" t="str">
            <v>电子及通信设备制造业</v>
          </cell>
          <cell r="B39">
            <v>7.5202868648033796</v>
          </cell>
        </row>
        <row r="40">
          <cell r="A40" t="str">
            <v>仪器仪表及文化、办公用机械制造业</v>
          </cell>
          <cell r="B40">
            <v>0.32872585603058302</v>
          </cell>
        </row>
        <row r="41">
          <cell r="A41" t="str">
            <v>其他制造业</v>
          </cell>
          <cell r="B41">
            <v>0.245415556625804</v>
          </cell>
        </row>
        <row r="42">
          <cell r="A42" t="str">
            <v>废品废料</v>
          </cell>
          <cell r="B42">
            <v>7.1376022803708201</v>
          </cell>
        </row>
        <row r="43">
          <cell r="A43" t="str">
            <v>电力、蒸汽、热水生产和供应业</v>
          </cell>
          <cell r="B43">
            <v>5442.3377311036202</v>
          </cell>
        </row>
        <row r="44">
          <cell r="A44" t="str">
            <v>煤气生产和供应业</v>
          </cell>
          <cell r="B44">
            <v>1.7587208652852899</v>
          </cell>
        </row>
        <row r="45">
          <cell r="A45" t="str">
            <v>自来水生产和供应业</v>
          </cell>
          <cell r="B45">
            <v>0.46705982726400702</v>
          </cell>
        </row>
        <row r="46">
          <cell r="A46" t="str">
            <v>建筑业</v>
          </cell>
          <cell r="B46">
            <v>41.715972243531198</v>
          </cell>
        </row>
        <row r="47">
          <cell r="A47" t="str">
            <v>交通运输、仓储、邮电通信业</v>
          </cell>
          <cell r="B47">
            <v>667.48066458135202</v>
          </cell>
        </row>
        <row r="48">
          <cell r="A48" t="str">
            <v>批发、零售和餐饮业</v>
          </cell>
          <cell r="B48">
            <v>55.4303896721051</v>
          </cell>
        </row>
        <row r="49">
          <cell r="A49" t="str">
            <v>其他</v>
          </cell>
          <cell r="B49">
            <v>147.87535504559401</v>
          </cell>
        </row>
        <row r="50">
          <cell r="A50" t="str">
            <v>城镇</v>
          </cell>
          <cell r="B50">
            <v>271.604198842686</v>
          </cell>
        </row>
        <row r="51">
          <cell r="A51" t="str">
            <v>农村</v>
          </cell>
          <cell r="B51">
            <v>150.047758049187</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类结果"/>
      <sheetName val="分类统计"/>
      <sheetName val="目标行业列表"/>
    </sheetNames>
    <sheetDataSet>
      <sheetData sheetId="0">
        <row r="1">
          <cell r="F1" t="str">
            <v>货物和劳务名称</v>
          </cell>
          <cell r="G1" t="str">
            <v>匹配行业</v>
          </cell>
        </row>
        <row r="2">
          <cell r="F2" t="str">
            <v>垃圾处理、污泥处理处置劳务</v>
          </cell>
          <cell r="G2" t="str">
            <v>废品废料</v>
          </cell>
        </row>
        <row r="3">
          <cell r="F3" t="str">
            <v>污水处理劳务</v>
          </cell>
          <cell r="G3" t="str">
            <v>其他制造业</v>
          </cell>
        </row>
        <row r="4">
          <cell r="F4" t="str">
            <v>工业废气处理劳务</v>
          </cell>
          <cell r="G4" t="str">
            <v>其他制造业</v>
          </cell>
        </row>
        <row r="5">
          <cell r="F5" t="str">
            <v>其他加工劳务</v>
          </cell>
          <cell r="G5" t="str">
            <v>其他制造业</v>
          </cell>
        </row>
        <row r="6">
          <cell r="F6" t="str">
            <v>修理修配劳务</v>
          </cell>
          <cell r="G6" t="str">
            <v>其他制造业</v>
          </cell>
        </row>
        <row r="7">
          <cell r="F7" t="str">
            <v>油气田企业为生产原油、天然气提供的生产性劳务</v>
          </cell>
          <cell r="G7" t="str">
            <v>石油和天然气开采业</v>
          </cell>
        </row>
        <row r="8">
          <cell r="F8" t="str">
            <v>矿产资源开采、挖掘、切割、破碎、分拣、洗选等劳务</v>
          </cell>
          <cell r="G8" t="str">
            <v>其他制造业</v>
          </cell>
        </row>
        <row r="9">
          <cell r="F9" t="str">
            <v>国内铁路旅客运输服务</v>
          </cell>
          <cell r="G9" t="str">
            <v>交通运输、仓储、邮电通信业</v>
          </cell>
        </row>
        <row r="10">
          <cell r="F10" t="str">
            <v>国际铁路旅客运输服务</v>
          </cell>
          <cell r="G10" t="str">
            <v>交通运输、仓储、邮电通信业</v>
          </cell>
        </row>
        <row r="11">
          <cell r="F11" t="str">
            <v>港澳台铁路旅客运输服务</v>
          </cell>
          <cell r="G11" t="str">
            <v>交通运输、仓储、邮电通信业</v>
          </cell>
        </row>
        <row r="12">
          <cell r="F12" t="str">
            <v>国内长途汽车旅客运输服务</v>
          </cell>
          <cell r="G12" t="str">
            <v>交通运输设备制造业</v>
          </cell>
        </row>
        <row r="13">
          <cell r="F13" t="str">
            <v>国际长途汽车旅客运输服务</v>
          </cell>
          <cell r="G13" t="str">
            <v>交通运输设备制造业</v>
          </cell>
        </row>
        <row r="14">
          <cell r="F14" t="str">
            <v>港澳台长途汽车旅客运输服务</v>
          </cell>
          <cell r="G14" t="str">
            <v>交通运输设备制造业</v>
          </cell>
        </row>
        <row r="15">
          <cell r="F15" t="str">
            <v>其他公路旅客运输服务</v>
          </cell>
          <cell r="G15" t="str">
            <v>交通运输设备制造业</v>
          </cell>
        </row>
        <row r="16">
          <cell r="F16" t="str">
            <v>公共电汽车客运服务</v>
          </cell>
          <cell r="G16" t="str">
            <v>交通运输设备制造业</v>
          </cell>
        </row>
        <row r="17">
          <cell r="F17" t="str">
            <v>城市轨道交通服务</v>
          </cell>
          <cell r="G17" t="str">
            <v>交通运输、仓储、邮电通信业</v>
          </cell>
        </row>
        <row r="18">
          <cell r="F18" t="str">
            <v>出租汽车客运服务</v>
          </cell>
          <cell r="G18" t="str">
            <v>交通运输设备制造业</v>
          </cell>
        </row>
        <row r="19">
          <cell r="F19" t="str">
            <v>索道客运服务</v>
          </cell>
          <cell r="G19" t="str">
            <v>其他制造业</v>
          </cell>
        </row>
        <row r="20">
          <cell r="F20" t="str">
            <v>其他城市旅客公共交通服务</v>
          </cell>
          <cell r="G20" t="str">
            <v>交通运输、仓储、邮电通信业</v>
          </cell>
        </row>
        <row r="21">
          <cell r="F21" t="str">
            <v>国内铁路货物运输服务</v>
          </cell>
          <cell r="G21" t="str">
            <v>交通运输、仓储、邮电通信业</v>
          </cell>
        </row>
        <row r="22">
          <cell r="F22" t="str">
            <v>国际铁路货物运输服务</v>
          </cell>
          <cell r="G22" t="str">
            <v>交通运输、仓储、邮电通信业</v>
          </cell>
        </row>
        <row r="23">
          <cell r="F23" t="str">
            <v>港澳台铁路货物运输服务</v>
          </cell>
          <cell r="G23" t="str">
            <v>交通运输、仓储、邮电通信业</v>
          </cell>
        </row>
        <row r="24">
          <cell r="F24" t="str">
            <v>国内道路货物运输服务</v>
          </cell>
          <cell r="G24" t="str">
            <v>交通运输、仓储、邮电通信业</v>
          </cell>
        </row>
        <row r="25">
          <cell r="F25" t="str">
            <v>国际道路货物运输服务</v>
          </cell>
          <cell r="G25" t="str">
            <v>交通运输、仓储、邮电通信业</v>
          </cell>
        </row>
        <row r="26">
          <cell r="F26" t="str">
            <v>港澳台道路货物运输服务</v>
          </cell>
          <cell r="G26" t="str">
            <v>交通运输、仓储、邮电通信业</v>
          </cell>
        </row>
        <row r="27">
          <cell r="F27" t="str">
            <v>国内其他陆路货物运输服务</v>
          </cell>
          <cell r="G27" t="str">
            <v>交通运输、仓储、邮电通信业</v>
          </cell>
        </row>
        <row r="28">
          <cell r="F28" t="str">
            <v>国际其他陆路货物运输服务</v>
          </cell>
          <cell r="G28" t="str">
            <v>交通运输、仓储、邮电通信业</v>
          </cell>
        </row>
        <row r="29">
          <cell r="F29" t="str">
            <v>港澳台其他陆路货物运输服务</v>
          </cell>
          <cell r="G29" t="str">
            <v>交通运输、仓储、邮电通信业</v>
          </cell>
        </row>
        <row r="30">
          <cell r="F30" t="str">
            <v>国内水路旅客运输服务</v>
          </cell>
          <cell r="G30" t="str">
            <v>交通运输、仓储、邮电通信业</v>
          </cell>
        </row>
        <row r="31">
          <cell r="F31" t="str">
            <v>国际水路旅客运输服务</v>
          </cell>
          <cell r="G31" t="str">
            <v>交通运输、仓储、邮电通信业</v>
          </cell>
        </row>
        <row r="32">
          <cell r="F32" t="str">
            <v>港澳台水路旅客运输服务</v>
          </cell>
          <cell r="G32" t="str">
            <v>交通运输、仓储、邮电通信业</v>
          </cell>
        </row>
        <row r="33">
          <cell r="F33" t="str">
            <v>国内水路货物运输服务</v>
          </cell>
          <cell r="G33" t="str">
            <v>交通运输、仓储、邮电通信业</v>
          </cell>
        </row>
        <row r="34">
          <cell r="F34" t="str">
            <v>国际水路货物运输服务</v>
          </cell>
          <cell r="G34" t="str">
            <v>交通运输、仓储、邮电通信业</v>
          </cell>
        </row>
        <row r="35">
          <cell r="F35" t="str">
            <v>港澳台水路货物运输服务</v>
          </cell>
          <cell r="G35" t="str">
            <v>交通运输、仓储、邮电通信业</v>
          </cell>
        </row>
        <row r="36">
          <cell r="F36" t="str">
            <v>水路旅客运输期租业务</v>
          </cell>
          <cell r="G36" t="str">
            <v>交通运输、仓储、邮电通信业</v>
          </cell>
        </row>
        <row r="37">
          <cell r="F37" t="str">
            <v>水路货物运输期租业务</v>
          </cell>
          <cell r="G37" t="str">
            <v>交通运输、仓储、邮电通信业</v>
          </cell>
        </row>
        <row r="38">
          <cell r="F38" t="str">
            <v>水路旅客运输程租业务</v>
          </cell>
          <cell r="G38" t="str">
            <v>交通运输设备制造业</v>
          </cell>
        </row>
        <row r="39">
          <cell r="F39" t="str">
            <v>水路货物运输程租业务</v>
          </cell>
          <cell r="G39" t="str">
            <v>交通运输设备制造业</v>
          </cell>
        </row>
        <row r="40">
          <cell r="F40" t="str">
            <v>国内航空旅客运输服务</v>
          </cell>
          <cell r="G40" t="str">
            <v>交通运输、仓储、邮电通信业</v>
          </cell>
        </row>
        <row r="41">
          <cell r="F41" t="str">
            <v>国际及港澳台地区航空旅客运输服务</v>
          </cell>
          <cell r="G41" t="str">
            <v>交通运输、仓储、邮电通信业</v>
          </cell>
        </row>
        <row r="42">
          <cell r="F42" t="str">
            <v>国内航空货物运输服务</v>
          </cell>
          <cell r="G42" t="str">
            <v>交通运输、仓储、邮电通信业</v>
          </cell>
        </row>
        <row r="43">
          <cell r="F43" t="str">
            <v>国际航空货物运输服务</v>
          </cell>
          <cell r="G43" t="str">
            <v>交通运输、仓储、邮电通信业</v>
          </cell>
        </row>
        <row r="44">
          <cell r="F44" t="str">
            <v>港澳台航空货物运输服务</v>
          </cell>
          <cell r="G44" t="str">
            <v>交通运输、仓储、邮电通信业</v>
          </cell>
        </row>
        <row r="45">
          <cell r="F45" t="str">
            <v>航空旅客运输湿租业务</v>
          </cell>
          <cell r="G45" t="str">
            <v>交通运输设备制造业</v>
          </cell>
        </row>
        <row r="46">
          <cell r="F46" t="str">
            <v>航空货物运输湿租业务</v>
          </cell>
          <cell r="G46" t="str">
            <v>交通运输设备制造业</v>
          </cell>
        </row>
        <row r="47">
          <cell r="F47" t="str">
            <v>航天运输服务</v>
          </cell>
          <cell r="G47" t="str">
            <v>交通运输、仓储、邮电通信业</v>
          </cell>
        </row>
        <row r="48">
          <cell r="F48" t="str">
            <v>国内液体管道运输服务</v>
          </cell>
          <cell r="G48" t="str">
            <v>交通运输、仓储、邮电通信业</v>
          </cell>
        </row>
        <row r="49">
          <cell r="F49" t="str">
            <v>国际液体管道运输服务</v>
          </cell>
          <cell r="G49" t="str">
            <v>交通运输、仓储、邮电通信业</v>
          </cell>
        </row>
        <row r="50">
          <cell r="F50" t="str">
            <v>港澳台液体管道运输服务</v>
          </cell>
          <cell r="G50" t="str">
            <v>交通运输、仓储、邮电通信业</v>
          </cell>
        </row>
        <row r="51">
          <cell r="F51" t="str">
            <v>国内气体管道运输服务</v>
          </cell>
          <cell r="G51" t="str">
            <v>交通运输、仓储、邮电通信业</v>
          </cell>
        </row>
        <row r="52">
          <cell r="F52" t="str">
            <v>国际气体管道运输服务</v>
          </cell>
          <cell r="G52" t="str">
            <v>交通运输、仓储、邮电通信业</v>
          </cell>
        </row>
        <row r="53">
          <cell r="F53" t="str">
            <v>港澳台气体管道运输服务</v>
          </cell>
          <cell r="G53" t="str">
            <v>交通运输、仓储、邮电通信业</v>
          </cell>
        </row>
        <row r="54">
          <cell r="F54" t="str">
            <v>国内固体管道运输服务</v>
          </cell>
          <cell r="G54" t="str">
            <v>交通运输、仓储、邮电通信业</v>
          </cell>
        </row>
        <row r="55">
          <cell r="F55" t="str">
            <v>国际固体管道运输服务</v>
          </cell>
          <cell r="G55" t="str">
            <v>交通运输、仓储、邮电通信业</v>
          </cell>
        </row>
        <row r="56">
          <cell r="F56" t="str">
            <v>港澳台固体管道运输服务</v>
          </cell>
          <cell r="G56" t="str">
            <v>交通运输、仓储、邮电通信业</v>
          </cell>
        </row>
        <row r="57">
          <cell r="F57" t="str">
            <v>国内其他管道运输服务</v>
          </cell>
          <cell r="G57" t="str">
            <v>交通运输、仓储、邮电通信业</v>
          </cell>
        </row>
        <row r="58">
          <cell r="F58" t="str">
            <v>国际其他管道运输服务</v>
          </cell>
          <cell r="G58" t="str">
            <v>交通运输、仓储、邮电通信业</v>
          </cell>
        </row>
        <row r="59">
          <cell r="F59" t="str">
            <v>港澳台其他管道运输服务</v>
          </cell>
          <cell r="G59" t="str">
            <v>交通运输、仓储、邮电通信业</v>
          </cell>
        </row>
        <row r="60">
          <cell r="F60" t="str">
            <v>无运输工具承运铁路旅客运输服务</v>
          </cell>
          <cell r="G60" t="str">
            <v>交通运输、仓储、邮电通信业</v>
          </cell>
        </row>
        <row r="61">
          <cell r="F61" t="str">
            <v>无运输工具承运铁路货物运输服务</v>
          </cell>
          <cell r="G61" t="str">
            <v>交通运输、仓储、邮电通信业</v>
          </cell>
        </row>
        <row r="62">
          <cell r="F62" t="str">
            <v>无运输工具承运道路旅客运输服务</v>
          </cell>
          <cell r="G62" t="str">
            <v>交通运输、仓储、邮电通信业</v>
          </cell>
        </row>
        <row r="63">
          <cell r="F63" t="str">
            <v>无运输工具承运道路货物运输服务</v>
          </cell>
          <cell r="G63" t="str">
            <v>交通运输、仓储、邮电通信业</v>
          </cell>
        </row>
        <row r="64">
          <cell r="F64" t="str">
            <v>无运输工具承运水路旅客运输服务</v>
          </cell>
          <cell r="G64" t="str">
            <v>交通运输、仓储、邮电通信业</v>
          </cell>
        </row>
        <row r="65">
          <cell r="F65" t="str">
            <v>无运输工具承运水路货物运输服务</v>
          </cell>
          <cell r="G65" t="str">
            <v>交通运输、仓储、邮电通信业</v>
          </cell>
        </row>
        <row r="66">
          <cell r="F66" t="str">
            <v>无运输工具承运航空旅客运输服务</v>
          </cell>
          <cell r="G66" t="str">
            <v>交通运输、仓储、邮电通信业</v>
          </cell>
        </row>
        <row r="67">
          <cell r="F67" t="str">
            <v>无运输工具承运航空货物运输服务</v>
          </cell>
          <cell r="G67" t="str">
            <v>交通运输、仓储、邮电通信业</v>
          </cell>
        </row>
        <row r="68">
          <cell r="F68" t="str">
            <v>无运输工具承运管道运输服务</v>
          </cell>
          <cell r="G68" t="str">
            <v>交通运输、仓储、邮电通信业</v>
          </cell>
        </row>
        <row r="69">
          <cell r="F69" t="str">
            <v>无运输工具承运旅客联运运输服务</v>
          </cell>
          <cell r="G69" t="str">
            <v>交通运输、仓储、邮电通信业</v>
          </cell>
        </row>
        <row r="70">
          <cell r="F70" t="str">
            <v>无运输工具承运货物联运运输服务</v>
          </cell>
          <cell r="G70" t="str">
            <v>交通运输、仓储、邮电通信业</v>
          </cell>
        </row>
        <row r="71">
          <cell r="F71" t="str">
            <v>其他无运输工具承运旅客运输业务</v>
          </cell>
          <cell r="G71" t="str">
            <v>交通运输、仓储、邮电通信业</v>
          </cell>
        </row>
        <row r="72">
          <cell r="F72" t="str">
            <v>其他无运输工具承运货物运输业务</v>
          </cell>
          <cell r="G72" t="str">
            <v>交通运输、仓储、邮电通信业</v>
          </cell>
        </row>
        <row r="73">
          <cell r="F73" t="str">
            <v>旅客联运服务</v>
          </cell>
          <cell r="G73" t="str">
            <v>交通运输、仓储、邮电通信业</v>
          </cell>
        </row>
        <row r="74">
          <cell r="F74" t="str">
            <v>货物联运服务</v>
          </cell>
          <cell r="G74" t="str">
            <v>交通运输、仓储、邮电通信业</v>
          </cell>
        </row>
        <row r="75">
          <cell r="F75" t="str">
            <v>其他旅客运输服务</v>
          </cell>
          <cell r="G75" t="str">
            <v>交通运输、仓储、邮电通信业</v>
          </cell>
        </row>
        <row r="76">
          <cell r="F76" t="str">
            <v>其他货物运输服务</v>
          </cell>
          <cell r="G76" t="str">
            <v>交通运输、仓储、邮电通信业</v>
          </cell>
        </row>
        <row r="77">
          <cell r="F77" t="str">
            <v>函件寄递服务</v>
          </cell>
          <cell r="G77" t="str">
            <v>印刷业、记录媒介复制业</v>
          </cell>
        </row>
        <row r="78">
          <cell r="F78" t="str">
            <v>包裹寄递服务</v>
          </cell>
          <cell r="G78" t="str">
            <v>其他制造业</v>
          </cell>
        </row>
        <row r="79">
          <cell r="F79" t="str">
            <v>其他邮件寄递服务</v>
          </cell>
          <cell r="G79" t="str">
            <v>其他制造业</v>
          </cell>
        </row>
        <row r="80">
          <cell r="F80" t="str">
            <v>邮票发行服务</v>
          </cell>
          <cell r="G80" t="str">
            <v>其他制造业</v>
          </cell>
        </row>
        <row r="81">
          <cell r="F81" t="str">
            <v>报刊发行服务</v>
          </cell>
          <cell r="G81" t="str">
            <v>其他制造业</v>
          </cell>
        </row>
        <row r="82">
          <cell r="F82" t="str">
            <v>邮政汇兑</v>
          </cell>
          <cell r="G82" t="str">
            <v>交通运输、仓储、邮电通信业</v>
          </cell>
        </row>
        <row r="83">
          <cell r="F83" t="str">
            <v>其他邮政普遍服务</v>
          </cell>
          <cell r="G83" t="str">
            <v>交通运输、仓储、邮电通信业</v>
          </cell>
        </row>
        <row r="84">
          <cell r="F84" t="str">
            <v>邮政特殊服务</v>
          </cell>
          <cell r="G84" t="str">
            <v>交通运输、仓储、邮电通信业</v>
          </cell>
        </row>
        <row r="85">
          <cell r="F85" t="str">
            <v>邮册等邮品销售服务</v>
          </cell>
          <cell r="G85" t="str">
            <v>批发、零售和餐饮业</v>
          </cell>
        </row>
        <row r="86">
          <cell r="F86" t="str">
            <v>邮政代理服务</v>
          </cell>
          <cell r="G86" t="str">
            <v>交通运输、仓储、邮电通信业</v>
          </cell>
        </row>
        <row r="87">
          <cell r="F87" t="str">
            <v>其他未列邮政服务</v>
          </cell>
          <cell r="G87" t="str">
            <v>交通运输、仓储、邮电通信业</v>
          </cell>
        </row>
        <row r="88">
          <cell r="F88" t="str">
            <v>语音通话服务</v>
          </cell>
          <cell r="G88" t="str">
            <v>其他制造业</v>
          </cell>
        </row>
        <row r="89">
          <cell r="F89" t="str">
            <v>出租或出售网络元素</v>
          </cell>
          <cell r="G89" t="str">
            <v>其他制造业</v>
          </cell>
        </row>
        <row r="90">
          <cell r="F90" t="str">
            <v>短信和彩信服务</v>
          </cell>
          <cell r="G90" t="str">
            <v>其他制造业</v>
          </cell>
        </row>
        <row r="91">
          <cell r="F91" t="str">
            <v>电子数据和信息的传输及应用服务</v>
          </cell>
          <cell r="G91" t="str">
            <v>电子及通信设备制造业</v>
          </cell>
        </row>
        <row r="92">
          <cell r="F92" t="str">
            <v>互联网接入服务</v>
          </cell>
          <cell r="G92" t="str">
            <v>其他制造业</v>
          </cell>
        </row>
        <row r="93">
          <cell r="F93" t="str">
            <v>广播电视信号传输服务</v>
          </cell>
          <cell r="G93" t="str">
            <v>其他制造业</v>
          </cell>
        </row>
        <row r="94">
          <cell r="F94" t="str">
            <v>卫星电视信号落地转接服务</v>
          </cell>
          <cell r="G94" t="str">
            <v>其他制造业</v>
          </cell>
        </row>
        <row r="95">
          <cell r="F95" t="str">
            <v>其他增值电信服务</v>
          </cell>
          <cell r="G95" t="str">
            <v>电子及通信设备制造业</v>
          </cell>
        </row>
        <row r="96">
          <cell r="F96" t="str">
            <v>研发服务</v>
          </cell>
          <cell r="G96" t="str">
            <v>其他制造业</v>
          </cell>
        </row>
        <row r="97">
          <cell r="F97" t="str">
            <v>合同能源管理服务</v>
          </cell>
          <cell r="G97" t="str">
            <v>其他制造业</v>
          </cell>
        </row>
        <row r="98">
          <cell r="F98" t="str">
            <v>工程勘察服务</v>
          </cell>
          <cell r="G98" t="str">
            <v>建筑业</v>
          </cell>
        </row>
        <row r="99">
          <cell r="F99" t="str">
            <v>矿产地质勘查服务</v>
          </cell>
          <cell r="G99" t="str">
            <v>其他制造业</v>
          </cell>
        </row>
        <row r="100">
          <cell r="F100" t="str">
            <v>基础地质勘查服务</v>
          </cell>
          <cell r="G100" t="str">
            <v>其他制造业</v>
          </cell>
        </row>
        <row r="101">
          <cell r="F101" t="str">
            <v>其他地质勘查服务</v>
          </cell>
          <cell r="G101" t="str">
            <v>其他制造业</v>
          </cell>
        </row>
        <row r="102">
          <cell r="F102" t="str">
            <v>专业技术服务</v>
          </cell>
          <cell r="G102" t="str">
            <v>其他制造业</v>
          </cell>
        </row>
        <row r="103">
          <cell r="F103" t="str">
            <v>软件开发服务</v>
          </cell>
          <cell r="G103" t="str">
            <v>其他制造业</v>
          </cell>
        </row>
        <row r="104">
          <cell r="F104" t="str">
            <v>软件维护服务</v>
          </cell>
          <cell r="G104" t="str">
            <v>其他制造业</v>
          </cell>
        </row>
        <row r="105">
          <cell r="F105" t="str">
            <v>税控技术维护服务</v>
          </cell>
          <cell r="G105" t="str">
            <v>专用设备制造业</v>
          </cell>
        </row>
        <row r="106">
          <cell r="F106" t="str">
            <v>软件测试服务</v>
          </cell>
          <cell r="G106" t="str">
            <v>其他制造业</v>
          </cell>
        </row>
        <row r="107">
          <cell r="F107" t="str">
            <v>其他软件服务</v>
          </cell>
          <cell r="G107" t="str">
            <v>其他制造业</v>
          </cell>
        </row>
        <row r="108">
          <cell r="F108" t="str">
            <v>电路设计服务</v>
          </cell>
          <cell r="G108" t="str">
            <v>电子及通信设备制造业</v>
          </cell>
        </row>
        <row r="109">
          <cell r="F109" t="str">
            <v>电路测试服务</v>
          </cell>
          <cell r="G109" t="str">
            <v>电子及通信设备制造业</v>
          </cell>
        </row>
        <row r="110">
          <cell r="F110" t="str">
            <v>相关电路技术支持服务</v>
          </cell>
          <cell r="G110" t="str">
            <v>电子及通信设备制造业</v>
          </cell>
        </row>
        <row r="111">
          <cell r="F111" t="str">
            <v>信息系统服务</v>
          </cell>
          <cell r="G111" t="str">
            <v>其他制造业</v>
          </cell>
        </row>
        <row r="112">
          <cell r="F112" t="str">
            <v>业务流程管理服务</v>
          </cell>
          <cell r="G112" t="str">
            <v>交通运输、仓储、邮电通信业</v>
          </cell>
        </row>
        <row r="113">
          <cell r="F113" t="str">
            <v>信息系统增值服务</v>
          </cell>
          <cell r="G113" t="str">
            <v>电子及通信设备制造业</v>
          </cell>
        </row>
        <row r="114">
          <cell r="F114" t="str">
            <v>工程设计服务</v>
          </cell>
          <cell r="G114" t="str">
            <v>农、林、牧、渔及水利业</v>
          </cell>
        </row>
        <row r="115">
          <cell r="F115" t="str">
            <v>专业设计服务</v>
          </cell>
          <cell r="G115" t="str">
            <v>服装及其他纤维制品制造业</v>
          </cell>
        </row>
        <row r="116">
          <cell r="F116" t="str">
            <v>文印晒图服务</v>
          </cell>
          <cell r="G116" t="str">
            <v>其他制造业</v>
          </cell>
        </row>
        <row r="117">
          <cell r="F117" t="str">
            <v>其他设计服务</v>
          </cell>
          <cell r="G117" t="str">
            <v>其他制造业</v>
          </cell>
        </row>
        <row r="118">
          <cell r="F118" t="str">
            <v>知识产权服务</v>
          </cell>
          <cell r="G118" t="str">
            <v>电子及通信设备制造业</v>
          </cell>
        </row>
        <row r="119">
          <cell r="F119" t="str">
            <v>影视、广播广告发布服务</v>
          </cell>
          <cell r="G119" t="str">
            <v>其他制造业</v>
          </cell>
        </row>
        <row r="120">
          <cell r="F120" t="str">
            <v>报纸、杂志广告发布服务</v>
          </cell>
          <cell r="G120" t="str">
            <v>其他制造业</v>
          </cell>
        </row>
        <row r="121">
          <cell r="F121" t="str">
            <v>灯箱广告发布服务</v>
          </cell>
          <cell r="G121" t="str">
            <v>其他制造业</v>
          </cell>
        </row>
        <row r="122">
          <cell r="F122" t="str">
            <v>路牌广告发布服务</v>
          </cell>
          <cell r="G122" t="str">
            <v>其他制造业</v>
          </cell>
        </row>
        <row r="123">
          <cell r="F123" t="str">
            <v>建筑物广告发布服务</v>
          </cell>
          <cell r="G123" t="str">
            <v>建筑业</v>
          </cell>
        </row>
        <row r="124">
          <cell r="F124" t="str">
            <v>互联网广告发布服务</v>
          </cell>
          <cell r="G124" t="str">
            <v>其他制造业</v>
          </cell>
        </row>
        <row r="125">
          <cell r="F125" t="str">
            <v>流动广告发布服务</v>
          </cell>
          <cell r="G125" t="str">
            <v>服装及其他纤维制品制造业</v>
          </cell>
        </row>
        <row r="126">
          <cell r="F126" t="str">
            <v>其他广告发布服务</v>
          </cell>
          <cell r="G126" t="str">
            <v>其他制造业</v>
          </cell>
        </row>
        <row r="127">
          <cell r="F127" t="str">
            <v>广告代理服务</v>
          </cell>
          <cell r="G127" t="str">
            <v>其他制造业</v>
          </cell>
        </row>
        <row r="128">
          <cell r="F128" t="str">
            <v>会议服务</v>
          </cell>
          <cell r="G128" t="str">
            <v>其他制造业</v>
          </cell>
        </row>
        <row r="129">
          <cell r="F129" t="str">
            <v>展览服务</v>
          </cell>
          <cell r="G129" t="str">
            <v>其他制造业</v>
          </cell>
        </row>
        <row r="130">
          <cell r="F130" t="str">
            <v>机场服务</v>
          </cell>
          <cell r="G130" t="str">
            <v>其他制造业</v>
          </cell>
        </row>
        <row r="131">
          <cell r="F131" t="str">
            <v>空中交通管理服务</v>
          </cell>
          <cell r="G131" t="str">
            <v>其他制造业</v>
          </cell>
        </row>
        <row r="132">
          <cell r="F132" t="str">
            <v>其他航空地面服务</v>
          </cell>
          <cell r="G132" t="str">
            <v>交通运输、仓储、邮电通信业</v>
          </cell>
        </row>
        <row r="133">
          <cell r="F133" t="str">
            <v>航空摄影</v>
          </cell>
          <cell r="G133" t="str">
            <v>交通运输、仓储、邮电通信业</v>
          </cell>
        </row>
        <row r="134">
          <cell r="F134" t="str">
            <v>航空培训</v>
          </cell>
          <cell r="G134" t="str">
            <v>交通运输、仓储、邮电通信业</v>
          </cell>
        </row>
        <row r="135">
          <cell r="F135" t="str">
            <v>航空测量</v>
          </cell>
          <cell r="G135" t="str">
            <v>交通运输、仓储、邮电通信业</v>
          </cell>
        </row>
        <row r="136">
          <cell r="F136" t="str">
            <v>航空勘探</v>
          </cell>
          <cell r="G136" t="str">
            <v>交通运输、仓储、邮电通信业</v>
          </cell>
        </row>
        <row r="137">
          <cell r="F137" t="str">
            <v>航空护林</v>
          </cell>
          <cell r="G137" t="str">
            <v>交通运输、仓储、邮电通信业</v>
          </cell>
        </row>
        <row r="138">
          <cell r="F138" t="str">
            <v>航空播洒农药</v>
          </cell>
          <cell r="G138" t="str">
            <v>农、林、牧、渔及水利业</v>
          </cell>
        </row>
        <row r="139">
          <cell r="F139" t="str">
            <v>航空降雨</v>
          </cell>
          <cell r="G139" t="str">
            <v>交通运输、仓储、邮电通信业</v>
          </cell>
        </row>
        <row r="140">
          <cell r="F140" t="str">
            <v>其他通用航空服务</v>
          </cell>
          <cell r="G140" t="str">
            <v>交通运输、仓储、邮电通信业</v>
          </cell>
        </row>
        <row r="141">
          <cell r="F141" t="str">
            <v>客运港口码头服务</v>
          </cell>
          <cell r="G141" t="str">
            <v>其他制造业</v>
          </cell>
        </row>
        <row r="142">
          <cell r="F142" t="str">
            <v>货运港口码头服务</v>
          </cell>
          <cell r="G142" t="str">
            <v>其他制造业</v>
          </cell>
        </row>
        <row r="143">
          <cell r="F143" t="str">
            <v>其他港口码头服务</v>
          </cell>
          <cell r="G143" t="str">
            <v>其他制造业</v>
          </cell>
        </row>
        <row r="144">
          <cell r="F144" t="str">
            <v>铁路货运客运场站服务</v>
          </cell>
          <cell r="G144" t="str">
            <v>交通运输、仓储、邮电通信业</v>
          </cell>
        </row>
        <row r="145">
          <cell r="F145" t="str">
            <v>道路货运客运场站服务</v>
          </cell>
          <cell r="G145" t="str">
            <v>其他制造业</v>
          </cell>
        </row>
        <row r="146">
          <cell r="F146" t="str">
            <v>打捞救助服务</v>
          </cell>
          <cell r="G146" t="str">
            <v>交通运输设备制造业</v>
          </cell>
        </row>
        <row r="147">
          <cell r="F147" t="str">
            <v>农产品仓储服务</v>
          </cell>
          <cell r="G147" t="str">
            <v>农、林、牧、渔及水利业</v>
          </cell>
        </row>
        <row r="148">
          <cell r="F148" t="str">
            <v>专业仓储服务</v>
          </cell>
          <cell r="G148" t="str">
            <v>石油和天然气开采业</v>
          </cell>
        </row>
        <row r="149">
          <cell r="F149" t="str">
            <v>运输货场仓储服务</v>
          </cell>
          <cell r="G149" t="str">
            <v>交通运输、仓储、邮电通信业</v>
          </cell>
        </row>
        <row r="150">
          <cell r="F150" t="str">
            <v>商业流通仓储服务</v>
          </cell>
          <cell r="G150" t="str">
            <v>交通运输、仓储、邮电通信业</v>
          </cell>
        </row>
        <row r="151">
          <cell r="F151" t="str">
            <v>其他仓储服务</v>
          </cell>
          <cell r="G151" t="str">
            <v>农、林、牧、渔及水利业</v>
          </cell>
        </row>
        <row r="152">
          <cell r="F152" t="str">
            <v>装卸搬运服务</v>
          </cell>
          <cell r="G152" t="str">
            <v>交通运输、仓储、邮电通信业</v>
          </cell>
        </row>
        <row r="153">
          <cell r="F153" t="str">
            <v>收件服务</v>
          </cell>
          <cell r="G153" t="str">
            <v>其他制造业</v>
          </cell>
        </row>
        <row r="154">
          <cell r="F154" t="str">
            <v>分拣服务</v>
          </cell>
          <cell r="G154" t="str">
            <v>其他制造业</v>
          </cell>
        </row>
        <row r="155">
          <cell r="F155" t="str">
            <v>派送服务</v>
          </cell>
          <cell r="G155" t="str">
            <v>其他制造业</v>
          </cell>
        </row>
        <row r="156">
          <cell r="F156" t="str">
            <v>快递服务</v>
          </cell>
          <cell r="G156" t="str">
            <v>交通运输、仓储、邮电通信业</v>
          </cell>
        </row>
        <row r="157">
          <cell r="F157" t="str">
            <v>有形动产融资租赁服务</v>
          </cell>
          <cell r="G157" t="str">
            <v>其他制造业</v>
          </cell>
        </row>
        <row r="158">
          <cell r="F158" t="str">
            <v>不动产融资租赁服务</v>
          </cell>
          <cell r="G158" t="str">
            <v>其他制造业</v>
          </cell>
        </row>
        <row r="159">
          <cell r="F159" t="str">
            <v>其他融资租赁服务</v>
          </cell>
          <cell r="G159" t="str">
            <v>其他制造业</v>
          </cell>
        </row>
        <row r="160">
          <cell r="F160" t="str">
            <v>光租业务</v>
          </cell>
          <cell r="G160" t="str">
            <v>交通运输设备制造业</v>
          </cell>
        </row>
        <row r="161">
          <cell r="F161" t="str">
            <v>干租业务</v>
          </cell>
          <cell r="G161" t="str">
            <v>交通运输设备制造业</v>
          </cell>
        </row>
        <row r="162">
          <cell r="F162" t="str">
            <v>其他有形动产经营租赁服务</v>
          </cell>
          <cell r="G162" t="str">
            <v>其他制造业</v>
          </cell>
        </row>
        <row r="163">
          <cell r="F163" t="str">
            <v>公共住房租赁</v>
          </cell>
          <cell r="G163" t="str">
            <v>其他制造业</v>
          </cell>
        </row>
        <row r="164">
          <cell r="F164" t="str">
            <v>个人出租住房</v>
          </cell>
          <cell r="G164" t="str">
            <v>其他制造业</v>
          </cell>
        </row>
        <row r="165">
          <cell r="F165" t="str">
            <v>其他住房租赁服务</v>
          </cell>
          <cell r="G165" t="str">
            <v>其他制造业</v>
          </cell>
        </row>
        <row r="166">
          <cell r="F166" t="str">
            <v>车辆停放服务</v>
          </cell>
          <cell r="G166" t="str">
            <v>其他制造业</v>
          </cell>
        </row>
        <row r="167">
          <cell r="F167" t="str">
            <v>高速公路通行服务</v>
          </cell>
          <cell r="G167" t="str">
            <v>交通运输、仓储、邮电通信业</v>
          </cell>
        </row>
        <row r="168">
          <cell r="F168" t="str">
            <v>江河等闸口通行服务</v>
          </cell>
          <cell r="G168" t="str">
            <v>其他制造业</v>
          </cell>
        </row>
        <row r="169">
          <cell r="F169" t="str">
            <v>桥梁通行服务</v>
          </cell>
          <cell r="G169" t="str">
            <v>其他制造业</v>
          </cell>
        </row>
        <row r="170">
          <cell r="F170" t="str">
            <v>其他道路通行服务</v>
          </cell>
          <cell r="G170" t="str">
            <v>其他制造业</v>
          </cell>
        </row>
        <row r="171">
          <cell r="F171" t="str">
            <v>商业营业用房经营租赁服务</v>
          </cell>
          <cell r="G171" t="str">
            <v>其他制造业</v>
          </cell>
        </row>
        <row r="172">
          <cell r="F172" t="str">
            <v>军队空余房产租赁服务</v>
          </cell>
          <cell r="G172" t="str">
            <v>其他制造业</v>
          </cell>
        </row>
        <row r="173">
          <cell r="F173" t="str">
            <v>其他情形不动产经营租赁服务</v>
          </cell>
          <cell r="G173" t="str">
            <v>其他制造业</v>
          </cell>
        </row>
        <row r="174">
          <cell r="F174" t="str">
            <v>认证服务</v>
          </cell>
          <cell r="G174" t="str">
            <v>其他制造业</v>
          </cell>
        </row>
        <row r="175">
          <cell r="F175" t="str">
            <v>工程监理服务</v>
          </cell>
          <cell r="G175" t="str">
            <v>建筑业</v>
          </cell>
        </row>
        <row r="176">
          <cell r="F176" t="str">
            <v>审计服务</v>
          </cell>
          <cell r="G176" t="str">
            <v>其他制造业</v>
          </cell>
        </row>
        <row r="177">
          <cell r="F177" t="str">
            <v>涉税鉴证</v>
          </cell>
          <cell r="G177" t="str">
            <v>其他制造业</v>
          </cell>
        </row>
        <row r="178">
          <cell r="F178" t="str">
            <v>纳税情况审查</v>
          </cell>
          <cell r="G178" t="str">
            <v>其他制造业</v>
          </cell>
        </row>
        <row r="179">
          <cell r="F179" t="str">
            <v>其他鉴证服务</v>
          </cell>
          <cell r="G179" t="str">
            <v>其他制造业</v>
          </cell>
        </row>
        <row r="180">
          <cell r="F180" t="str">
            <v>会计咨询</v>
          </cell>
          <cell r="G180" t="str">
            <v>其他制造业</v>
          </cell>
        </row>
        <row r="181">
          <cell r="F181" t="str">
            <v>法律咨询</v>
          </cell>
          <cell r="G181" t="str">
            <v>其他制造业</v>
          </cell>
        </row>
        <row r="182">
          <cell r="F182" t="str">
            <v>一般税务咨询</v>
          </cell>
          <cell r="G182" t="str">
            <v>其他制造业</v>
          </cell>
        </row>
        <row r="183">
          <cell r="F183" t="str">
            <v>专业税务顾问</v>
          </cell>
          <cell r="G183" t="str">
            <v>其他制造业</v>
          </cell>
        </row>
        <row r="184">
          <cell r="F184" t="str">
            <v>税务合规计划</v>
          </cell>
          <cell r="G184" t="str">
            <v>其他制造业</v>
          </cell>
        </row>
        <row r="185">
          <cell r="F185" t="str">
            <v>其他税务代理</v>
          </cell>
          <cell r="G185" t="str">
            <v>其他制造业</v>
          </cell>
        </row>
        <row r="186">
          <cell r="F186" t="str">
            <v>其他咨询服务</v>
          </cell>
          <cell r="G186" t="str">
            <v>其他制造业</v>
          </cell>
        </row>
        <row r="187">
          <cell r="F187" t="str">
            <v>会计服务</v>
          </cell>
          <cell r="G187" t="str">
            <v>其他制造业</v>
          </cell>
        </row>
        <row r="188">
          <cell r="F188" t="str">
            <v>广播节目制作服务</v>
          </cell>
          <cell r="G188" t="str">
            <v>其他制造业</v>
          </cell>
        </row>
        <row r="189">
          <cell r="F189" t="str">
            <v>电视节目制作服务</v>
          </cell>
          <cell r="G189" t="str">
            <v>其他制造业</v>
          </cell>
        </row>
        <row r="190">
          <cell r="F190" t="str">
            <v>电影制作服务</v>
          </cell>
          <cell r="G190" t="str">
            <v>其他制造业</v>
          </cell>
        </row>
        <row r="191">
          <cell r="F191" t="str">
            <v>音像制作服务</v>
          </cell>
          <cell r="G191" t="str">
            <v>其他制造业</v>
          </cell>
        </row>
        <row r="192">
          <cell r="F192" t="str">
            <v>广播节目发行服务</v>
          </cell>
          <cell r="G192" t="str">
            <v>其他制造业</v>
          </cell>
        </row>
        <row r="193">
          <cell r="F193" t="str">
            <v>电视节目发行服务</v>
          </cell>
          <cell r="G193" t="str">
            <v>其他制造业</v>
          </cell>
        </row>
        <row r="194">
          <cell r="F194" t="str">
            <v>电影发行服务</v>
          </cell>
          <cell r="G194" t="str">
            <v>其他制造业</v>
          </cell>
        </row>
        <row r="195">
          <cell r="F195" t="str">
            <v>广播节目播出服务</v>
          </cell>
          <cell r="G195" t="str">
            <v>其他制造业</v>
          </cell>
        </row>
        <row r="196">
          <cell r="F196" t="str">
            <v>电视节目播出服务</v>
          </cell>
          <cell r="G196" t="str">
            <v>其他制造业</v>
          </cell>
        </row>
        <row r="197">
          <cell r="F197" t="str">
            <v>现场电影放映服务</v>
          </cell>
          <cell r="G197" t="str">
            <v>其他制造业</v>
          </cell>
        </row>
        <row r="198">
          <cell r="F198" t="str">
            <v>互联网电影播出服务</v>
          </cell>
          <cell r="G198" t="str">
            <v>其他制造业</v>
          </cell>
        </row>
        <row r="199">
          <cell r="F199" t="str">
            <v>物业管理服务</v>
          </cell>
          <cell r="G199" t="str">
            <v>其他制造业</v>
          </cell>
        </row>
        <row r="200">
          <cell r="F200" t="str">
            <v>其他企业管理服务</v>
          </cell>
          <cell r="G200" t="str">
            <v>其他制造业</v>
          </cell>
        </row>
        <row r="201">
          <cell r="F201" t="str">
            <v>国内货物运输代理服务</v>
          </cell>
          <cell r="G201" t="str">
            <v>交通运输、仓储、邮电通信业</v>
          </cell>
        </row>
        <row r="202">
          <cell r="F202" t="str">
            <v>国际货物运输代理服务</v>
          </cell>
          <cell r="G202" t="str">
            <v>交通运输、仓储、邮电通信业</v>
          </cell>
        </row>
        <row r="203">
          <cell r="F203" t="str">
            <v>港澳台货物运输代理服务</v>
          </cell>
          <cell r="G203" t="str">
            <v>交通运输、仓储、邮电通信业</v>
          </cell>
        </row>
        <row r="204">
          <cell r="F204" t="str">
            <v>其他货物运输代理服务</v>
          </cell>
          <cell r="G204" t="str">
            <v>交通运输、仓储、邮电通信业</v>
          </cell>
        </row>
        <row r="205">
          <cell r="F205" t="str">
            <v>代理报关服务</v>
          </cell>
          <cell r="G205" t="str">
            <v>其他制造业</v>
          </cell>
        </row>
        <row r="206">
          <cell r="F206" t="str">
            <v>婚姻介绍服务</v>
          </cell>
          <cell r="G206" t="str">
            <v>其他制造业</v>
          </cell>
        </row>
        <row r="207">
          <cell r="F207" t="str">
            <v>纳税申报代办</v>
          </cell>
          <cell r="G207" t="str">
            <v>其他制造业</v>
          </cell>
        </row>
        <row r="208">
          <cell r="F208" t="str">
            <v>其他税务事项代办</v>
          </cell>
          <cell r="G208" t="str">
            <v>其他制造业</v>
          </cell>
        </row>
        <row r="209">
          <cell r="F209" t="str">
            <v>非诉讼代理</v>
          </cell>
          <cell r="G209" t="str">
            <v>其他制造业</v>
          </cell>
        </row>
        <row r="210">
          <cell r="F210" t="str">
            <v>诉讼代理</v>
          </cell>
          <cell r="G210" t="str">
            <v>其他制造业</v>
          </cell>
        </row>
        <row r="211">
          <cell r="F211" t="str">
            <v>代理记账</v>
          </cell>
          <cell r="G211" t="str">
            <v>其他制造业</v>
          </cell>
        </row>
        <row r="212">
          <cell r="F212" t="str">
            <v>其他经纪代理服务</v>
          </cell>
          <cell r="G212" t="str">
            <v>其他制造业</v>
          </cell>
        </row>
        <row r="213">
          <cell r="F213" t="str">
            <v>劳务派遣服务</v>
          </cell>
          <cell r="G213" t="str">
            <v>其他制造业</v>
          </cell>
        </row>
        <row r="214">
          <cell r="F214" t="str">
            <v>其他人力资源服务</v>
          </cell>
          <cell r="G214" t="str">
            <v>其他制造业</v>
          </cell>
        </row>
        <row r="215">
          <cell r="F215" t="str">
            <v>安全保护服务</v>
          </cell>
          <cell r="G215" t="str">
            <v>其他制造业</v>
          </cell>
        </row>
        <row r="216">
          <cell r="F216" t="str">
            <v>其他现代服务</v>
          </cell>
          <cell r="G216" t="str">
            <v>交通运输、仓储、邮电通信业</v>
          </cell>
        </row>
        <row r="217">
          <cell r="F217" t="str">
            <v>工程服务</v>
          </cell>
          <cell r="G217" t="str">
            <v>建筑业</v>
          </cell>
        </row>
        <row r="218">
          <cell r="F218" t="str">
            <v>安装服务</v>
          </cell>
          <cell r="G218" t="str">
            <v>其他制造业</v>
          </cell>
        </row>
        <row r="219">
          <cell r="F219" t="str">
            <v>修缮服务</v>
          </cell>
          <cell r="G219" t="str">
            <v>建筑业</v>
          </cell>
        </row>
        <row r="220">
          <cell r="F220" t="str">
            <v>装饰服务</v>
          </cell>
          <cell r="G220" t="str">
            <v>建筑业</v>
          </cell>
        </row>
        <row r="221">
          <cell r="F221" t="str">
            <v>其他建筑服务</v>
          </cell>
          <cell r="G221" t="str">
            <v>其他矿采选业</v>
          </cell>
        </row>
        <row r="222">
          <cell r="F222" t="str">
            <v>金融同业往来业务</v>
          </cell>
          <cell r="G222" t="str">
            <v>其他制造业</v>
          </cell>
        </row>
        <row r="223">
          <cell r="F223" t="str">
            <v>金融机构农户小额贷款</v>
          </cell>
          <cell r="G223" t="str">
            <v>其他制造业</v>
          </cell>
        </row>
        <row r="224">
          <cell r="F224" t="str">
            <v>国家助学贷款</v>
          </cell>
          <cell r="G224" t="str">
            <v>其他制造业</v>
          </cell>
        </row>
        <row r="225">
          <cell r="F225" t="str">
            <v>国债</v>
          </cell>
          <cell r="G225" t="str">
            <v>其他制造业</v>
          </cell>
        </row>
        <row r="226">
          <cell r="F226" t="str">
            <v>地方政府债</v>
          </cell>
          <cell r="G226" t="str">
            <v>其他制造业</v>
          </cell>
        </row>
        <row r="227">
          <cell r="F227" t="str">
            <v>住房公积金个人住房贷款</v>
          </cell>
          <cell r="G227" t="str">
            <v>其他制造业</v>
          </cell>
        </row>
        <row r="228">
          <cell r="F228" t="str">
            <v>外汇局外汇贷款</v>
          </cell>
          <cell r="G228" t="str">
            <v>其他制造业</v>
          </cell>
        </row>
        <row r="229">
          <cell r="F229" t="str">
            <v>统借统还</v>
          </cell>
          <cell r="G229" t="str">
            <v>其他制造业</v>
          </cell>
        </row>
        <row r="230">
          <cell r="F230" t="str">
            <v>有形动产融资性售后回租</v>
          </cell>
          <cell r="G230" t="str">
            <v>其他制造业</v>
          </cell>
        </row>
        <row r="231">
          <cell r="F231" t="str">
            <v>不动产融资性售后回租</v>
          </cell>
          <cell r="G231" t="str">
            <v>其他制造业</v>
          </cell>
        </row>
        <row r="232">
          <cell r="F232" t="str">
            <v>其他融资性售后回租</v>
          </cell>
          <cell r="G232" t="str">
            <v>其他制造业</v>
          </cell>
        </row>
        <row r="233">
          <cell r="F233" t="str">
            <v>企业贷款</v>
          </cell>
          <cell r="G233" t="str">
            <v>其他制造业</v>
          </cell>
        </row>
        <row r="234">
          <cell r="F234" t="str">
            <v>个人贷款</v>
          </cell>
          <cell r="G234" t="str">
            <v>其他制造业</v>
          </cell>
        </row>
        <row r="235">
          <cell r="F235" t="str">
            <v>票据贴现</v>
          </cell>
          <cell r="G235" t="str">
            <v>其他制造业</v>
          </cell>
        </row>
        <row r="236">
          <cell r="F236" t="str">
            <v>其他贷款服务</v>
          </cell>
          <cell r="G236" t="str">
            <v>其他制造业</v>
          </cell>
        </row>
        <row r="237">
          <cell r="F237" t="str">
            <v>直接收费金融服务</v>
          </cell>
          <cell r="G237" t="str">
            <v>电子及通信设备制造业</v>
          </cell>
        </row>
        <row r="238">
          <cell r="F238" t="str">
            <v>一年期以上的返还性人身保险和健康保险服务</v>
          </cell>
          <cell r="G238" t="str">
            <v>其他制造业</v>
          </cell>
        </row>
        <row r="239">
          <cell r="F239" t="str">
            <v>其他人身保险服务</v>
          </cell>
          <cell r="G239" t="str">
            <v>其他制造业</v>
          </cell>
        </row>
        <row r="240">
          <cell r="F240" t="str">
            <v>出口货物保险服务</v>
          </cell>
          <cell r="G240" t="str">
            <v>其他制造业</v>
          </cell>
        </row>
        <row r="241">
          <cell r="F241" t="str">
            <v>机动车交通事故责任强制保险服务</v>
          </cell>
          <cell r="G241" t="str">
            <v>其他制造业</v>
          </cell>
        </row>
        <row r="242">
          <cell r="F242" t="str">
            <v>农牧业保险服务</v>
          </cell>
          <cell r="G242" t="str">
            <v>农、林、牧、渔及水利业</v>
          </cell>
        </row>
        <row r="243">
          <cell r="F243" t="str">
            <v>国际航运保险服务</v>
          </cell>
          <cell r="G243" t="str">
            <v>其他制造业</v>
          </cell>
        </row>
        <row r="244">
          <cell r="F244" t="str">
            <v>其他财产保险服务</v>
          </cell>
          <cell r="G244" t="str">
            <v>其他制造业</v>
          </cell>
        </row>
        <row r="245">
          <cell r="F245" t="str">
            <v>股票转让</v>
          </cell>
          <cell r="G245" t="str">
            <v>其他制造业</v>
          </cell>
        </row>
        <row r="246">
          <cell r="F246" t="str">
            <v>债券转让</v>
          </cell>
          <cell r="G246" t="str">
            <v>其他制造业</v>
          </cell>
        </row>
        <row r="247">
          <cell r="F247" t="str">
            <v>外汇转让</v>
          </cell>
          <cell r="G247" t="str">
            <v>其他制造业</v>
          </cell>
        </row>
        <row r="248">
          <cell r="F248" t="str">
            <v>其他金融商品转让</v>
          </cell>
          <cell r="G248" t="str">
            <v>其他制造业</v>
          </cell>
        </row>
        <row r="249">
          <cell r="F249" t="str">
            <v>文化服务</v>
          </cell>
          <cell r="G249" t="str">
            <v>其他制造业</v>
          </cell>
        </row>
        <row r="250">
          <cell r="F250" t="str">
            <v>体育服务</v>
          </cell>
          <cell r="G250" t="str">
            <v>其他制造业</v>
          </cell>
        </row>
        <row r="251">
          <cell r="F251" t="str">
            <v>学历教育服务</v>
          </cell>
          <cell r="G251" t="str">
            <v>其他制造业</v>
          </cell>
        </row>
        <row r="252">
          <cell r="F252" t="str">
            <v>非学历教育服务</v>
          </cell>
          <cell r="G252" t="str">
            <v>其他制造业</v>
          </cell>
        </row>
        <row r="253">
          <cell r="F253" t="str">
            <v>教育部考试中心及其直属单位代办境外单位考试服务费</v>
          </cell>
          <cell r="G253" t="str">
            <v>其他制造业</v>
          </cell>
        </row>
        <row r="254">
          <cell r="F254" t="str">
            <v>其他教育辅助服务</v>
          </cell>
          <cell r="G254" t="str">
            <v>其他制造业</v>
          </cell>
        </row>
        <row r="255">
          <cell r="F255" t="str">
            <v>医疗服务</v>
          </cell>
          <cell r="G255" t="str">
            <v>医药制造业</v>
          </cell>
        </row>
        <row r="256">
          <cell r="F256" t="str">
            <v>旅游服务</v>
          </cell>
          <cell r="G256" t="str">
            <v>批发、零售和餐饮业</v>
          </cell>
        </row>
        <row r="257">
          <cell r="F257" t="str">
            <v>娱乐服务</v>
          </cell>
          <cell r="G257" t="str">
            <v>其他制造业</v>
          </cell>
        </row>
        <row r="258">
          <cell r="F258" t="str">
            <v>餐饮服务</v>
          </cell>
          <cell r="G258" t="str">
            <v>批发、零售和餐饮业</v>
          </cell>
        </row>
        <row r="259">
          <cell r="F259" t="str">
            <v>住宿服务</v>
          </cell>
          <cell r="G259" t="str">
            <v>其他制造业</v>
          </cell>
        </row>
        <row r="260">
          <cell r="F260" t="str">
            <v>殡葬服务</v>
          </cell>
          <cell r="G260" t="str">
            <v>其他制造业</v>
          </cell>
        </row>
        <row r="261">
          <cell r="F261" t="str">
            <v>养老服务</v>
          </cell>
          <cell r="G261" t="str">
            <v>其他制造业</v>
          </cell>
        </row>
        <row r="262">
          <cell r="F262" t="str">
            <v>员工制家政服务</v>
          </cell>
          <cell r="G262" t="str">
            <v>其他制造业</v>
          </cell>
        </row>
        <row r="263">
          <cell r="F263" t="str">
            <v>育养服务</v>
          </cell>
          <cell r="G263" t="str">
            <v>其他制造业</v>
          </cell>
        </row>
        <row r="264">
          <cell r="F264" t="str">
            <v>其他居民日常服务</v>
          </cell>
          <cell r="G264" t="str">
            <v>其他制造业</v>
          </cell>
        </row>
        <row r="265">
          <cell r="F265" t="str">
            <v>其他生活服务</v>
          </cell>
          <cell r="G265" t="str">
            <v>批发、零售和餐饮业</v>
          </cell>
        </row>
        <row r="266">
          <cell r="F266" t="str">
            <v>专利技术</v>
          </cell>
          <cell r="G266" t="str">
            <v>其他制造业</v>
          </cell>
        </row>
        <row r="267">
          <cell r="F267" t="str">
            <v>非专利技术</v>
          </cell>
          <cell r="G267" t="str">
            <v>其他制造业</v>
          </cell>
        </row>
        <row r="268">
          <cell r="F268" t="str">
            <v>商标</v>
          </cell>
          <cell r="G268" t="str">
            <v>其他制造业</v>
          </cell>
        </row>
        <row r="269">
          <cell r="F269" t="str">
            <v>著作权</v>
          </cell>
          <cell r="G269" t="str">
            <v>其他制造业</v>
          </cell>
        </row>
        <row r="270">
          <cell r="F270" t="str">
            <v>商誉</v>
          </cell>
          <cell r="G270" t="str">
            <v>其他制造业</v>
          </cell>
        </row>
        <row r="271">
          <cell r="F271" t="str">
            <v>出让土地使用权</v>
          </cell>
          <cell r="G271" t="str">
            <v>其他制造业</v>
          </cell>
        </row>
        <row r="272">
          <cell r="F272" t="str">
            <v>收回土地使用权</v>
          </cell>
          <cell r="G272" t="str">
            <v>其他制造业</v>
          </cell>
        </row>
        <row r="273">
          <cell r="F273" t="str">
            <v>其他土地使用权</v>
          </cell>
          <cell r="G273" t="str">
            <v>其他制造业</v>
          </cell>
        </row>
        <row r="274">
          <cell r="F274" t="str">
            <v>探矿权</v>
          </cell>
          <cell r="G274" t="str">
            <v>其他制造业</v>
          </cell>
        </row>
        <row r="275">
          <cell r="F275" t="str">
            <v>采矿权</v>
          </cell>
          <cell r="G275" t="str">
            <v>其他矿采选业</v>
          </cell>
        </row>
        <row r="276">
          <cell r="F276" t="str">
            <v>其他自然资源使用权</v>
          </cell>
          <cell r="G276" t="str">
            <v>其他制造业</v>
          </cell>
        </row>
        <row r="277">
          <cell r="F277" t="str">
            <v>碳排放交易配额</v>
          </cell>
          <cell r="G277" t="str">
            <v>其他制造业</v>
          </cell>
        </row>
        <row r="278">
          <cell r="F278" t="str">
            <v>其他配额</v>
          </cell>
          <cell r="G278" t="str">
            <v>其他制造业</v>
          </cell>
        </row>
        <row r="279">
          <cell r="F279" t="str">
            <v>其他未列明权益性无形资产</v>
          </cell>
          <cell r="G279" t="str">
            <v>其他制造业</v>
          </cell>
        </row>
        <row r="280">
          <cell r="F280" t="str">
            <v>房地产开发住宅</v>
          </cell>
          <cell r="G280" t="str">
            <v>其他制造业</v>
          </cell>
        </row>
        <row r="281">
          <cell r="F281" t="str">
            <v>取得的住宅</v>
          </cell>
          <cell r="G281" t="str">
            <v>其他制造业</v>
          </cell>
        </row>
        <row r="282">
          <cell r="F282" t="str">
            <v>房改房</v>
          </cell>
          <cell r="G282" t="str">
            <v>其他制造业</v>
          </cell>
        </row>
        <row r="283">
          <cell r="F283" t="str">
            <v>其他住房</v>
          </cell>
          <cell r="G283" t="str">
            <v>其他制造业</v>
          </cell>
        </row>
        <row r="284">
          <cell r="F284" t="str">
            <v>房地产开发商业用房</v>
          </cell>
          <cell r="G284" t="str">
            <v>其他制造业</v>
          </cell>
        </row>
        <row r="285">
          <cell r="F285" t="str">
            <v>取得的商业用房</v>
          </cell>
          <cell r="G285" t="str">
            <v>其他制造业</v>
          </cell>
        </row>
        <row r="286">
          <cell r="F286" t="str">
            <v>其他商业用房</v>
          </cell>
          <cell r="G286" t="str">
            <v>其他制造业</v>
          </cell>
        </row>
        <row r="287">
          <cell r="F287" t="str">
            <v>其他建筑物</v>
          </cell>
          <cell r="G287" t="str">
            <v>建筑业</v>
          </cell>
        </row>
        <row r="288">
          <cell r="F288" t="str">
            <v>构筑物</v>
          </cell>
          <cell r="G288" t="str">
            <v>其他制造业</v>
          </cell>
        </row>
        <row r="289">
          <cell r="F289" t="str">
            <v>其他不动产</v>
          </cell>
          <cell r="G289" t="str">
            <v>建筑业</v>
          </cell>
        </row>
      </sheetData>
      <sheetData sheetId="1"/>
      <sheetData sheetId="2"/>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14"/>
  <sheetViews>
    <sheetView topLeftCell="A3181" workbookViewId="0">
      <selection activeCell="L3" sqref="L3"/>
    </sheetView>
  </sheetViews>
  <sheetFormatPr defaultColWidth="9.7265625" defaultRowHeight="14" x14ac:dyDescent="0.25"/>
  <cols>
    <col min="1" max="1" width="5.90625" style="1"/>
    <col min="2" max="2" width="23.54296875" style="2" customWidth="1"/>
    <col min="3" max="3" width="18.26953125" style="2" customWidth="1"/>
    <col min="4" max="4" width="20.7265625" style="2" customWidth="1"/>
    <col min="5" max="5" width="19.54296875" style="2" customWidth="1"/>
    <col min="6" max="6" width="17.7265625" style="2" customWidth="1"/>
    <col min="7" max="7" width="31.26953125" style="2" customWidth="1"/>
    <col min="8" max="8" width="17.1796875" style="2" customWidth="1"/>
    <col min="9" max="9" width="28.1796875" style="15" customWidth="1"/>
    <col min="10" max="10" width="17.7265625" style="15" customWidth="1"/>
    <col min="11" max="11" width="31.26953125" style="9" customWidth="1"/>
    <col min="12" max="16384" width="9.7265625" style="14"/>
  </cols>
  <sheetData>
    <row r="1" spans="1:11" s="13" customFormat="1" ht="27" customHeight="1" x14ac:dyDescent="0.25">
      <c r="A1" s="3" t="s">
        <v>0</v>
      </c>
      <c r="B1" s="3" t="s">
        <v>1</v>
      </c>
      <c r="C1" s="3" t="s">
        <v>2</v>
      </c>
      <c r="D1" s="4" t="s">
        <v>3</v>
      </c>
      <c r="E1" s="7" t="s">
        <v>4</v>
      </c>
      <c r="F1" s="4" t="s">
        <v>5</v>
      </c>
      <c r="G1" s="4" t="s">
        <v>6</v>
      </c>
      <c r="H1" s="8" t="s">
        <v>7</v>
      </c>
      <c r="I1" s="8" t="s">
        <v>8</v>
      </c>
      <c r="J1" s="8" t="s">
        <v>9</v>
      </c>
      <c r="K1" s="8" t="s">
        <v>10</v>
      </c>
    </row>
    <row r="2" spans="1:11" ht="12.5" customHeight="1" x14ac:dyDescent="0.25">
      <c r="A2" s="5" t="s">
        <v>11</v>
      </c>
      <c r="B2" s="6" t="s">
        <v>12</v>
      </c>
      <c r="C2" s="6" t="s">
        <v>13</v>
      </c>
      <c r="D2" s="6" t="s">
        <v>14</v>
      </c>
      <c r="E2" s="6" t="s">
        <v>15</v>
      </c>
      <c r="F2" s="6" t="s">
        <v>16</v>
      </c>
      <c r="G2" s="9" t="s">
        <v>17</v>
      </c>
      <c r="H2" s="9" t="s">
        <v>18</v>
      </c>
      <c r="I2" s="16" t="str">
        <f>VLOOKUP(F2,[1]完整分类结果!$E:$G,3,0)</f>
        <v>农、林、牧、渔及水利业</v>
      </c>
      <c r="J2" s="16">
        <f>VLOOKUP(I2,[2]行业排放因子!$A:$B,2,0)</f>
        <v>90.746322689478703</v>
      </c>
      <c r="K2" s="9" t="s">
        <v>19</v>
      </c>
    </row>
    <row r="3" spans="1:11" ht="12.5" customHeight="1" x14ac:dyDescent="0.25">
      <c r="A3" s="5" t="s">
        <v>20</v>
      </c>
      <c r="B3" s="6" t="s">
        <v>12</v>
      </c>
      <c r="C3" s="6" t="s">
        <v>13</v>
      </c>
      <c r="D3" s="6" t="s">
        <v>14</v>
      </c>
      <c r="E3" s="6" t="s">
        <v>21</v>
      </c>
      <c r="F3" s="6" t="s">
        <v>22</v>
      </c>
      <c r="G3" s="9" t="s">
        <v>23</v>
      </c>
      <c r="H3" s="9" t="s">
        <v>18</v>
      </c>
      <c r="I3" s="16" t="str">
        <f>VLOOKUP(F3,[1]完整分类结果!$E:$G,3,0)</f>
        <v>农、林、牧、渔及水利业</v>
      </c>
      <c r="J3" s="16">
        <f>VLOOKUP(I3,[2]行业排放因子!$A:$B,2,0)</f>
        <v>90.746322689478703</v>
      </c>
      <c r="K3" s="9" t="s">
        <v>19</v>
      </c>
    </row>
    <row r="4" spans="1:11" ht="12.5" customHeight="1" x14ac:dyDescent="0.25">
      <c r="A4" s="5" t="s">
        <v>24</v>
      </c>
      <c r="B4" s="6" t="s">
        <v>12</v>
      </c>
      <c r="C4" s="6" t="s">
        <v>13</v>
      </c>
      <c r="D4" s="6" t="s">
        <v>14</v>
      </c>
      <c r="E4" s="6" t="s">
        <v>25</v>
      </c>
      <c r="F4" s="6" t="s">
        <v>26</v>
      </c>
      <c r="G4" s="9" t="s">
        <v>27</v>
      </c>
      <c r="H4" s="9" t="s">
        <v>18</v>
      </c>
      <c r="I4" s="16" t="str">
        <f>VLOOKUP(F4,[1]完整分类结果!$E:$G,3,0)</f>
        <v>农、林、牧、渔及水利业</v>
      </c>
      <c r="J4" s="16">
        <f>VLOOKUP(I4,[2]行业排放因子!$A:$B,2,0)</f>
        <v>90.746322689478703</v>
      </c>
      <c r="K4" s="9" t="s">
        <v>19</v>
      </c>
    </row>
    <row r="5" spans="1:11" ht="12.5" customHeight="1" x14ac:dyDescent="0.25">
      <c r="A5" s="5" t="s">
        <v>28</v>
      </c>
      <c r="B5" s="6" t="s">
        <v>12</v>
      </c>
      <c r="C5" s="6" t="s">
        <v>13</v>
      </c>
      <c r="D5" s="6" t="s">
        <v>14</v>
      </c>
      <c r="E5" s="6" t="s">
        <v>29</v>
      </c>
      <c r="F5" s="6" t="s">
        <v>30</v>
      </c>
      <c r="G5" s="9" t="s">
        <v>31</v>
      </c>
      <c r="H5" s="9" t="s">
        <v>18</v>
      </c>
      <c r="I5" s="16" t="str">
        <f>VLOOKUP(F5,[1]完整分类结果!$E:$G,3,0)</f>
        <v>农、林、牧、渔及水利业</v>
      </c>
      <c r="J5" s="16">
        <f>VLOOKUP(I5,[2]行业排放因子!$A:$B,2,0)</f>
        <v>90.746322689478703</v>
      </c>
      <c r="K5" s="9" t="s">
        <v>19</v>
      </c>
    </row>
    <row r="6" spans="1:11" ht="12.5" customHeight="1" x14ac:dyDescent="0.25">
      <c r="A6" s="5" t="s">
        <v>32</v>
      </c>
      <c r="B6" s="6" t="s">
        <v>12</v>
      </c>
      <c r="C6" s="6" t="s">
        <v>13</v>
      </c>
      <c r="D6" s="6" t="s">
        <v>14</v>
      </c>
      <c r="E6" s="6" t="s">
        <v>33</v>
      </c>
      <c r="F6" s="6" t="s">
        <v>34</v>
      </c>
      <c r="G6" s="9" t="s">
        <v>35</v>
      </c>
      <c r="H6" s="9" t="s">
        <v>18</v>
      </c>
      <c r="I6" s="16" t="str">
        <f>VLOOKUP(F6,[1]完整分类结果!$E:$G,3,0)</f>
        <v>农、林、牧、渔及水利业</v>
      </c>
      <c r="J6" s="16">
        <f>VLOOKUP(I6,[2]行业排放因子!$A:$B,2,0)</f>
        <v>90.746322689478703</v>
      </c>
      <c r="K6" s="9" t="s">
        <v>19</v>
      </c>
    </row>
    <row r="7" spans="1:11" ht="12.5" customHeight="1" x14ac:dyDescent="0.25">
      <c r="A7" s="5" t="s">
        <v>36</v>
      </c>
      <c r="B7" s="6" t="s">
        <v>12</v>
      </c>
      <c r="C7" s="6" t="s">
        <v>13</v>
      </c>
      <c r="D7" s="6" t="s">
        <v>14</v>
      </c>
      <c r="E7" s="6" t="s">
        <v>37</v>
      </c>
      <c r="F7" s="6" t="s">
        <v>38</v>
      </c>
      <c r="G7" s="9" t="s">
        <v>39</v>
      </c>
      <c r="H7" s="9" t="s">
        <v>18</v>
      </c>
      <c r="I7" s="16" t="str">
        <f>VLOOKUP(F7,[1]完整分类结果!$E:$G,3,0)</f>
        <v>农、林、牧、渔及水利业</v>
      </c>
      <c r="J7" s="16">
        <f>VLOOKUP(I7,[2]行业排放因子!$A:$B,2,0)</f>
        <v>90.746322689478703</v>
      </c>
      <c r="K7" s="9" t="s">
        <v>19</v>
      </c>
    </row>
    <row r="8" spans="1:11" ht="12.5" customHeight="1" x14ac:dyDescent="0.25">
      <c r="A8" s="5" t="s">
        <v>40</v>
      </c>
      <c r="B8" s="6" t="s">
        <v>12</v>
      </c>
      <c r="C8" s="6" t="s">
        <v>13</v>
      </c>
      <c r="D8" s="6" t="s">
        <v>14</v>
      </c>
      <c r="E8" s="6" t="s">
        <v>41</v>
      </c>
      <c r="F8" s="6" t="s">
        <v>42</v>
      </c>
      <c r="G8" s="9" t="s">
        <v>43</v>
      </c>
      <c r="H8" s="9" t="s">
        <v>18</v>
      </c>
      <c r="I8" s="16" t="str">
        <f>VLOOKUP(F8,[1]完整分类结果!$E:$G,3,0)</f>
        <v>农、林、牧、渔及水利业</v>
      </c>
      <c r="J8" s="16">
        <f>VLOOKUP(I8,[2]行业排放因子!$A:$B,2,0)</f>
        <v>90.746322689478703</v>
      </c>
      <c r="K8" s="9" t="s">
        <v>19</v>
      </c>
    </row>
    <row r="9" spans="1:11" ht="12.5" customHeight="1" x14ac:dyDescent="0.25">
      <c r="A9" s="5" t="s">
        <v>44</v>
      </c>
      <c r="B9" s="6" t="s">
        <v>12</v>
      </c>
      <c r="C9" s="6" t="s">
        <v>13</v>
      </c>
      <c r="D9" s="6" t="s">
        <v>14</v>
      </c>
      <c r="E9" s="6" t="s">
        <v>45</v>
      </c>
      <c r="F9" s="6" t="s">
        <v>46</v>
      </c>
      <c r="G9" s="9"/>
      <c r="H9" s="9" t="s">
        <v>18</v>
      </c>
      <c r="I9" s="16" t="str">
        <f>VLOOKUP(F9,[1]完整分类结果!$E:$G,3,0)</f>
        <v>农、林、牧、渔及水利业</v>
      </c>
      <c r="J9" s="16">
        <f>VLOOKUP(I9,[2]行业排放因子!$A:$B,2,0)</f>
        <v>90.746322689478703</v>
      </c>
      <c r="K9" s="9" t="s">
        <v>19</v>
      </c>
    </row>
    <row r="10" spans="1:11" ht="12.5" customHeight="1" x14ac:dyDescent="0.25">
      <c r="A10" s="5" t="s">
        <v>47</v>
      </c>
      <c r="B10" s="6" t="s">
        <v>12</v>
      </c>
      <c r="C10" s="6" t="s">
        <v>13</v>
      </c>
      <c r="D10" s="6" t="s">
        <v>14</v>
      </c>
      <c r="E10" s="6" t="s">
        <v>48</v>
      </c>
      <c r="F10" s="6" t="s">
        <v>49</v>
      </c>
      <c r="G10" s="9" t="s">
        <v>50</v>
      </c>
      <c r="H10" s="9" t="s">
        <v>18</v>
      </c>
      <c r="I10" s="16" t="str">
        <f>VLOOKUP(F10,[1]完整分类结果!$E:$G,3,0)</f>
        <v>农、林、牧、渔及水利业</v>
      </c>
      <c r="J10" s="16">
        <f>VLOOKUP(I10,[2]行业排放因子!$A:$B,2,0)</f>
        <v>90.746322689478703</v>
      </c>
      <c r="K10" s="9" t="s">
        <v>19</v>
      </c>
    </row>
    <row r="11" spans="1:11" ht="12.5" customHeight="1" x14ac:dyDescent="0.25">
      <c r="A11" s="5" t="s">
        <v>51</v>
      </c>
      <c r="B11" s="6" t="s">
        <v>12</v>
      </c>
      <c r="C11" s="6" t="s">
        <v>13</v>
      </c>
      <c r="D11" s="6" t="s">
        <v>14</v>
      </c>
      <c r="E11" s="6" t="s">
        <v>52</v>
      </c>
      <c r="F11" s="6" t="s">
        <v>53</v>
      </c>
      <c r="G11" s="9" t="s">
        <v>54</v>
      </c>
      <c r="H11" s="9" t="s">
        <v>18</v>
      </c>
      <c r="I11" s="16" t="str">
        <f>VLOOKUP(F11,[1]完整分类结果!$E:$G,3,0)</f>
        <v>农、林、牧、渔及水利业</v>
      </c>
      <c r="J11" s="16">
        <f>VLOOKUP(I11,[2]行业排放因子!$A:$B,2,0)</f>
        <v>90.746322689478703</v>
      </c>
      <c r="K11" s="9" t="s">
        <v>19</v>
      </c>
    </row>
    <row r="12" spans="1:11" ht="12.5" customHeight="1" x14ac:dyDescent="0.25">
      <c r="A12" s="5" t="s">
        <v>55</v>
      </c>
      <c r="B12" s="6" t="s">
        <v>12</v>
      </c>
      <c r="C12" s="6" t="s">
        <v>13</v>
      </c>
      <c r="D12" s="6" t="s">
        <v>56</v>
      </c>
      <c r="E12" s="6" t="s">
        <v>57</v>
      </c>
      <c r="F12" s="6" t="s">
        <v>58</v>
      </c>
      <c r="G12" s="9" t="s">
        <v>59</v>
      </c>
      <c r="H12" s="9" t="s">
        <v>18</v>
      </c>
      <c r="I12" s="16" t="str">
        <f>VLOOKUP(F12,[1]完整分类结果!$E:$G,3,0)</f>
        <v>农、林、牧、渔及水利业</v>
      </c>
      <c r="J12" s="16">
        <f>VLOOKUP(I12,[2]行业排放因子!$A:$B,2,0)</f>
        <v>90.746322689478703</v>
      </c>
      <c r="K12" s="9" t="s">
        <v>19</v>
      </c>
    </row>
    <row r="13" spans="1:11" ht="12.5" customHeight="1" x14ac:dyDescent="0.25">
      <c r="A13" s="5" t="s">
        <v>60</v>
      </c>
      <c r="B13" s="6" t="s">
        <v>12</v>
      </c>
      <c r="C13" s="6" t="s">
        <v>13</v>
      </c>
      <c r="D13" s="6" t="s">
        <v>56</v>
      </c>
      <c r="E13" s="6" t="s">
        <v>61</v>
      </c>
      <c r="F13" s="6" t="s">
        <v>62</v>
      </c>
      <c r="G13" s="9" t="s">
        <v>63</v>
      </c>
      <c r="H13" s="9" t="s">
        <v>18</v>
      </c>
      <c r="I13" s="16" t="str">
        <f>VLOOKUP(F13,[1]完整分类结果!$E:$G,3,0)</f>
        <v>农、林、牧、渔及水利业</v>
      </c>
      <c r="J13" s="16">
        <f>VLOOKUP(I13,[2]行业排放因子!$A:$B,2,0)</f>
        <v>90.746322689478703</v>
      </c>
      <c r="K13" s="9" t="s">
        <v>19</v>
      </c>
    </row>
    <row r="14" spans="1:11" ht="12.5" customHeight="1" x14ac:dyDescent="0.25">
      <c r="A14" s="5" t="s">
        <v>64</v>
      </c>
      <c r="B14" s="6" t="s">
        <v>12</v>
      </c>
      <c r="C14" s="6" t="s">
        <v>13</v>
      </c>
      <c r="D14" s="6" t="s">
        <v>56</v>
      </c>
      <c r="E14" s="6" t="s">
        <v>65</v>
      </c>
      <c r="F14" s="6" t="s">
        <v>66</v>
      </c>
      <c r="G14" s="9" t="s">
        <v>67</v>
      </c>
      <c r="H14" s="9" t="s">
        <v>18</v>
      </c>
      <c r="I14" s="16" t="str">
        <f>VLOOKUP(F14,[1]完整分类结果!$E:$G,3,0)</f>
        <v>农、林、牧、渔及水利业</v>
      </c>
      <c r="J14" s="16">
        <f>VLOOKUP(I14,[2]行业排放因子!$A:$B,2,0)</f>
        <v>90.746322689478703</v>
      </c>
      <c r="K14" s="9" t="s">
        <v>19</v>
      </c>
    </row>
    <row r="15" spans="1:11" ht="12.5" customHeight="1" x14ac:dyDescent="0.25">
      <c r="A15" s="5" t="s">
        <v>68</v>
      </c>
      <c r="B15" s="6" t="s">
        <v>12</v>
      </c>
      <c r="C15" s="6" t="s">
        <v>13</v>
      </c>
      <c r="D15" s="6" t="s">
        <v>56</v>
      </c>
      <c r="E15" s="6" t="s">
        <v>69</v>
      </c>
      <c r="F15" s="6" t="s">
        <v>70</v>
      </c>
      <c r="G15" s="9" t="s">
        <v>71</v>
      </c>
      <c r="H15" s="9" t="s">
        <v>18</v>
      </c>
      <c r="I15" s="16" t="str">
        <f>VLOOKUP(F15,[1]完整分类结果!$E:$G,3,0)</f>
        <v>农、林、牧、渔及水利业</v>
      </c>
      <c r="J15" s="16">
        <f>VLOOKUP(I15,[2]行业排放因子!$A:$B,2,0)</f>
        <v>90.746322689478703</v>
      </c>
      <c r="K15" s="9" t="s">
        <v>19</v>
      </c>
    </row>
    <row r="16" spans="1:11" ht="12.5" customHeight="1" x14ac:dyDescent="0.25">
      <c r="A16" s="5" t="s">
        <v>72</v>
      </c>
      <c r="B16" s="6" t="s">
        <v>12</v>
      </c>
      <c r="C16" s="6" t="s">
        <v>13</v>
      </c>
      <c r="D16" s="6" t="s">
        <v>73</v>
      </c>
      <c r="E16" s="6" t="s">
        <v>74</v>
      </c>
      <c r="F16" s="6" t="s">
        <v>75</v>
      </c>
      <c r="G16" s="9" t="s">
        <v>76</v>
      </c>
      <c r="H16" s="9" t="s">
        <v>18</v>
      </c>
      <c r="I16" s="16" t="str">
        <f>VLOOKUP(F16,[1]完整分类结果!$E:$G,3,0)</f>
        <v>农、林、牧、渔及水利业</v>
      </c>
      <c r="J16" s="16">
        <f>VLOOKUP(I16,[2]行业排放因子!$A:$B,2,0)</f>
        <v>90.746322689478703</v>
      </c>
      <c r="K16" s="9" t="s">
        <v>19</v>
      </c>
    </row>
    <row r="17" spans="1:11" ht="12.5" customHeight="1" x14ac:dyDescent="0.25">
      <c r="A17" s="5" t="s">
        <v>77</v>
      </c>
      <c r="B17" s="6" t="s">
        <v>12</v>
      </c>
      <c r="C17" s="6" t="s">
        <v>13</v>
      </c>
      <c r="D17" s="6" t="s">
        <v>73</v>
      </c>
      <c r="E17" s="6" t="s">
        <v>78</v>
      </c>
      <c r="F17" s="6" t="s">
        <v>79</v>
      </c>
      <c r="G17" s="9" t="s">
        <v>80</v>
      </c>
      <c r="H17" s="9" t="s">
        <v>18</v>
      </c>
      <c r="I17" s="16" t="str">
        <f>VLOOKUP(F17,[1]完整分类结果!$E:$G,3,0)</f>
        <v>农、林、牧、渔及水利业</v>
      </c>
      <c r="J17" s="16">
        <f>VLOOKUP(I17,[2]行业排放因子!$A:$B,2,0)</f>
        <v>90.746322689478703</v>
      </c>
      <c r="K17" s="9" t="s">
        <v>19</v>
      </c>
    </row>
    <row r="18" spans="1:11" ht="12.5" customHeight="1" x14ac:dyDescent="0.25">
      <c r="A18" s="5" t="s">
        <v>81</v>
      </c>
      <c r="B18" s="6" t="s">
        <v>12</v>
      </c>
      <c r="C18" s="6" t="s">
        <v>13</v>
      </c>
      <c r="D18" s="6" t="s">
        <v>73</v>
      </c>
      <c r="E18" s="6" t="s">
        <v>82</v>
      </c>
      <c r="F18" s="6" t="s">
        <v>83</v>
      </c>
      <c r="G18" s="9" t="s">
        <v>84</v>
      </c>
      <c r="H18" s="9" t="s">
        <v>18</v>
      </c>
      <c r="I18" s="16" t="str">
        <f>VLOOKUP(F18,[1]完整分类结果!$E:$G,3,0)</f>
        <v>农、林、牧、渔及水利业</v>
      </c>
      <c r="J18" s="16">
        <f>VLOOKUP(I18,[2]行业排放因子!$A:$B,2,0)</f>
        <v>90.746322689478703</v>
      </c>
      <c r="K18" s="9" t="s">
        <v>19</v>
      </c>
    </row>
    <row r="19" spans="1:11" ht="12.5" customHeight="1" x14ac:dyDescent="0.25">
      <c r="A19" s="5" t="s">
        <v>85</v>
      </c>
      <c r="B19" s="6" t="s">
        <v>12</v>
      </c>
      <c r="C19" s="6" t="s">
        <v>13</v>
      </c>
      <c r="D19" s="6" t="s">
        <v>73</v>
      </c>
      <c r="E19" s="6" t="s">
        <v>86</v>
      </c>
      <c r="F19" s="6" t="s">
        <v>87</v>
      </c>
      <c r="G19" s="9" t="s">
        <v>88</v>
      </c>
      <c r="H19" s="9" t="s">
        <v>18</v>
      </c>
      <c r="I19" s="16" t="str">
        <f>VLOOKUP(F19,[1]完整分类结果!$E:$G,3,0)</f>
        <v>农、林、牧、渔及水利业</v>
      </c>
      <c r="J19" s="16">
        <f>VLOOKUP(I19,[2]行业排放因子!$A:$B,2,0)</f>
        <v>90.746322689478703</v>
      </c>
      <c r="K19" s="9" t="s">
        <v>19</v>
      </c>
    </row>
    <row r="20" spans="1:11" ht="12.5" customHeight="1" x14ac:dyDescent="0.25">
      <c r="A20" s="5" t="s">
        <v>89</v>
      </c>
      <c r="B20" s="6" t="s">
        <v>12</v>
      </c>
      <c r="C20" s="6" t="s">
        <v>13</v>
      </c>
      <c r="D20" s="6" t="s">
        <v>90</v>
      </c>
      <c r="E20" s="6" t="s">
        <v>91</v>
      </c>
      <c r="F20" s="6" t="s">
        <v>92</v>
      </c>
      <c r="G20" s="9" t="s">
        <v>93</v>
      </c>
      <c r="H20" s="9" t="s">
        <v>18</v>
      </c>
      <c r="I20" s="16" t="str">
        <f>VLOOKUP(F20,[1]完整分类结果!$E:$G,3,0)</f>
        <v>农、林、牧、渔及水利业</v>
      </c>
      <c r="J20" s="16">
        <f>VLOOKUP(I20,[2]行业排放因子!$A:$B,2,0)</f>
        <v>90.746322689478703</v>
      </c>
      <c r="K20" s="9" t="s">
        <v>19</v>
      </c>
    </row>
    <row r="21" spans="1:11" ht="12.5" customHeight="1" x14ac:dyDescent="0.25">
      <c r="A21" s="5" t="s">
        <v>94</v>
      </c>
      <c r="B21" s="6" t="s">
        <v>12</v>
      </c>
      <c r="C21" s="6" t="s">
        <v>13</v>
      </c>
      <c r="D21" s="6" t="s">
        <v>90</v>
      </c>
      <c r="E21" s="6" t="s">
        <v>95</v>
      </c>
      <c r="F21" s="6" t="s">
        <v>96</v>
      </c>
      <c r="G21" s="9" t="s">
        <v>97</v>
      </c>
      <c r="H21" s="9" t="s">
        <v>18</v>
      </c>
      <c r="I21" s="16" t="str">
        <f>VLOOKUP(F21,[1]完整分类结果!$E:$G,3,0)</f>
        <v>农、林、牧、渔及水利业</v>
      </c>
      <c r="J21" s="16">
        <f>VLOOKUP(I21,[2]行业排放因子!$A:$B,2,0)</f>
        <v>90.746322689478703</v>
      </c>
      <c r="K21" s="9" t="s">
        <v>19</v>
      </c>
    </row>
    <row r="22" spans="1:11" ht="12.5" customHeight="1" x14ac:dyDescent="0.25">
      <c r="A22" s="5" t="s">
        <v>98</v>
      </c>
      <c r="B22" s="6" t="s">
        <v>12</v>
      </c>
      <c r="C22" s="6" t="s">
        <v>13</v>
      </c>
      <c r="D22" s="6" t="s">
        <v>90</v>
      </c>
      <c r="E22" s="6" t="s">
        <v>99</v>
      </c>
      <c r="F22" s="6" t="s">
        <v>100</v>
      </c>
      <c r="G22" s="9" t="s">
        <v>101</v>
      </c>
      <c r="H22" s="9" t="s">
        <v>18</v>
      </c>
      <c r="I22" s="16" t="str">
        <f>VLOOKUP(F22,[1]完整分类结果!$E:$G,3,0)</f>
        <v>农、林、牧、渔及水利业</v>
      </c>
      <c r="J22" s="16">
        <f>VLOOKUP(I22,[2]行业排放因子!$A:$B,2,0)</f>
        <v>90.746322689478703</v>
      </c>
      <c r="K22" s="9" t="s">
        <v>19</v>
      </c>
    </row>
    <row r="23" spans="1:11" ht="12.5" customHeight="1" x14ac:dyDescent="0.25">
      <c r="A23" s="5" t="s">
        <v>102</v>
      </c>
      <c r="B23" s="6" t="s">
        <v>12</v>
      </c>
      <c r="C23" s="6" t="s">
        <v>13</v>
      </c>
      <c r="D23" s="6" t="s">
        <v>103</v>
      </c>
      <c r="E23" s="6" t="s">
        <v>104</v>
      </c>
      <c r="F23" s="6" t="s">
        <v>103</v>
      </c>
      <c r="G23" s="9" t="s">
        <v>105</v>
      </c>
      <c r="H23" s="9" t="s">
        <v>18</v>
      </c>
      <c r="I23" s="16" t="str">
        <f>VLOOKUP(F23,[1]完整分类结果!$E:$G,3,0)</f>
        <v>农、林、牧、渔及水利业</v>
      </c>
      <c r="J23" s="16">
        <f>VLOOKUP(I23,[2]行业排放因子!$A:$B,2,0)</f>
        <v>90.746322689478703</v>
      </c>
      <c r="K23" s="9" t="s">
        <v>19</v>
      </c>
    </row>
    <row r="24" spans="1:11" ht="12.5" customHeight="1" x14ac:dyDescent="0.25">
      <c r="A24" s="5" t="s">
        <v>106</v>
      </c>
      <c r="B24" s="6" t="s">
        <v>12</v>
      </c>
      <c r="C24" s="6" t="s">
        <v>13</v>
      </c>
      <c r="D24" s="6" t="s">
        <v>107</v>
      </c>
      <c r="E24" s="6" t="s">
        <v>108</v>
      </c>
      <c r="F24" s="6" t="s">
        <v>107</v>
      </c>
      <c r="G24" s="9" t="s">
        <v>109</v>
      </c>
      <c r="H24" s="9" t="s">
        <v>18</v>
      </c>
      <c r="I24" s="16" t="str">
        <f>VLOOKUP(F24,[1]完整分类结果!$E:$G,3,0)</f>
        <v>农、林、牧、渔及水利业</v>
      </c>
      <c r="J24" s="16">
        <f>VLOOKUP(I24,[2]行业排放因子!$A:$B,2,0)</f>
        <v>90.746322689478703</v>
      </c>
      <c r="K24" s="9" t="s">
        <v>19</v>
      </c>
    </row>
    <row r="25" spans="1:11" ht="12.5" customHeight="1" x14ac:dyDescent="0.25">
      <c r="A25" s="5" t="s">
        <v>110</v>
      </c>
      <c r="B25" s="6" t="s">
        <v>12</v>
      </c>
      <c r="C25" s="6" t="s">
        <v>13</v>
      </c>
      <c r="D25" s="6" t="s">
        <v>111</v>
      </c>
      <c r="E25" s="6" t="s">
        <v>112</v>
      </c>
      <c r="F25" s="6" t="s">
        <v>113</v>
      </c>
      <c r="G25" s="9"/>
      <c r="H25" s="9" t="s">
        <v>18</v>
      </c>
      <c r="I25" s="16" t="str">
        <f>VLOOKUP(F25,[1]完整分类结果!$E:$G,3,0)</f>
        <v>农、林、牧、渔及水利业</v>
      </c>
      <c r="J25" s="16">
        <f>VLOOKUP(I25,[2]行业排放因子!$A:$B,2,0)</f>
        <v>90.746322689478703</v>
      </c>
      <c r="K25" s="9" t="s">
        <v>19</v>
      </c>
    </row>
    <row r="26" spans="1:11" ht="12.5" customHeight="1" x14ac:dyDescent="0.25">
      <c r="A26" s="5" t="s">
        <v>114</v>
      </c>
      <c r="B26" s="6" t="s">
        <v>12</v>
      </c>
      <c r="C26" s="6" t="s">
        <v>13</v>
      </c>
      <c r="D26" s="6" t="s">
        <v>111</v>
      </c>
      <c r="E26" s="6" t="s">
        <v>115</v>
      </c>
      <c r="F26" s="6" t="s">
        <v>116</v>
      </c>
      <c r="G26" s="9"/>
      <c r="H26" s="9" t="s">
        <v>18</v>
      </c>
      <c r="I26" s="16" t="str">
        <f>VLOOKUP(F26,[1]完整分类结果!$E:$G,3,0)</f>
        <v>农、林、牧、渔及水利业</v>
      </c>
      <c r="J26" s="16">
        <f>VLOOKUP(I26,[2]行业排放因子!$A:$B,2,0)</f>
        <v>90.746322689478703</v>
      </c>
      <c r="K26" s="9" t="s">
        <v>19</v>
      </c>
    </row>
    <row r="27" spans="1:11" ht="12.5" customHeight="1" x14ac:dyDescent="0.25">
      <c r="A27" s="5" t="s">
        <v>117</v>
      </c>
      <c r="B27" s="6" t="s">
        <v>12</v>
      </c>
      <c r="C27" s="6" t="s">
        <v>13</v>
      </c>
      <c r="D27" s="6" t="s">
        <v>111</v>
      </c>
      <c r="E27" s="6" t="s">
        <v>118</v>
      </c>
      <c r="F27" s="6" t="s">
        <v>119</v>
      </c>
      <c r="G27" s="9"/>
      <c r="H27" s="9" t="s">
        <v>18</v>
      </c>
      <c r="I27" s="16" t="str">
        <f>VLOOKUP(F27,[1]完整分类结果!$E:$G,3,0)</f>
        <v>农、林、牧、渔及水利业</v>
      </c>
      <c r="J27" s="16">
        <f>VLOOKUP(I27,[2]行业排放因子!$A:$B,2,0)</f>
        <v>90.746322689478703</v>
      </c>
      <c r="K27" s="9" t="s">
        <v>19</v>
      </c>
    </row>
    <row r="28" spans="1:11" ht="12.5" customHeight="1" x14ac:dyDescent="0.25">
      <c r="A28" s="5" t="s">
        <v>120</v>
      </c>
      <c r="B28" s="6" t="s">
        <v>12</v>
      </c>
      <c r="C28" s="6" t="s">
        <v>13</v>
      </c>
      <c r="D28" s="6" t="s">
        <v>121</v>
      </c>
      <c r="E28" s="6" t="s">
        <v>122</v>
      </c>
      <c r="F28" s="6" t="s">
        <v>123</v>
      </c>
      <c r="G28" s="9" t="s">
        <v>124</v>
      </c>
      <c r="H28" s="9" t="s">
        <v>18</v>
      </c>
      <c r="I28" s="16" t="str">
        <f>VLOOKUP(F28,[1]完整分类结果!$E:$G,3,0)</f>
        <v>农、林、牧、渔及水利业</v>
      </c>
      <c r="J28" s="16">
        <f>VLOOKUP(I28,[2]行业排放因子!$A:$B,2,0)</f>
        <v>90.746322689478703</v>
      </c>
      <c r="K28" s="9" t="s">
        <v>19</v>
      </c>
    </row>
    <row r="29" spans="1:11" ht="12.5" customHeight="1" x14ac:dyDescent="0.25">
      <c r="A29" s="5" t="s">
        <v>125</v>
      </c>
      <c r="B29" s="6" t="s">
        <v>12</v>
      </c>
      <c r="C29" s="6" t="s">
        <v>13</v>
      </c>
      <c r="D29" s="6" t="s">
        <v>121</v>
      </c>
      <c r="E29" s="6" t="s">
        <v>126</v>
      </c>
      <c r="F29" s="6" t="s">
        <v>127</v>
      </c>
      <c r="G29" s="9" t="s">
        <v>128</v>
      </c>
      <c r="H29" s="9" t="s">
        <v>18</v>
      </c>
      <c r="I29" s="16" t="str">
        <f>VLOOKUP(F29,[1]完整分类结果!$E:$G,3,0)</f>
        <v>农、林、牧、渔及水利业</v>
      </c>
      <c r="J29" s="16">
        <f>VLOOKUP(I29,[2]行业排放因子!$A:$B,2,0)</f>
        <v>90.746322689478703</v>
      </c>
      <c r="K29" s="9" t="s">
        <v>19</v>
      </c>
    </row>
    <row r="30" spans="1:11" ht="12.5" customHeight="1" x14ac:dyDescent="0.25">
      <c r="A30" s="5" t="s">
        <v>129</v>
      </c>
      <c r="B30" s="6" t="s">
        <v>12</v>
      </c>
      <c r="C30" s="6" t="s">
        <v>13</v>
      </c>
      <c r="D30" s="6" t="s">
        <v>130</v>
      </c>
      <c r="E30" s="6" t="s">
        <v>131</v>
      </c>
      <c r="F30" s="6" t="s">
        <v>132</v>
      </c>
      <c r="G30" s="9" t="s">
        <v>133</v>
      </c>
      <c r="H30" s="9" t="s">
        <v>18</v>
      </c>
      <c r="I30" s="16" t="str">
        <f>VLOOKUP(F30,[1]完整分类结果!$E:$G,3,0)</f>
        <v>农、林、牧、渔及水利业</v>
      </c>
      <c r="J30" s="16">
        <f>VLOOKUP(I30,[2]行业排放因子!$A:$B,2,0)</f>
        <v>90.746322689478703</v>
      </c>
      <c r="K30" s="9" t="s">
        <v>19</v>
      </c>
    </row>
    <row r="31" spans="1:11" ht="12.5" customHeight="1" x14ac:dyDescent="0.25">
      <c r="A31" s="5" t="s">
        <v>134</v>
      </c>
      <c r="B31" s="6" t="s">
        <v>12</v>
      </c>
      <c r="C31" s="6" t="s">
        <v>13</v>
      </c>
      <c r="D31" s="6" t="s">
        <v>130</v>
      </c>
      <c r="E31" s="6" t="s">
        <v>135</v>
      </c>
      <c r="F31" s="6" t="s">
        <v>136</v>
      </c>
      <c r="G31" s="9" t="s">
        <v>137</v>
      </c>
      <c r="H31" s="9" t="s">
        <v>18</v>
      </c>
      <c r="I31" s="16" t="str">
        <f>VLOOKUP(F31,[1]完整分类结果!$E:$G,3,0)</f>
        <v>农、林、牧、渔及水利业</v>
      </c>
      <c r="J31" s="16">
        <f>VLOOKUP(I31,[2]行业排放因子!$A:$B,2,0)</f>
        <v>90.746322689478703</v>
      </c>
      <c r="K31" s="9" t="s">
        <v>19</v>
      </c>
    </row>
    <row r="32" spans="1:11" ht="12.5" customHeight="1" x14ac:dyDescent="0.25">
      <c r="A32" s="5" t="s">
        <v>138</v>
      </c>
      <c r="B32" s="6" t="s">
        <v>12</v>
      </c>
      <c r="C32" s="6" t="s">
        <v>13</v>
      </c>
      <c r="D32" s="6" t="s">
        <v>139</v>
      </c>
      <c r="E32" s="6" t="s">
        <v>140</v>
      </c>
      <c r="F32" s="6" t="s">
        <v>141</v>
      </c>
      <c r="G32" s="9" t="s">
        <v>142</v>
      </c>
      <c r="H32" s="9" t="s">
        <v>18</v>
      </c>
      <c r="I32" s="16" t="str">
        <f>VLOOKUP(F32,[1]完整分类结果!$E:$G,3,0)</f>
        <v>农、林、牧、渔及水利业</v>
      </c>
      <c r="J32" s="16">
        <f>VLOOKUP(I32,[2]行业排放因子!$A:$B,2,0)</f>
        <v>90.746322689478703</v>
      </c>
      <c r="K32" s="9" t="s">
        <v>19</v>
      </c>
    </row>
    <row r="33" spans="1:11" ht="12.5" customHeight="1" x14ac:dyDescent="0.25">
      <c r="A33" s="5" t="s">
        <v>143</v>
      </c>
      <c r="B33" s="6" t="s">
        <v>12</v>
      </c>
      <c r="C33" s="6" t="s">
        <v>13</v>
      </c>
      <c r="D33" s="6" t="s">
        <v>144</v>
      </c>
      <c r="E33" s="6" t="s">
        <v>145</v>
      </c>
      <c r="F33" s="6" t="s">
        <v>146</v>
      </c>
      <c r="G33" s="9" t="s">
        <v>147</v>
      </c>
      <c r="H33" s="9" t="s">
        <v>18</v>
      </c>
      <c r="I33" s="16" t="str">
        <f>VLOOKUP(F33,[1]完整分类结果!$E:$G,3,0)</f>
        <v>农、林、牧、渔及水利业</v>
      </c>
      <c r="J33" s="16">
        <f>VLOOKUP(I33,[2]行业排放因子!$A:$B,2,0)</f>
        <v>90.746322689478703</v>
      </c>
      <c r="K33" s="9" t="s">
        <v>19</v>
      </c>
    </row>
    <row r="34" spans="1:11" ht="12.5" customHeight="1" x14ac:dyDescent="0.25">
      <c r="A34" s="5" t="s">
        <v>148</v>
      </c>
      <c r="B34" s="6" t="s">
        <v>12</v>
      </c>
      <c r="C34" s="6" t="s">
        <v>13</v>
      </c>
      <c r="D34" s="6" t="s">
        <v>144</v>
      </c>
      <c r="E34" s="6" t="s">
        <v>149</v>
      </c>
      <c r="F34" s="6" t="s">
        <v>150</v>
      </c>
      <c r="G34" s="9" t="s">
        <v>151</v>
      </c>
      <c r="H34" s="9" t="s">
        <v>18</v>
      </c>
      <c r="I34" s="16" t="str">
        <f>VLOOKUP(F34,[1]完整分类结果!$E:$G,3,0)</f>
        <v>农、林、牧、渔及水利业</v>
      </c>
      <c r="J34" s="16">
        <f>VLOOKUP(I34,[2]行业排放因子!$A:$B,2,0)</f>
        <v>90.746322689478703</v>
      </c>
      <c r="K34" s="9" t="s">
        <v>19</v>
      </c>
    </row>
    <row r="35" spans="1:11" ht="12.5" customHeight="1" x14ac:dyDescent="0.25">
      <c r="A35" s="5" t="s">
        <v>152</v>
      </c>
      <c r="B35" s="6" t="s">
        <v>12</v>
      </c>
      <c r="C35" s="6" t="s">
        <v>13</v>
      </c>
      <c r="D35" s="6" t="s">
        <v>153</v>
      </c>
      <c r="E35" s="6" t="s">
        <v>154</v>
      </c>
      <c r="F35" s="6" t="s">
        <v>155</v>
      </c>
      <c r="G35" s="9" t="s">
        <v>156</v>
      </c>
      <c r="H35" s="9" t="s">
        <v>18</v>
      </c>
      <c r="I35" s="16" t="str">
        <f>VLOOKUP(F35,[1]完整分类结果!$E:$G,3,0)</f>
        <v>农、林、牧、渔及水利业</v>
      </c>
      <c r="J35" s="16">
        <f>VLOOKUP(I35,[2]行业排放因子!$A:$B,2,0)</f>
        <v>90.746322689478703</v>
      </c>
      <c r="K35" s="9" t="s">
        <v>19</v>
      </c>
    </row>
    <row r="36" spans="1:11" ht="12.5" customHeight="1" x14ac:dyDescent="0.25">
      <c r="A36" s="5" t="s">
        <v>157</v>
      </c>
      <c r="B36" s="6" t="s">
        <v>12</v>
      </c>
      <c r="C36" s="6" t="s">
        <v>13</v>
      </c>
      <c r="D36" s="6" t="s">
        <v>153</v>
      </c>
      <c r="E36" s="6" t="s">
        <v>158</v>
      </c>
      <c r="F36" s="6" t="s">
        <v>159</v>
      </c>
      <c r="G36" s="9" t="s">
        <v>160</v>
      </c>
      <c r="H36" s="9" t="s">
        <v>18</v>
      </c>
      <c r="I36" s="16" t="str">
        <f>VLOOKUP(F36,[1]完整分类结果!$E:$G,3,0)</f>
        <v>农、林、牧、渔及水利业</v>
      </c>
      <c r="J36" s="16">
        <f>VLOOKUP(I36,[2]行业排放因子!$A:$B,2,0)</f>
        <v>90.746322689478703</v>
      </c>
      <c r="K36" s="9" t="s">
        <v>19</v>
      </c>
    </row>
    <row r="37" spans="1:11" ht="12.5" customHeight="1" x14ac:dyDescent="0.25">
      <c r="A37" s="5" t="s">
        <v>161</v>
      </c>
      <c r="B37" s="6" t="s">
        <v>12</v>
      </c>
      <c r="C37" s="6" t="s">
        <v>13</v>
      </c>
      <c r="D37" s="6" t="s">
        <v>153</v>
      </c>
      <c r="E37" s="6" t="s">
        <v>162</v>
      </c>
      <c r="F37" s="6" t="s">
        <v>163</v>
      </c>
      <c r="G37" s="9" t="s">
        <v>164</v>
      </c>
      <c r="H37" s="9" t="s">
        <v>18</v>
      </c>
      <c r="I37" s="16" t="str">
        <f>VLOOKUP(F37,[1]完整分类结果!$E:$G,3,0)</f>
        <v>农、林、牧、渔及水利业</v>
      </c>
      <c r="J37" s="16">
        <f>VLOOKUP(I37,[2]行业排放因子!$A:$B,2,0)</f>
        <v>90.746322689478703</v>
      </c>
      <c r="K37" s="9" t="s">
        <v>19</v>
      </c>
    </row>
    <row r="38" spans="1:11" ht="12.5" customHeight="1" x14ac:dyDescent="0.25">
      <c r="A38" s="5" t="s">
        <v>165</v>
      </c>
      <c r="B38" s="6" t="s">
        <v>12</v>
      </c>
      <c r="C38" s="6" t="s">
        <v>13</v>
      </c>
      <c r="D38" s="6" t="s">
        <v>153</v>
      </c>
      <c r="E38" s="6" t="s">
        <v>166</v>
      </c>
      <c r="F38" s="6" t="s">
        <v>167</v>
      </c>
      <c r="G38" s="9" t="s">
        <v>168</v>
      </c>
      <c r="H38" s="9" t="s">
        <v>18</v>
      </c>
      <c r="I38" s="16" t="str">
        <f>VLOOKUP(F38,[1]完整分类结果!$E:$G,3,0)</f>
        <v>农、林、牧、渔及水利业</v>
      </c>
      <c r="J38" s="16">
        <f>VLOOKUP(I38,[2]行业排放因子!$A:$B,2,0)</f>
        <v>90.746322689478703</v>
      </c>
      <c r="K38" s="9" t="s">
        <v>19</v>
      </c>
    </row>
    <row r="39" spans="1:11" ht="12.5" customHeight="1" x14ac:dyDescent="0.25">
      <c r="A39" s="5" t="s">
        <v>169</v>
      </c>
      <c r="B39" s="6" t="s">
        <v>12</v>
      </c>
      <c r="C39" s="6" t="s">
        <v>13</v>
      </c>
      <c r="D39" s="6" t="s">
        <v>153</v>
      </c>
      <c r="E39" s="6" t="s">
        <v>170</v>
      </c>
      <c r="F39" s="6" t="s">
        <v>171</v>
      </c>
      <c r="G39" s="9" t="s">
        <v>172</v>
      </c>
      <c r="H39" s="9" t="s">
        <v>18</v>
      </c>
      <c r="I39" s="16" t="str">
        <f>VLOOKUP(F39,[1]完整分类结果!$E:$G,3,0)</f>
        <v>农、林、牧、渔及水利业</v>
      </c>
      <c r="J39" s="16">
        <f>VLOOKUP(I39,[2]行业排放因子!$A:$B,2,0)</f>
        <v>90.746322689478703</v>
      </c>
      <c r="K39" s="9" t="s">
        <v>19</v>
      </c>
    </row>
    <row r="40" spans="1:11" ht="12.5" customHeight="1" x14ac:dyDescent="0.25">
      <c r="A40" s="5" t="s">
        <v>173</v>
      </c>
      <c r="B40" s="6" t="s">
        <v>12</v>
      </c>
      <c r="C40" s="6" t="s">
        <v>13</v>
      </c>
      <c r="D40" s="6" t="s">
        <v>153</v>
      </c>
      <c r="E40" s="6" t="s">
        <v>174</v>
      </c>
      <c r="F40" s="6" t="s">
        <v>175</v>
      </c>
      <c r="G40" s="9" t="s">
        <v>176</v>
      </c>
      <c r="H40" s="9" t="s">
        <v>18</v>
      </c>
      <c r="I40" s="16" t="str">
        <f>VLOOKUP(F40,[1]完整分类结果!$E:$G,3,0)</f>
        <v>农、林、牧、渔及水利业</v>
      </c>
      <c r="J40" s="16">
        <f>VLOOKUP(I40,[2]行业排放因子!$A:$B,2,0)</f>
        <v>90.746322689478703</v>
      </c>
      <c r="K40" s="9" t="s">
        <v>19</v>
      </c>
    </row>
    <row r="41" spans="1:11" ht="12.5" customHeight="1" x14ac:dyDescent="0.25">
      <c r="A41" s="5" t="s">
        <v>177</v>
      </c>
      <c r="B41" s="6" t="s">
        <v>12</v>
      </c>
      <c r="C41" s="6" t="s">
        <v>13</v>
      </c>
      <c r="D41" s="6" t="s">
        <v>153</v>
      </c>
      <c r="E41" s="6" t="s">
        <v>178</v>
      </c>
      <c r="F41" s="6" t="s">
        <v>179</v>
      </c>
      <c r="G41" s="9" t="s">
        <v>180</v>
      </c>
      <c r="H41" s="9" t="s">
        <v>18</v>
      </c>
      <c r="I41" s="16" t="str">
        <f>VLOOKUP(F41,[1]完整分类结果!$E:$G,3,0)</f>
        <v>农、林、牧、渔及水利业</v>
      </c>
      <c r="J41" s="16">
        <f>VLOOKUP(I41,[2]行业排放因子!$A:$B,2,0)</f>
        <v>90.746322689478703</v>
      </c>
      <c r="K41" s="9" t="s">
        <v>19</v>
      </c>
    </row>
    <row r="42" spans="1:11" ht="12.5" customHeight="1" x14ac:dyDescent="0.25">
      <c r="A42" s="5" t="s">
        <v>181</v>
      </c>
      <c r="B42" s="6" t="s">
        <v>12</v>
      </c>
      <c r="C42" s="6" t="s">
        <v>13</v>
      </c>
      <c r="D42" s="6" t="s">
        <v>153</v>
      </c>
      <c r="E42" s="6" t="s">
        <v>182</v>
      </c>
      <c r="F42" s="6" t="s">
        <v>183</v>
      </c>
      <c r="G42" s="9" t="s">
        <v>184</v>
      </c>
      <c r="H42" s="9" t="s">
        <v>18</v>
      </c>
      <c r="I42" s="16" t="str">
        <f>VLOOKUP(F42,[1]完整分类结果!$E:$G,3,0)</f>
        <v>农、林、牧、渔及水利业</v>
      </c>
      <c r="J42" s="16">
        <f>VLOOKUP(I42,[2]行业排放因子!$A:$B,2,0)</f>
        <v>90.746322689478703</v>
      </c>
      <c r="K42" s="9" t="s">
        <v>19</v>
      </c>
    </row>
    <row r="43" spans="1:11" ht="12.5" customHeight="1" x14ac:dyDescent="0.25">
      <c r="A43" s="5" t="s">
        <v>185</v>
      </c>
      <c r="B43" s="6" t="s">
        <v>12</v>
      </c>
      <c r="C43" s="6" t="s">
        <v>13</v>
      </c>
      <c r="D43" s="6" t="s">
        <v>153</v>
      </c>
      <c r="E43" s="6" t="s">
        <v>186</v>
      </c>
      <c r="F43" s="6" t="s">
        <v>187</v>
      </c>
      <c r="G43" s="9" t="s">
        <v>188</v>
      </c>
      <c r="H43" s="9" t="s">
        <v>18</v>
      </c>
      <c r="I43" s="16" t="str">
        <f>VLOOKUP(F43,[1]完整分类结果!$E:$G,3,0)</f>
        <v>农、林、牧、渔及水利业</v>
      </c>
      <c r="J43" s="16">
        <f>VLOOKUP(I43,[2]行业排放因子!$A:$B,2,0)</f>
        <v>90.746322689478703</v>
      </c>
      <c r="K43" s="9" t="s">
        <v>19</v>
      </c>
    </row>
    <row r="44" spans="1:11" ht="12.5" customHeight="1" x14ac:dyDescent="0.25">
      <c r="A44" s="5" t="s">
        <v>189</v>
      </c>
      <c r="B44" s="6" t="s">
        <v>12</v>
      </c>
      <c r="C44" s="6" t="s">
        <v>13</v>
      </c>
      <c r="D44" s="6" t="s">
        <v>153</v>
      </c>
      <c r="E44" s="6" t="s">
        <v>190</v>
      </c>
      <c r="F44" s="6" t="s">
        <v>191</v>
      </c>
      <c r="G44" s="9" t="s">
        <v>192</v>
      </c>
      <c r="H44" s="9" t="s">
        <v>18</v>
      </c>
      <c r="I44" s="16" t="str">
        <f>VLOOKUP(F44,[1]完整分类结果!$E:$G,3,0)</f>
        <v>农、林、牧、渔及水利业</v>
      </c>
      <c r="J44" s="16">
        <f>VLOOKUP(I44,[2]行业排放因子!$A:$B,2,0)</f>
        <v>90.746322689478703</v>
      </c>
      <c r="K44" s="9" t="s">
        <v>19</v>
      </c>
    </row>
    <row r="45" spans="1:11" ht="12.5" customHeight="1" x14ac:dyDescent="0.25">
      <c r="A45" s="5" t="s">
        <v>193</v>
      </c>
      <c r="B45" s="6" t="s">
        <v>12</v>
      </c>
      <c r="C45" s="6" t="s">
        <v>13</v>
      </c>
      <c r="D45" s="6" t="s">
        <v>153</v>
      </c>
      <c r="E45" s="6" t="s">
        <v>194</v>
      </c>
      <c r="F45" s="6" t="s">
        <v>195</v>
      </c>
      <c r="G45" s="9" t="s">
        <v>196</v>
      </c>
      <c r="H45" s="9" t="s">
        <v>18</v>
      </c>
      <c r="I45" s="16" t="str">
        <f>VLOOKUP(F45,[1]完整分类结果!$E:$G,3,0)</f>
        <v>农、林、牧、渔及水利业</v>
      </c>
      <c r="J45" s="16">
        <f>VLOOKUP(I45,[2]行业排放因子!$A:$B,2,0)</f>
        <v>90.746322689478703</v>
      </c>
      <c r="K45" s="9" t="s">
        <v>19</v>
      </c>
    </row>
    <row r="46" spans="1:11" ht="12.5" customHeight="1" x14ac:dyDescent="0.25">
      <c r="A46" s="5" t="s">
        <v>197</v>
      </c>
      <c r="B46" s="6" t="s">
        <v>12</v>
      </c>
      <c r="C46" s="6" t="s">
        <v>13</v>
      </c>
      <c r="D46" s="6" t="s">
        <v>153</v>
      </c>
      <c r="E46" s="6" t="s">
        <v>198</v>
      </c>
      <c r="F46" s="6" t="s">
        <v>199</v>
      </c>
      <c r="G46" s="9" t="s">
        <v>200</v>
      </c>
      <c r="H46" s="9" t="s">
        <v>18</v>
      </c>
      <c r="I46" s="16" t="str">
        <f>VLOOKUP(F46,[1]完整分类结果!$E:$G,3,0)</f>
        <v>农、林、牧、渔及水利业</v>
      </c>
      <c r="J46" s="16">
        <f>VLOOKUP(I46,[2]行业排放因子!$A:$B,2,0)</f>
        <v>90.746322689478703</v>
      </c>
      <c r="K46" s="9" t="s">
        <v>19</v>
      </c>
    </row>
    <row r="47" spans="1:11" ht="12.5" customHeight="1" x14ac:dyDescent="0.25">
      <c r="A47" s="5" t="s">
        <v>201</v>
      </c>
      <c r="B47" s="6" t="s">
        <v>12</v>
      </c>
      <c r="C47" s="6" t="s">
        <v>13</v>
      </c>
      <c r="D47" s="6" t="s">
        <v>202</v>
      </c>
      <c r="E47" s="6" t="s">
        <v>203</v>
      </c>
      <c r="F47" s="6" t="s">
        <v>204</v>
      </c>
      <c r="G47" s="9" t="s">
        <v>205</v>
      </c>
      <c r="H47" s="9" t="s">
        <v>18</v>
      </c>
      <c r="I47" s="16" t="str">
        <f>VLOOKUP(F47,[1]完整分类结果!$E:$G,3,0)</f>
        <v>农、林、牧、渔及水利业</v>
      </c>
      <c r="J47" s="16">
        <f>VLOOKUP(I47,[2]行业排放因子!$A:$B,2,0)</f>
        <v>90.746322689478703</v>
      </c>
      <c r="K47" s="9" t="s">
        <v>19</v>
      </c>
    </row>
    <row r="48" spans="1:11" ht="12.5" customHeight="1" x14ac:dyDescent="0.25">
      <c r="A48" s="5" t="s">
        <v>206</v>
      </c>
      <c r="B48" s="6" t="s">
        <v>12</v>
      </c>
      <c r="C48" s="6" t="s">
        <v>13</v>
      </c>
      <c r="D48" s="6" t="s">
        <v>153</v>
      </c>
      <c r="E48" s="6" t="s">
        <v>207</v>
      </c>
      <c r="F48" s="6" t="s">
        <v>208</v>
      </c>
      <c r="G48" s="9" t="s">
        <v>209</v>
      </c>
      <c r="H48" s="9" t="s">
        <v>18</v>
      </c>
      <c r="I48" s="16" t="str">
        <f>VLOOKUP(F48,[1]完整分类结果!$E:$G,3,0)</f>
        <v>农、林、牧、渔及水利业</v>
      </c>
      <c r="J48" s="16">
        <f>VLOOKUP(I48,[2]行业排放因子!$A:$B,2,0)</f>
        <v>90.746322689478703</v>
      </c>
      <c r="K48" s="9" t="s">
        <v>19</v>
      </c>
    </row>
    <row r="49" spans="1:11" ht="12.5" customHeight="1" x14ac:dyDescent="0.25">
      <c r="A49" s="5" t="s">
        <v>210</v>
      </c>
      <c r="B49" s="6" t="s">
        <v>12</v>
      </c>
      <c r="C49" s="6" t="s">
        <v>13</v>
      </c>
      <c r="D49" s="6" t="s">
        <v>153</v>
      </c>
      <c r="E49" s="6" t="s">
        <v>211</v>
      </c>
      <c r="F49" s="6" t="s">
        <v>212</v>
      </c>
      <c r="G49" s="9"/>
      <c r="H49" s="9" t="s">
        <v>18</v>
      </c>
      <c r="I49" s="16" t="str">
        <f>VLOOKUP(F49,[1]完整分类结果!$E:$G,3,0)</f>
        <v>农、林、牧、渔及水利业</v>
      </c>
      <c r="J49" s="16">
        <f>VLOOKUP(I49,[2]行业排放因子!$A:$B,2,0)</f>
        <v>90.746322689478703</v>
      </c>
      <c r="K49" s="9" t="s">
        <v>19</v>
      </c>
    </row>
    <row r="50" spans="1:11" ht="12.5" customHeight="1" x14ac:dyDescent="0.25">
      <c r="A50" s="5" t="s">
        <v>213</v>
      </c>
      <c r="B50" s="6" t="s">
        <v>12</v>
      </c>
      <c r="C50" s="6" t="s">
        <v>13</v>
      </c>
      <c r="D50" s="6" t="s">
        <v>214</v>
      </c>
      <c r="E50" s="6" t="s">
        <v>215</v>
      </c>
      <c r="F50" s="6" t="s">
        <v>216</v>
      </c>
      <c r="G50" s="9" t="s">
        <v>217</v>
      </c>
      <c r="H50" s="9" t="s">
        <v>18</v>
      </c>
      <c r="I50" s="16" t="str">
        <f>VLOOKUP(F50,[1]完整分类结果!$E:$G,3,0)</f>
        <v>农、林、牧、渔及水利业</v>
      </c>
      <c r="J50" s="16">
        <f>VLOOKUP(I50,[2]行业排放因子!$A:$B,2,0)</f>
        <v>90.746322689478703</v>
      </c>
      <c r="K50" s="9" t="s">
        <v>19</v>
      </c>
    </row>
    <row r="51" spans="1:11" ht="12.5" customHeight="1" x14ac:dyDescent="0.25">
      <c r="A51" s="5" t="s">
        <v>218</v>
      </c>
      <c r="B51" s="6" t="s">
        <v>12</v>
      </c>
      <c r="C51" s="6" t="s">
        <v>13</v>
      </c>
      <c r="D51" s="6" t="s">
        <v>214</v>
      </c>
      <c r="E51" s="6" t="s">
        <v>219</v>
      </c>
      <c r="F51" s="6" t="s">
        <v>220</v>
      </c>
      <c r="G51" s="9" t="s">
        <v>221</v>
      </c>
      <c r="H51" s="9" t="s">
        <v>18</v>
      </c>
      <c r="I51" s="16" t="str">
        <f>VLOOKUP(F51,[1]完整分类结果!$E:$G,3,0)</f>
        <v>农、林、牧、渔及水利业</v>
      </c>
      <c r="J51" s="16">
        <f>VLOOKUP(I51,[2]行业排放因子!$A:$B,2,0)</f>
        <v>90.746322689478703</v>
      </c>
      <c r="K51" s="9" t="s">
        <v>19</v>
      </c>
    </row>
    <row r="52" spans="1:11" ht="12.5" customHeight="1" x14ac:dyDescent="0.25">
      <c r="A52" s="5" t="s">
        <v>222</v>
      </c>
      <c r="B52" s="6" t="s">
        <v>12</v>
      </c>
      <c r="C52" s="6" t="s">
        <v>13</v>
      </c>
      <c r="D52" s="6" t="s">
        <v>214</v>
      </c>
      <c r="E52" s="6" t="s">
        <v>223</v>
      </c>
      <c r="F52" s="6" t="s">
        <v>224</v>
      </c>
      <c r="G52" s="9" t="s">
        <v>225</v>
      </c>
      <c r="H52" s="9" t="s">
        <v>18</v>
      </c>
      <c r="I52" s="16" t="str">
        <f>VLOOKUP(F52,[1]完整分类结果!$E:$G,3,0)</f>
        <v>农、林、牧、渔及水利业</v>
      </c>
      <c r="J52" s="16">
        <f>VLOOKUP(I52,[2]行业排放因子!$A:$B,2,0)</f>
        <v>90.746322689478703</v>
      </c>
      <c r="K52" s="9" t="s">
        <v>19</v>
      </c>
    </row>
    <row r="53" spans="1:11" ht="12.5" customHeight="1" x14ac:dyDescent="0.25">
      <c r="A53" s="5" t="s">
        <v>226</v>
      </c>
      <c r="B53" s="6" t="s">
        <v>12</v>
      </c>
      <c r="C53" s="6" t="s">
        <v>13</v>
      </c>
      <c r="D53" s="6" t="s">
        <v>214</v>
      </c>
      <c r="E53" s="6" t="s">
        <v>227</v>
      </c>
      <c r="F53" s="6" t="s">
        <v>228</v>
      </c>
      <c r="G53" s="9" t="s">
        <v>229</v>
      </c>
      <c r="H53" s="9" t="s">
        <v>18</v>
      </c>
      <c r="I53" s="16" t="str">
        <f>VLOOKUP(F53,[1]完整分类结果!$E:$G,3,0)</f>
        <v>农、林、牧、渔及水利业</v>
      </c>
      <c r="J53" s="16">
        <f>VLOOKUP(I53,[2]行业排放因子!$A:$B,2,0)</f>
        <v>90.746322689478703</v>
      </c>
      <c r="K53" s="9" t="s">
        <v>19</v>
      </c>
    </row>
    <row r="54" spans="1:11" ht="12.5" customHeight="1" x14ac:dyDescent="0.25">
      <c r="A54" s="5" t="s">
        <v>230</v>
      </c>
      <c r="B54" s="6" t="s">
        <v>12</v>
      </c>
      <c r="C54" s="6" t="s">
        <v>13</v>
      </c>
      <c r="D54" s="6" t="s">
        <v>214</v>
      </c>
      <c r="E54" s="6" t="s">
        <v>231</v>
      </c>
      <c r="F54" s="6" t="s">
        <v>232</v>
      </c>
      <c r="G54" s="9" t="s">
        <v>233</v>
      </c>
      <c r="H54" s="9" t="s">
        <v>18</v>
      </c>
      <c r="I54" s="16" t="str">
        <f>VLOOKUP(F54,[1]完整分类结果!$E:$G,3,0)</f>
        <v>农、林、牧、渔及水利业</v>
      </c>
      <c r="J54" s="16">
        <f>VLOOKUP(I54,[2]行业排放因子!$A:$B,2,0)</f>
        <v>90.746322689478703</v>
      </c>
      <c r="K54" s="9" t="s">
        <v>19</v>
      </c>
    </row>
    <row r="55" spans="1:11" ht="12.5" customHeight="1" x14ac:dyDescent="0.25">
      <c r="A55" s="5" t="s">
        <v>234</v>
      </c>
      <c r="B55" s="6" t="s">
        <v>12</v>
      </c>
      <c r="C55" s="6" t="s">
        <v>13</v>
      </c>
      <c r="D55" s="6" t="s">
        <v>235</v>
      </c>
      <c r="E55" s="6" t="s">
        <v>236</v>
      </c>
      <c r="F55" s="6" t="s">
        <v>237</v>
      </c>
      <c r="G55" s="9" t="s">
        <v>238</v>
      </c>
      <c r="H55" s="9" t="s">
        <v>18</v>
      </c>
      <c r="I55" s="16" t="str">
        <f>VLOOKUP(F55,[1]完整分类结果!$E:$G,3,0)</f>
        <v>农、林、牧、渔及水利业</v>
      </c>
      <c r="J55" s="16">
        <f>VLOOKUP(I55,[2]行业排放因子!$A:$B,2,0)</f>
        <v>90.746322689478703</v>
      </c>
      <c r="K55" s="9" t="s">
        <v>19</v>
      </c>
    </row>
    <row r="56" spans="1:11" ht="12.5" customHeight="1" x14ac:dyDescent="0.25">
      <c r="A56" s="5" t="s">
        <v>239</v>
      </c>
      <c r="B56" s="6" t="s">
        <v>12</v>
      </c>
      <c r="C56" s="6" t="s">
        <v>13</v>
      </c>
      <c r="D56" s="6" t="s">
        <v>235</v>
      </c>
      <c r="E56" s="6" t="s">
        <v>240</v>
      </c>
      <c r="F56" s="6" t="s">
        <v>241</v>
      </c>
      <c r="G56" s="9"/>
      <c r="H56" s="9" t="s">
        <v>18</v>
      </c>
      <c r="I56" s="16" t="str">
        <f>VLOOKUP(F56,[1]完整分类结果!$E:$G,3,0)</f>
        <v>农、林、牧、渔及水利业</v>
      </c>
      <c r="J56" s="16">
        <f>VLOOKUP(I56,[2]行业排放因子!$A:$B,2,0)</f>
        <v>90.746322689478703</v>
      </c>
      <c r="K56" s="9" t="s">
        <v>19</v>
      </c>
    </row>
    <row r="57" spans="1:11" ht="12.5" customHeight="1" x14ac:dyDescent="0.25">
      <c r="A57" s="5" t="s">
        <v>242</v>
      </c>
      <c r="B57" s="6" t="s">
        <v>12</v>
      </c>
      <c r="C57" s="6" t="s">
        <v>13</v>
      </c>
      <c r="D57" s="6" t="s">
        <v>235</v>
      </c>
      <c r="E57" s="6" t="s">
        <v>243</v>
      </c>
      <c r="F57" s="6" t="s">
        <v>244</v>
      </c>
      <c r="G57" s="9"/>
      <c r="H57" s="9" t="s">
        <v>18</v>
      </c>
      <c r="I57" s="16" t="str">
        <f>VLOOKUP(F57,[1]完整分类结果!$E:$G,3,0)</f>
        <v>农、林、牧、渔及水利业</v>
      </c>
      <c r="J57" s="16">
        <f>VLOOKUP(I57,[2]行业排放因子!$A:$B,2,0)</f>
        <v>90.746322689478703</v>
      </c>
      <c r="K57" s="9" t="s">
        <v>19</v>
      </c>
    </row>
    <row r="58" spans="1:11" ht="12.5" customHeight="1" x14ac:dyDescent="0.25">
      <c r="A58" s="5" t="s">
        <v>245</v>
      </c>
      <c r="B58" s="6" t="s">
        <v>12</v>
      </c>
      <c r="C58" s="6" t="s">
        <v>13</v>
      </c>
      <c r="D58" s="6" t="s">
        <v>235</v>
      </c>
      <c r="E58" s="6" t="s">
        <v>246</v>
      </c>
      <c r="F58" s="6" t="s">
        <v>247</v>
      </c>
      <c r="G58" s="9"/>
      <c r="H58" s="9" t="s">
        <v>18</v>
      </c>
      <c r="I58" s="16" t="str">
        <f>VLOOKUP(F58,[1]完整分类结果!$E:$G,3,0)</f>
        <v>农、林、牧、渔及水利业</v>
      </c>
      <c r="J58" s="16">
        <f>VLOOKUP(I58,[2]行业排放因子!$A:$B,2,0)</f>
        <v>90.746322689478703</v>
      </c>
      <c r="K58" s="9" t="s">
        <v>19</v>
      </c>
    </row>
    <row r="59" spans="1:11" ht="12.5" customHeight="1" x14ac:dyDescent="0.25">
      <c r="A59" s="5" t="s">
        <v>248</v>
      </c>
      <c r="B59" s="6" t="s">
        <v>12</v>
      </c>
      <c r="C59" s="6" t="s">
        <v>13</v>
      </c>
      <c r="D59" s="6" t="s">
        <v>249</v>
      </c>
      <c r="E59" s="6" t="s">
        <v>250</v>
      </c>
      <c r="F59" s="6" t="s">
        <v>251</v>
      </c>
      <c r="G59" s="9" t="s">
        <v>252</v>
      </c>
      <c r="H59" s="9" t="s">
        <v>18</v>
      </c>
      <c r="I59" s="16" t="str">
        <f>VLOOKUP(F59,[1]完整分类结果!$E:$G,3,0)</f>
        <v>农、林、牧、渔及水利业</v>
      </c>
      <c r="J59" s="16">
        <f>VLOOKUP(I59,[2]行业排放因子!$A:$B,2,0)</f>
        <v>90.746322689478703</v>
      </c>
      <c r="K59" s="9" t="s">
        <v>19</v>
      </c>
    </row>
    <row r="60" spans="1:11" ht="12.5" customHeight="1" x14ac:dyDescent="0.25">
      <c r="A60" s="5" t="s">
        <v>253</v>
      </c>
      <c r="B60" s="6" t="s">
        <v>12</v>
      </c>
      <c r="C60" s="6" t="s">
        <v>13</v>
      </c>
      <c r="D60" s="6" t="s">
        <v>249</v>
      </c>
      <c r="E60" s="6" t="s">
        <v>254</v>
      </c>
      <c r="F60" s="6" t="s">
        <v>255</v>
      </c>
      <c r="G60" s="9" t="s">
        <v>256</v>
      </c>
      <c r="H60" s="9" t="s">
        <v>18</v>
      </c>
      <c r="I60" s="16" t="str">
        <f>VLOOKUP(F60,[1]完整分类结果!$E:$G,3,0)</f>
        <v>农、林、牧、渔及水利业</v>
      </c>
      <c r="J60" s="16">
        <f>VLOOKUP(I60,[2]行业排放因子!$A:$B,2,0)</f>
        <v>90.746322689478703</v>
      </c>
      <c r="K60" s="9" t="s">
        <v>19</v>
      </c>
    </row>
    <row r="61" spans="1:11" ht="12.5" customHeight="1" x14ac:dyDescent="0.25">
      <c r="A61" s="5" t="s">
        <v>257</v>
      </c>
      <c r="B61" s="6" t="s">
        <v>12</v>
      </c>
      <c r="C61" s="6" t="s">
        <v>13</v>
      </c>
      <c r="D61" s="6" t="s">
        <v>249</v>
      </c>
      <c r="E61" s="6" t="s">
        <v>258</v>
      </c>
      <c r="F61" s="6" t="s">
        <v>259</v>
      </c>
      <c r="G61" s="9" t="s">
        <v>260</v>
      </c>
      <c r="H61" s="9" t="s">
        <v>18</v>
      </c>
      <c r="I61" s="16" t="str">
        <f>VLOOKUP(F61,[1]完整分类结果!$E:$G,3,0)</f>
        <v>农、林、牧、渔及水利业</v>
      </c>
      <c r="J61" s="16">
        <f>VLOOKUP(I61,[2]行业排放因子!$A:$B,2,0)</f>
        <v>90.746322689478703</v>
      </c>
      <c r="K61" s="9" t="s">
        <v>19</v>
      </c>
    </row>
    <row r="62" spans="1:11" ht="12.5" customHeight="1" x14ac:dyDescent="0.25">
      <c r="A62" s="5" t="s">
        <v>261</v>
      </c>
      <c r="B62" s="6" t="s">
        <v>12</v>
      </c>
      <c r="C62" s="6" t="s">
        <v>13</v>
      </c>
      <c r="D62" s="6" t="s">
        <v>249</v>
      </c>
      <c r="E62" s="6" t="s">
        <v>262</v>
      </c>
      <c r="F62" s="6" t="s">
        <v>263</v>
      </c>
      <c r="G62" s="9" t="s">
        <v>264</v>
      </c>
      <c r="H62" s="9" t="s">
        <v>18</v>
      </c>
      <c r="I62" s="16" t="str">
        <f>VLOOKUP(F62,[1]完整分类结果!$E:$G,3,0)</f>
        <v>农、林、牧、渔及水利业</v>
      </c>
      <c r="J62" s="16">
        <f>VLOOKUP(I62,[2]行业排放因子!$A:$B,2,0)</f>
        <v>90.746322689478703</v>
      </c>
      <c r="K62" s="9" t="s">
        <v>19</v>
      </c>
    </row>
    <row r="63" spans="1:11" ht="12.5" customHeight="1" x14ac:dyDescent="0.25">
      <c r="A63" s="5" t="s">
        <v>265</v>
      </c>
      <c r="B63" s="6" t="s">
        <v>12</v>
      </c>
      <c r="C63" s="6" t="s">
        <v>13</v>
      </c>
      <c r="D63" s="6" t="s">
        <v>249</v>
      </c>
      <c r="E63" s="6" t="s">
        <v>266</v>
      </c>
      <c r="F63" s="6" t="s">
        <v>267</v>
      </c>
      <c r="G63" s="9" t="s">
        <v>268</v>
      </c>
      <c r="H63" s="9" t="s">
        <v>18</v>
      </c>
      <c r="I63" s="16" t="str">
        <f>VLOOKUP(F63,[1]完整分类结果!$E:$G,3,0)</f>
        <v>农、林、牧、渔及水利业</v>
      </c>
      <c r="J63" s="16">
        <f>VLOOKUP(I63,[2]行业排放因子!$A:$B,2,0)</f>
        <v>90.746322689478703</v>
      </c>
      <c r="K63" s="9" t="s">
        <v>19</v>
      </c>
    </row>
    <row r="64" spans="1:11" ht="12.5" customHeight="1" x14ac:dyDescent="0.25">
      <c r="A64" s="5" t="s">
        <v>269</v>
      </c>
      <c r="B64" s="6" t="s">
        <v>12</v>
      </c>
      <c r="C64" s="6" t="s">
        <v>13</v>
      </c>
      <c r="D64" s="6" t="s">
        <v>249</v>
      </c>
      <c r="E64" s="6" t="s">
        <v>270</v>
      </c>
      <c r="F64" s="6" t="s">
        <v>271</v>
      </c>
      <c r="G64" s="9"/>
      <c r="H64" s="9" t="s">
        <v>18</v>
      </c>
      <c r="I64" s="16" t="str">
        <f>VLOOKUP(F64,[1]完整分类结果!$E:$G,3,0)</f>
        <v>农、林、牧、渔及水利业</v>
      </c>
      <c r="J64" s="16">
        <f>VLOOKUP(I64,[2]行业排放因子!$A:$B,2,0)</f>
        <v>90.746322689478703</v>
      </c>
      <c r="K64" s="9" t="s">
        <v>19</v>
      </c>
    </row>
    <row r="65" spans="1:11" ht="12.5" customHeight="1" x14ac:dyDescent="0.25">
      <c r="A65" s="5" t="s">
        <v>272</v>
      </c>
      <c r="B65" s="6" t="s">
        <v>12</v>
      </c>
      <c r="C65" s="6" t="s">
        <v>13</v>
      </c>
      <c r="D65" s="6" t="s">
        <v>249</v>
      </c>
      <c r="E65" s="6" t="s">
        <v>273</v>
      </c>
      <c r="F65" s="6" t="s">
        <v>274</v>
      </c>
      <c r="G65" s="9"/>
      <c r="H65" s="9" t="s">
        <v>18</v>
      </c>
      <c r="I65" s="16" t="str">
        <f>VLOOKUP(F65,[1]完整分类结果!$E:$G,3,0)</f>
        <v>农、林、牧、渔及水利业</v>
      </c>
      <c r="J65" s="16">
        <f>VLOOKUP(I65,[2]行业排放因子!$A:$B,2,0)</f>
        <v>90.746322689478703</v>
      </c>
      <c r="K65" s="9" t="s">
        <v>19</v>
      </c>
    </row>
    <row r="66" spans="1:11" ht="12.5" customHeight="1" x14ac:dyDescent="0.25">
      <c r="A66" s="5" t="s">
        <v>275</v>
      </c>
      <c r="B66" s="6" t="s">
        <v>12</v>
      </c>
      <c r="C66" s="6" t="s">
        <v>13</v>
      </c>
      <c r="D66" s="6" t="s">
        <v>249</v>
      </c>
      <c r="E66" s="6" t="s">
        <v>276</v>
      </c>
      <c r="F66" s="6" t="s">
        <v>277</v>
      </c>
      <c r="G66" s="9"/>
      <c r="H66" s="9" t="s">
        <v>18</v>
      </c>
      <c r="I66" s="16" t="str">
        <f>VLOOKUP(F66,[1]完整分类结果!$E:$G,3,0)</f>
        <v>农、林、牧、渔及水利业</v>
      </c>
      <c r="J66" s="16">
        <f>VLOOKUP(I66,[2]行业排放因子!$A:$B,2,0)</f>
        <v>90.746322689478703</v>
      </c>
      <c r="K66" s="9" t="s">
        <v>19</v>
      </c>
    </row>
    <row r="67" spans="1:11" ht="12.5" customHeight="1" x14ac:dyDescent="0.25">
      <c r="A67" s="5" t="s">
        <v>278</v>
      </c>
      <c r="B67" s="6" t="s">
        <v>12</v>
      </c>
      <c r="C67" s="6" t="s">
        <v>13</v>
      </c>
      <c r="D67" s="6" t="s">
        <v>249</v>
      </c>
      <c r="E67" s="6" t="s">
        <v>279</v>
      </c>
      <c r="F67" s="6" t="s">
        <v>280</v>
      </c>
      <c r="G67" s="9"/>
      <c r="H67" s="9" t="s">
        <v>18</v>
      </c>
      <c r="I67" s="16" t="str">
        <f>VLOOKUP(F67,[1]完整分类结果!$E:$G,3,0)</f>
        <v>农、林、牧、渔及水利业</v>
      </c>
      <c r="J67" s="16">
        <f>VLOOKUP(I67,[2]行业排放因子!$A:$B,2,0)</f>
        <v>90.746322689478703</v>
      </c>
      <c r="K67" s="9" t="s">
        <v>19</v>
      </c>
    </row>
    <row r="68" spans="1:11" ht="12.5" customHeight="1" x14ac:dyDescent="0.25">
      <c r="A68" s="5" t="s">
        <v>281</v>
      </c>
      <c r="B68" s="6" t="s">
        <v>12</v>
      </c>
      <c r="C68" s="6" t="s">
        <v>13</v>
      </c>
      <c r="D68" s="6" t="s">
        <v>249</v>
      </c>
      <c r="E68" s="6" t="s">
        <v>282</v>
      </c>
      <c r="F68" s="6" t="s">
        <v>283</v>
      </c>
      <c r="G68" s="9"/>
      <c r="H68" s="9" t="s">
        <v>18</v>
      </c>
      <c r="I68" s="16" t="str">
        <f>VLOOKUP(F68,[1]完整分类结果!$E:$G,3,0)</f>
        <v>农、林、牧、渔及水利业</v>
      </c>
      <c r="J68" s="16">
        <f>VLOOKUP(I68,[2]行业排放因子!$A:$B,2,0)</f>
        <v>90.746322689478703</v>
      </c>
      <c r="K68" s="9" t="s">
        <v>19</v>
      </c>
    </row>
    <row r="69" spans="1:11" ht="12.5" customHeight="1" x14ac:dyDescent="0.25">
      <c r="A69" s="5" t="s">
        <v>284</v>
      </c>
      <c r="B69" s="6" t="s">
        <v>12</v>
      </c>
      <c r="C69" s="6" t="s">
        <v>13</v>
      </c>
      <c r="D69" s="6" t="s">
        <v>249</v>
      </c>
      <c r="E69" s="6" t="s">
        <v>285</v>
      </c>
      <c r="F69" s="6" t="s">
        <v>286</v>
      </c>
      <c r="G69" s="9"/>
      <c r="H69" s="9" t="s">
        <v>18</v>
      </c>
      <c r="I69" s="16" t="str">
        <f>VLOOKUP(F69,[1]完整分类结果!$E:$G,3,0)</f>
        <v>农、林、牧、渔及水利业</v>
      </c>
      <c r="J69" s="16">
        <f>VLOOKUP(I69,[2]行业排放因子!$A:$B,2,0)</f>
        <v>90.746322689478703</v>
      </c>
      <c r="K69" s="9" t="s">
        <v>19</v>
      </c>
    </row>
    <row r="70" spans="1:11" ht="12.5" customHeight="1" x14ac:dyDescent="0.25">
      <c r="A70" s="5" t="s">
        <v>287</v>
      </c>
      <c r="B70" s="6" t="s">
        <v>12</v>
      </c>
      <c r="C70" s="6" t="s">
        <v>13</v>
      </c>
      <c r="D70" s="6" t="s">
        <v>249</v>
      </c>
      <c r="E70" s="6" t="s">
        <v>288</v>
      </c>
      <c r="F70" s="6" t="s">
        <v>289</v>
      </c>
      <c r="G70" s="9"/>
      <c r="H70" s="9" t="s">
        <v>18</v>
      </c>
      <c r="I70" s="16" t="str">
        <f>VLOOKUP(F70,[1]完整分类结果!$E:$G,3,0)</f>
        <v>农、林、牧、渔及水利业</v>
      </c>
      <c r="J70" s="16">
        <f>VLOOKUP(I70,[2]行业排放因子!$A:$B,2,0)</f>
        <v>90.746322689478703</v>
      </c>
      <c r="K70" s="9" t="s">
        <v>19</v>
      </c>
    </row>
    <row r="71" spans="1:11" ht="12.5" customHeight="1" x14ac:dyDescent="0.25">
      <c r="A71" s="5" t="s">
        <v>290</v>
      </c>
      <c r="B71" s="6" t="s">
        <v>12</v>
      </c>
      <c r="C71" s="6" t="s">
        <v>13</v>
      </c>
      <c r="D71" s="6" t="s">
        <v>249</v>
      </c>
      <c r="E71" s="6" t="s">
        <v>291</v>
      </c>
      <c r="F71" s="6" t="s">
        <v>292</v>
      </c>
      <c r="G71" s="9"/>
      <c r="H71" s="9" t="s">
        <v>18</v>
      </c>
      <c r="I71" s="16" t="str">
        <f>VLOOKUP(F71,[1]完整分类结果!$E:$G,3,0)</f>
        <v>农、林、牧、渔及水利业</v>
      </c>
      <c r="J71" s="16">
        <f>VLOOKUP(I71,[2]行业排放因子!$A:$B,2,0)</f>
        <v>90.746322689478703</v>
      </c>
      <c r="K71" s="9" t="s">
        <v>19</v>
      </c>
    </row>
    <row r="72" spans="1:11" ht="12.5" customHeight="1" x14ac:dyDescent="0.25">
      <c r="A72" s="5" t="s">
        <v>293</v>
      </c>
      <c r="B72" s="6" t="s">
        <v>12</v>
      </c>
      <c r="C72" s="6" t="s">
        <v>13</v>
      </c>
      <c r="D72" s="6" t="s">
        <v>249</v>
      </c>
      <c r="E72" s="6" t="s">
        <v>294</v>
      </c>
      <c r="F72" s="6" t="s">
        <v>295</v>
      </c>
      <c r="G72" s="9"/>
      <c r="H72" s="9" t="s">
        <v>18</v>
      </c>
      <c r="I72" s="16" t="str">
        <f>VLOOKUP(F72,[1]完整分类结果!$E:$G,3,0)</f>
        <v>农、林、牧、渔及水利业</v>
      </c>
      <c r="J72" s="16">
        <f>VLOOKUP(I72,[2]行业排放因子!$A:$B,2,0)</f>
        <v>90.746322689478703</v>
      </c>
      <c r="K72" s="9" t="s">
        <v>19</v>
      </c>
    </row>
    <row r="73" spans="1:11" ht="12.5" customHeight="1" x14ac:dyDescent="0.25">
      <c r="A73" s="5" t="s">
        <v>296</v>
      </c>
      <c r="B73" s="6" t="s">
        <v>12</v>
      </c>
      <c r="C73" s="6" t="s">
        <v>13</v>
      </c>
      <c r="D73" s="6" t="s">
        <v>249</v>
      </c>
      <c r="E73" s="6" t="s">
        <v>297</v>
      </c>
      <c r="F73" s="6" t="s">
        <v>298</v>
      </c>
      <c r="G73" s="9"/>
      <c r="H73" s="9" t="s">
        <v>18</v>
      </c>
      <c r="I73" s="16" t="str">
        <f>VLOOKUP(F73,[1]完整分类结果!$E:$G,3,0)</f>
        <v>农、林、牧、渔及水利业</v>
      </c>
      <c r="J73" s="16">
        <f>VLOOKUP(I73,[2]行业排放因子!$A:$B,2,0)</f>
        <v>90.746322689478703</v>
      </c>
      <c r="K73" s="9" t="s">
        <v>19</v>
      </c>
    </row>
    <row r="74" spans="1:11" ht="12.5" customHeight="1" x14ac:dyDescent="0.25">
      <c r="A74" s="5" t="s">
        <v>299</v>
      </c>
      <c r="B74" s="6" t="s">
        <v>12</v>
      </c>
      <c r="C74" s="6" t="s">
        <v>13</v>
      </c>
      <c r="D74" s="6" t="s">
        <v>249</v>
      </c>
      <c r="E74" s="6" t="s">
        <v>300</v>
      </c>
      <c r="F74" s="6" t="s">
        <v>301</v>
      </c>
      <c r="G74" s="9"/>
      <c r="H74" s="9" t="s">
        <v>18</v>
      </c>
      <c r="I74" s="16" t="str">
        <f>VLOOKUP(F74,[1]完整分类结果!$E:$G,3,0)</f>
        <v>农、林、牧、渔及水利业</v>
      </c>
      <c r="J74" s="16">
        <f>VLOOKUP(I74,[2]行业排放因子!$A:$B,2,0)</f>
        <v>90.746322689478703</v>
      </c>
      <c r="K74" s="9" t="s">
        <v>19</v>
      </c>
    </row>
    <row r="75" spans="1:11" ht="12.5" customHeight="1" x14ac:dyDescent="0.25">
      <c r="A75" s="5" t="s">
        <v>302</v>
      </c>
      <c r="B75" s="6" t="s">
        <v>12</v>
      </c>
      <c r="C75" s="6" t="s">
        <v>13</v>
      </c>
      <c r="D75" s="6" t="s">
        <v>249</v>
      </c>
      <c r="E75" s="6" t="s">
        <v>303</v>
      </c>
      <c r="F75" s="6" t="s">
        <v>304</v>
      </c>
      <c r="G75" s="9"/>
      <c r="H75" s="9" t="s">
        <v>18</v>
      </c>
      <c r="I75" s="16" t="str">
        <f>VLOOKUP(F75,[1]完整分类结果!$E:$G,3,0)</f>
        <v>农、林、牧、渔及水利业</v>
      </c>
      <c r="J75" s="16">
        <f>VLOOKUP(I75,[2]行业排放因子!$A:$B,2,0)</f>
        <v>90.746322689478703</v>
      </c>
      <c r="K75" s="9" t="s">
        <v>19</v>
      </c>
    </row>
    <row r="76" spans="1:11" ht="12.5" customHeight="1" x14ac:dyDescent="0.25">
      <c r="A76" s="5" t="s">
        <v>305</v>
      </c>
      <c r="B76" s="6" t="s">
        <v>12</v>
      </c>
      <c r="C76" s="6" t="s">
        <v>13</v>
      </c>
      <c r="D76" s="6" t="s">
        <v>249</v>
      </c>
      <c r="E76" s="6" t="s">
        <v>306</v>
      </c>
      <c r="F76" s="6" t="s">
        <v>307</v>
      </c>
      <c r="G76" s="9"/>
      <c r="H76" s="9" t="s">
        <v>18</v>
      </c>
      <c r="I76" s="16" t="str">
        <f>VLOOKUP(F76,[1]完整分类结果!$E:$G,3,0)</f>
        <v>农、林、牧、渔及水利业</v>
      </c>
      <c r="J76" s="16">
        <f>VLOOKUP(I76,[2]行业排放因子!$A:$B,2,0)</f>
        <v>90.746322689478703</v>
      </c>
      <c r="K76" s="9" t="s">
        <v>19</v>
      </c>
    </row>
    <row r="77" spans="1:11" ht="12.5" customHeight="1" x14ac:dyDescent="0.25">
      <c r="A77" s="5" t="s">
        <v>308</v>
      </c>
      <c r="B77" s="6" t="s">
        <v>12</v>
      </c>
      <c r="C77" s="6" t="s">
        <v>13</v>
      </c>
      <c r="D77" s="6" t="s">
        <v>249</v>
      </c>
      <c r="E77" s="6" t="s">
        <v>309</v>
      </c>
      <c r="F77" s="6" t="s">
        <v>310</v>
      </c>
      <c r="G77" s="9"/>
      <c r="H77" s="9" t="s">
        <v>18</v>
      </c>
      <c r="I77" s="16" t="str">
        <f>VLOOKUP(F77,[1]完整分类结果!$E:$G,3,0)</f>
        <v>农、林、牧、渔及水利业</v>
      </c>
      <c r="J77" s="16">
        <f>VLOOKUP(I77,[2]行业排放因子!$A:$B,2,0)</f>
        <v>90.746322689478703</v>
      </c>
      <c r="K77" s="9" t="s">
        <v>19</v>
      </c>
    </row>
    <row r="78" spans="1:11" ht="12.5" customHeight="1" x14ac:dyDescent="0.25">
      <c r="A78" s="5" t="s">
        <v>311</v>
      </c>
      <c r="B78" s="6" t="s">
        <v>12</v>
      </c>
      <c r="C78" s="6" t="s">
        <v>13</v>
      </c>
      <c r="D78" s="6" t="s">
        <v>249</v>
      </c>
      <c r="E78" s="6" t="s">
        <v>312</v>
      </c>
      <c r="F78" s="6" t="s">
        <v>313</v>
      </c>
      <c r="G78" s="9"/>
      <c r="H78" s="9" t="s">
        <v>18</v>
      </c>
      <c r="I78" s="16" t="str">
        <f>VLOOKUP(F78,[1]完整分类结果!$E:$G,3,0)</f>
        <v>农、林、牧、渔及水利业</v>
      </c>
      <c r="J78" s="16">
        <f>VLOOKUP(I78,[2]行业排放因子!$A:$B,2,0)</f>
        <v>90.746322689478703</v>
      </c>
      <c r="K78" s="9" t="s">
        <v>19</v>
      </c>
    </row>
    <row r="79" spans="1:11" ht="12.5" customHeight="1" x14ac:dyDescent="0.25">
      <c r="A79" s="5" t="s">
        <v>314</v>
      </c>
      <c r="B79" s="6" t="s">
        <v>12</v>
      </c>
      <c r="C79" s="6" t="s">
        <v>13</v>
      </c>
      <c r="D79" s="6" t="s">
        <v>249</v>
      </c>
      <c r="E79" s="6" t="s">
        <v>315</v>
      </c>
      <c r="F79" s="6" t="s">
        <v>316</v>
      </c>
      <c r="G79" s="9"/>
      <c r="H79" s="9" t="s">
        <v>18</v>
      </c>
      <c r="I79" s="16" t="str">
        <f>VLOOKUP(F79,[1]完整分类结果!$E:$G,3,0)</f>
        <v>农、林、牧、渔及水利业</v>
      </c>
      <c r="J79" s="16">
        <f>VLOOKUP(I79,[2]行业排放因子!$A:$B,2,0)</f>
        <v>90.746322689478703</v>
      </c>
      <c r="K79" s="9" t="s">
        <v>19</v>
      </c>
    </row>
    <row r="80" spans="1:11" ht="12.5" customHeight="1" x14ac:dyDescent="0.25">
      <c r="A80" s="5" t="s">
        <v>317</v>
      </c>
      <c r="B80" s="6" t="s">
        <v>12</v>
      </c>
      <c r="C80" s="6" t="s">
        <v>13</v>
      </c>
      <c r="D80" s="6" t="s">
        <v>249</v>
      </c>
      <c r="E80" s="6" t="s">
        <v>318</v>
      </c>
      <c r="F80" s="6" t="s">
        <v>319</v>
      </c>
      <c r="G80" s="9"/>
      <c r="H80" s="9" t="s">
        <v>18</v>
      </c>
      <c r="I80" s="16" t="str">
        <f>VLOOKUP(F80,[1]完整分类结果!$E:$G,3,0)</f>
        <v>农、林、牧、渔及水利业</v>
      </c>
      <c r="J80" s="16">
        <f>VLOOKUP(I80,[2]行业排放因子!$A:$B,2,0)</f>
        <v>90.746322689478703</v>
      </c>
      <c r="K80" s="9" t="s">
        <v>19</v>
      </c>
    </row>
    <row r="81" spans="1:11" ht="12.5" customHeight="1" x14ac:dyDescent="0.25">
      <c r="A81" s="5" t="s">
        <v>320</v>
      </c>
      <c r="B81" s="6" t="s">
        <v>12</v>
      </c>
      <c r="C81" s="6" t="s">
        <v>13</v>
      </c>
      <c r="D81" s="6" t="s">
        <v>249</v>
      </c>
      <c r="E81" s="6" t="s">
        <v>321</v>
      </c>
      <c r="F81" s="6" t="s">
        <v>322</v>
      </c>
      <c r="G81" s="9"/>
      <c r="H81" s="9" t="s">
        <v>18</v>
      </c>
      <c r="I81" s="16" t="str">
        <f>VLOOKUP(F81,[1]完整分类结果!$E:$G,3,0)</f>
        <v>农、林、牧、渔及水利业</v>
      </c>
      <c r="J81" s="16">
        <f>VLOOKUP(I81,[2]行业排放因子!$A:$B,2,0)</f>
        <v>90.746322689478703</v>
      </c>
      <c r="K81" s="9" t="s">
        <v>19</v>
      </c>
    </row>
    <row r="82" spans="1:11" ht="12.5" customHeight="1" x14ac:dyDescent="0.25">
      <c r="A82" s="5" t="s">
        <v>323</v>
      </c>
      <c r="B82" s="6" t="s">
        <v>12</v>
      </c>
      <c r="C82" s="6" t="s">
        <v>13</v>
      </c>
      <c r="D82" s="6" t="s">
        <v>249</v>
      </c>
      <c r="E82" s="6" t="s">
        <v>324</v>
      </c>
      <c r="F82" s="6" t="s">
        <v>325</v>
      </c>
      <c r="G82" s="9"/>
      <c r="H82" s="9" t="s">
        <v>18</v>
      </c>
      <c r="I82" s="16" t="str">
        <f>VLOOKUP(F82,[1]完整分类结果!$E:$G,3,0)</f>
        <v>农、林、牧、渔及水利业</v>
      </c>
      <c r="J82" s="16">
        <f>VLOOKUP(I82,[2]行业排放因子!$A:$B,2,0)</f>
        <v>90.746322689478703</v>
      </c>
      <c r="K82" s="9" t="s">
        <v>19</v>
      </c>
    </row>
    <row r="83" spans="1:11" ht="12.5" customHeight="1" x14ac:dyDescent="0.25">
      <c r="A83" s="5" t="s">
        <v>326</v>
      </c>
      <c r="B83" s="6" t="s">
        <v>12</v>
      </c>
      <c r="C83" s="6" t="s">
        <v>13</v>
      </c>
      <c r="D83" s="6" t="s">
        <v>249</v>
      </c>
      <c r="E83" s="6" t="s">
        <v>327</v>
      </c>
      <c r="F83" s="6" t="s">
        <v>328</v>
      </c>
      <c r="G83" s="9"/>
      <c r="H83" s="9" t="s">
        <v>18</v>
      </c>
      <c r="I83" s="16" t="str">
        <f>VLOOKUP(F83,[1]完整分类结果!$E:$G,3,0)</f>
        <v>农、林、牧、渔及水利业</v>
      </c>
      <c r="J83" s="16">
        <f>VLOOKUP(I83,[2]行业排放因子!$A:$B,2,0)</f>
        <v>90.746322689478703</v>
      </c>
      <c r="K83" s="9" t="s">
        <v>19</v>
      </c>
    </row>
    <row r="84" spans="1:11" ht="12.5" customHeight="1" x14ac:dyDescent="0.25">
      <c r="A84" s="5" t="s">
        <v>329</v>
      </c>
      <c r="B84" s="6" t="s">
        <v>12</v>
      </c>
      <c r="C84" s="6" t="s">
        <v>13</v>
      </c>
      <c r="D84" s="6" t="s">
        <v>249</v>
      </c>
      <c r="E84" s="6" t="s">
        <v>330</v>
      </c>
      <c r="F84" s="6" t="s">
        <v>331</v>
      </c>
      <c r="G84" s="9"/>
      <c r="H84" s="9" t="s">
        <v>18</v>
      </c>
      <c r="I84" s="16" t="str">
        <f>VLOOKUP(F84,[1]完整分类结果!$E:$G,3,0)</f>
        <v>农、林、牧、渔及水利业</v>
      </c>
      <c r="J84" s="16">
        <f>VLOOKUP(I84,[2]行业排放因子!$A:$B,2,0)</f>
        <v>90.746322689478703</v>
      </c>
      <c r="K84" s="9" t="s">
        <v>19</v>
      </c>
    </row>
    <row r="85" spans="1:11" ht="12.5" customHeight="1" x14ac:dyDescent="0.25">
      <c r="A85" s="5" t="s">
        <v>332</v>
      </c>
      <c r="B85" s="6" t="s">
        <v>12</v>
      </c>
      <c r="C85" s="6" t="s">
        <v>13</v>
      </c>
      <c r="D85" s="6" t="s">
        <v>249</v>
      </c>
      <c r="E85" s="6" t="s">
        <v>333</v>
      </c>
      <c r="F85" s="6" t="s">
        <v>334</v>
      </c>
      <c r="G85" s="9" t="s">
        <v>335</v>
      </c>
      <c r="H85" s="9" t="s">
        <v>18</v>
      </c>
      <c r="I85" s="16" t="str">
        <f>VLOOKUP(F85,[1]完整分类结果!$E:$G,3,0)</f>
        <v>农、林、牧、渔及水利业</v>
      </c>
      <c r="J85" s="16">
        <f>VLOOKUP(I85,[2]行业排放因子!$A:$B,2,0)</f>
        <v>90.746322689478703</v>
      </c>
      <c r="K85" s="9" t="s">
        <v>19</v>
      </c>
    </row>
    <row r="86" spans="1:11" ht="12.5" customHeight="1" x14ac:dyDescent="0.25">
      <c r="A86" s="5" t="s">
        <v>336</v>
      </c>
      <c r="B86" s="6" t="s">
        <v>12</v>
      </c>
      <c r="C86" s="6" t="s">
        <v>13</v>
      </c>
      <c r="D86" s="6" t="s">
        <v>249</v>
      </c>
      <c r="E86" s="6" t="s">
        <v>337</v>
      </c>
      <c r="F86" s="6" t="s">
        <v>338</v>
      </c>
      <c r="G86" s="9"/>
      <c r="H86" s="9" t="s">
        <v>18</v>
      </c>
      <c r="I86" s="16" t="str">
        <f>VLOOKUP(F86,[1]完整分类结果!$E:$G,3,0)</f>
        <v>农、林、牧、渔及水利业</v>
      </c>
      <c r="J86" s="16">
        <f>VLOOKUP(I86,[2]行业排放因子!$A:$B,2,0)</f>
        <v>90.746322689478703</v>
      </c>
      <c r="K86" s="9" t="s">
        <v>19</v>
      </c>
    </row>
    <row r="87" spans="1:11" ht="12.5" customHeight="1" x14ac:dyDescent="0.25">
      <c r="A87" s="5" t="s">
        <v>339</v>
      </c>
      <c r="B87" s="6" t="s">
        <v>12</v>
      </c>
      <c r="C87" s="6" t="s">
        <v>13</v>
      </c>
      <c r="D87" s="6" t="s">
        <v>249</v>
      </c>
      <c r="E87" s="6" t="s">
        <v>340</v>
      </c>
      <c r="F87" s="6" t="s">
        <v>341</v>
      </c>
      <c r="G87" s="9"/>
      <c r="H87" s="9" t="s">
        <v>18</v>
      </c>
      <c r="I87" s="16" t="str">
        <f>VLOOKUP(F87,[1]完整分类结果!$E:$G,3,0)</f>
        <v>农、林、牧、渔及水利业</v>
      </c>
      <c r="J87" s="16">
        <f>VLOOKUP(I87,[2]行业排放因子!$A:$B,2,0)</f>
        <v>90.746322689478703</v>
      </c>
      <c r="K87" s="9" t="s">
        <v>19</v>
      </c>
    </row>
    <row r="88" spans="1:11" ht="12.5" customHeight="1" x14ac:dyDescent="0.25">
      <c r="A88" s="5" t="s">
        <v>342</v>
      </c>
      <c r="B88" s="6" t="s">
        <v>12</v>
      </c>
      <c r="C88" s="6" t="s">
        <v>13</v>
      </c>
      <c r="D88" s="6" t="s">
        <v>249</v>
      </c>
      <c r="E88" s="6" t="s">
        <v>343</v>
      </c>
      <c r="F88" s="6" t="s">
        <v>344</v>
      </c>
      <c r="G88" s="9"/>
      <c r="H88" s="9" t="s">
        <v>18</v>
      </c>
      <c r="I88" s="16" t="str">
        <f>VLOOKUP(F88,[1]完整分类结果!$E:$G,3,0)</f>
        <v>农、林、牧、渔及水利业</v>
      </c>
      <c r="J88" s="16">
        <f>VLOOKUP(I88,[2]行业排放因子!$A:$B,2,0)</f>
        <v>90.746322689478703</v>
      </c>
      <c r="K88" s="9" t="s">
        <v>19</v>
      </c>
    </row>
    <row r="89" spans="1:11" ht="12.5" customHeight="1" x14ac:dyDescent="0.25">
      <c r="A89" s="5" t="s">
        <v>345</v>
      </c>
      <c r="B89" s="6" t="s">
        <v>12</v>
      </c>
      <c r="C89" s="6" t="s">
        <v>13</v>
      </c>
      <c r="D89" s="6" t="s">
        <v>249</v>
      </c>
      <c r="E89" s="6" t="s">
        <v>346</v>
      </c>
      <c r="F89" s="6" t="s">
        <v>347</v>
      </c>
      <c r="G89" s="9"/>
      <c r="H89" s="9" t="s">
        <v>18</v>
      </c>
      <c r="I89" s="16" t="str">
        <f>VLOOKUP(F89,[1]完整分类结果!$E:$G,3,0)</f>
        <v>农、林、牧、渔及水利业</v>
      </c>
      <c r="J89" s="16">
        <f>VLOOKUP(I89,[2]行业排放因子!$A:$B,2,0)</f>
        <v>90.746322689478703</v>
      </c>
      <c r="K89" s="9" t="s">
        <v>19</v>
      </c>
    </row>
    <row r="90" spans="1:11" ht="12.5" customHeight="1" x14ac:dyDescent="0.25">
      <c r="A90" s="5" t="s">
        <v>348</v>
      </c>
      <c r="B90" s="6" t="s">
        <v>12</v>
      </c>
      <c r="C90" s="6" t="s">
        <v>13</v>
      </c>
      <c r="D90" s="6" t="s">
        <v>249</v>
      </c>
      <c r="E90" s="6" t="s">
        <v>349</v>
      </c>
      <c r="F90" s="6" t="s">
        <v>350</v>
      </c>
      <c r="G90" s="9"/>
      <c r="H90" s="9" t="s">
        <v>18</v>
      </c>
      <c r="I90" s="16" t="str">
        <f>VLOOKUP(F90,[1]完整分类结果!$E:$G,3,0)</f>
        <v>农、林、牧、渔及水利业</v>
      </c>
      <c r="J90" s="16">
        <f>VLOOKUP(I90,[2]行业排放因子!$A:$B,2,0)</f>
        <v>90.746322689478703</v>
      </c>
      <c r="K90" s="9" t="s">
        <v>19</v>
      </c>
    </row>
    <row r="91" spans="1:11" ht="12.5" customHeight="1" x14ac:dyDescent="0.25">
      <c r="A91" s="5" t="s">
        <v>351</v>
      </c>
      <c r="B91" s="6" t="s">
        <v>12</v>
      </c>
      <c r="C91" s="6" t="s">
        <v>13</v>
      </c>
      <c r="D91" s="6" t="s">
        <v>249</v>
      </c>
      <c r="E91" s="6" t="s">
        <v>352</v>
      </c>
      <c r="F91" s="6" t="s">
        <v>353</v>
      </c>
      <c r="G91" s="9"/>
      <c r="H91" s="9" t="s">
        <v>18</v>
      </c>
      <c r="I91" s="16" t="str">
        <f>VLOOKUP(F91,[1]完整分类结果!$E:$G,3,0)</f>
        <v>农、林、牧、渔及水利业</v>
      </c>
      <c r="J91" s="16">
        <f>VLOOKUP(I91,[2]行业排放因子!$A:$B,2,0)</f>
        <v>90.746322689478703</v>
      </c>
      <c r="K91" s="9" t="s">
        <v>19</v>
      </c>
    </row>
    <row r="92" spans="1:11" ht="12.5" customHeight="1" x14ac:dyDescent="0.25">
      <c r="A92" s="5" t="s">
        <v>354</v>
      </c>
      <c r="B92" s="6" t="s">
        <v>12</v>
      </c>
      <c r="C92" s="6" t="s">
        <v>13</v>
      </c>
      <c r="D92" s="6" t="s">
        <v>249</v>
      </c>
      <c r="E92" s="6" t="s">
        <v>355</v>
      </c>
      <c r="F92" s="6" t="s">
        <v>356</v>
      </c>
      <c r="G92" s="9"/>
      <c r="H92" s="9" t="s">
        <v>18</v>
      </c>
      <c r="I92" s="16" t="str">
        <f>VLOOKUP(F92,[1]完整分类结果!$E:$G,3,0)</f>
        <v>农、林、牧、渔及水利业</v>
      </c>
      <c r="J92" s="16">
        <f>VLOOKUP(I92,[2]行业排放因子!$A:$B,2,0)</f>
        <v>90.746322689478703</v>
      </c>
      <c r="K92" s="9" t="s">
        <v>19</v>
      </c>
    </row>
    <row r="93" spans="1:11" ht="12.5" customHeight="1" x14ac:dyDescent="0.25">
      <c r="A93" s="5" t="s">
        <v>357</v>
      </c>
      <c r="B93" s="6" t="s">
        <v>12</v>
      </c>
      <c r="C93" s="6" t="s">
        <v>13</v>
      </c>
      <c r="D93" s="6" t="s">
        <v>249</v>
      </c>
      <c r="E93" s="6" t="s">
        <v>358</v>
      </c>
      <c r="F93" s="6" t="s">
        <v>359</v>
      </c>
      <c r="G93" s="9"/>
      <c r="H93" s="9" t="s">
        <v>18</v>
      </c>
      <c r="I93" s="16" t="str">
        <f>VLOOKUP(F93,[1]完整分类结果!$E:$G,3,0)</f>
        <v>农、林、牧、渔及水利业</v>
      </c>
      <c r="J93" s="16">
        <f>VLOOKUP(I93,[2]行业排放因子!$A:$B,2,0)</f>
        <v>90.746322689478703</v>
      </c>
      <c r="K93" s="9" t="s">
        <v>19</v>
      </c>
    </row>
    <row r="94" spans="1:11" ht="12.5" customHeight="1" x14ac:dyDescent="0.25">
      <c r="A94" s="5" t="s">
        <v>360</v>
      </c>
      <c r="B94" s="6" t="s">
        <v>12</v>
      </c>
      <c r="C94" s="6" t="s">
        <v>13</v>
      </c>
      <c r="D94" s="6" t="s">
        <v>249</v>
      </c>
      <c r="E94" s="6" t="s">
        <v>361</v>
      </c>
      <c r="F94" s="6" t="s">
        <v>362</v>
      </c>
      <c r="G94" s="9"/>
      <c r="H94" s="9" t="s">
        <v>18</v>
      </c>
      <c r="I94" s="16" t="str">
        <f>VLOOKUP(F94,[1]完整分类结果!$E:$G,3,0)</f>
        <v>农、林、牧、渔及水利业</v>
      </c>
      <c r="J94" s="16">
        <f>VLOOKUP(I94,[2]行业排放因子!$A:$B,2,0)</f>
        <v>90.746322689478703</v>
      </c>
      <c r="K94" s="9" t="s">
        <v>19</v>
      </c>
    </row>
    <row r="95" spans="1:11" ht="12.5" customHeight="1" x14ac:dyDescent="0.25">
      <c r="A95" s="5" t="s">
        <v>363</v>
      </c>
      <c r="B95" s="6" t="s">
        <v>12</v>
      </c>
      <c r="C95" s="6" t="s">
        <v>13</v>
      </c>
      <c r="D95" s="6" t="s">
        <v>249</v>
      </c>
      <c r="E95" s="6" t="s">
        <v>364</v>
      </c>
      <c r="F95" s="6" t="s">
        <v>365</v>
      </c>
      <c r="G95" s="9"/>
      <c r="H95" s="9" t="s">
        <v>18</v>
      </c>
      <c r="I95" s="16" t="str">
        <f>VLOOKUP(F95,[1]完整分类结果!$E:$G,3,0)</f>
        <v>农、林、牧、渔及水利业</v>
      </c>
      <c r="J95" s="16">
        <f>VLOOKUP(I95,[2]行业排放因子!$A:$B,2,0)</f>
        <v>90.746322689478703</v>
      </c>
      <c r="K95" s="9" t="s">
        <v>19</v>
      </c>
    </row>
    <row r="96" spans="1:11" ht="12.5" customHeight="1" x14ac:dyDescent="0.25">
      <c r="A96" s="5" t="s">
        <v>366</v>
      </c>
      <c r="B96" s="6" t="s">
        <v>12</v>
      </c>
      <c r="C96" s="6" t="s">
        <v>13</v>
      </c>
      <c r="D96" s="6" t="s">
        <v>249</v>
      </c>
      <c r="E96" s="6" t="s">
        <v>367</v>
      </c>
      <c r="F96" s="6" t="s">
        <v>368</v>
      </c>
      <c r="G96" s="9" t="s">
        <v>369</v>
      </c>
      <c r="H96" s="9" t="s">
        <v>18</v>
      </c>
      <c r="I96" s="16" t="str">
        <f>VLOOKUP(F96,[1]完整分类结果!$E:$G,3,0)</f>
        <v>农、林、牧、渔及水利业</v>
      </c>
      <c r="J96" s="16">
        <f>VLOOKUP(I96,[2]行业排放因子!$A:$B,2,0)</f>
        <v>90.746322689478703</v>
      </c>
      <c r="K96" s="9" t="s">
        <v>19</v>
      </c>
    </row>
    <row r="97" spans="1:11" ht="12.5" customHeight="1" x14ac:dyDescent="0.25">
      <c r="A97" s="5" t="s">
        <v>370</v>
      </c>
      <c r="B97" s="6" t="s">
        <v>12</v>
      </c>
      <c r="C97" s="6" t="s">
        <v>13</v>
      </c>
      <c r="D97" s="6" t="s">
        <v>249</v>
      </c>
      <c r="E97" s="6" t="s">
        <v>371</v>
      </c>
      <c r="F97" s="6" t="s">
        <v>372</v>
      </c>
      <c r="G97" s="9"/>
      <c r="H97" s="9" t="s">
        <v>18</v>
      </c>
      <c r="I97" s="16" t="str">
        <f>VLOOKUP(F97,[1]完整分类结果!$E:$G,3,0)</f>
        <v>农、林、牧、渔及水利业</v>
      </c>
      <c r="J97" s="16">
        <f>VLOOKUP(I97,[2]行业排放因子!$A:$B,2,0)</f>
        <v>90.746322689478703</v>
      </c>
      <c r="K97" s="9" t="s">
        <v>19</v>
      </c>
    </row>
    <row r="98" spans="1:11" ht="12.5" customHeight="1" x14ac:dyDescent="0.25">
      <c r="A98" s="5" t="s">
        <v>373</v>
      </c>
      <c r="B98" s="6" t="s">
        <v>12</v>
      </c>
      <c r="C98" s="6" t="s">
        <v>13</v>
      </c>
      <c r="D98" s="6" t="s">
        <v>249</v>
      </c>
      <c r="E98" s="6" t="s">
        <v>374</v>
      </c>
      <c r="F98" s="6" t="s">
        <v>375</v>
      </c>
      <c r="G98" s="9" t="s">
        <v>376</v>
      </c>
      <c r="H98" s="9" t="s">
        <v>18</v>
      </c>
      <c r="I98" s="16" t="str">
        <f>VLOOKUP(F98,[1]完整分类结果!$E:$G,3,0)</f>
        <v>农、林、牧、渔及水利业</v>
      </c>
      <c r="J98" s="16">
        <f>VLOOKUP(I98,[2]行业排放因子!$A:$B,2,0)</f>
        <v>90.746322689478703</v>
      </c>
      <c r="K98" s="9" t="s">
        <v>19</v>
      </c>
    </row>
    <row r="99" spans="1:11" ht="12.5" customHeight="1" x14ac:dyDescent="0.25">
      <c r="A99" s="5" t="s">
        <v>377</v>
      </c>
      <c r="B99" s="6" t="s">
        <v>12</v>
      </c>
      <c r="C99" s="6" t="s">
        <v>13</v>
      </c>
      <c r="D99" s="6" t="s">
        <v>378</v>
      </c>
      <c r="E99" s="6" t="s">
        <v>379</v>
      </c>
      <c r="F99" s="6" t="s">
        <v>378</v>
      </c>
      <c r="G99" s="9" t="s">
        <v>380</v>
      </c>
      <c r="H99" s="9" t="s">
        <v>18</v>
      </c>
      <c r="I99" s="16" t="str">
        <f>VLOOKUP(F99,[1]完整分类结果!$E:$G,3,0)</f>
        <v>农、林、牧、渔及水利业</v>
      </c>
      <c r="J99" s="16">
        <f>VLOOKUP(I99,[2]行业排放因子!$A:$B,2,0)</f>
        <v>90.746322689478703</v>
      </c>
      <c r="K99" s="9" t="s">
        <v>19</v>
      </c>
    </row>
    <row r="100" spans="1:11" ht="12.5" customHeight="1" x14ac:dyDescent="0.25">
      <c r="A100" s="5" t="s">
        <v>381</v>
      </c>
      <c r="B100" s="6" t="s">
        <v>12</v>
      </c>
      <c r="C100" s="6" t="s">
        <v>13</v>
      </c>
      <c r="D100" s="6" t="s">
        <v>382</v>
      </c>
      <c r="E100" s="6" t="s">
        <v>383</v>
      </c>
      <c r="F100" s="6" t="s">
        <v>384</v>
      </c>
      <c r="G100" s="9" t="s">
        <v>385</v>
      </c>
      <c r="H100" s="9" t="s">
        <v>18</v>
      </c>
      <c r="I100" s="16" t="str">
        <f>VLOOKUP(F100,[1]完整分类结果!$E:$G,3,0)</f>
        <v>农、林、牧、渔及水利业</v>
      </c>
      <c r="J100" s="16">
        <f>VLOOKUP(I100,[2]行业排放因子!$A:$B,2,0)</f>
        <v>90.746322689478703</v>
      </c>
      <c r="K100" s="9" t="s">
        <v>19</v>
      </c>
    </row>
    <row r="101" spans="1:11" ht="12.5" customHeight="1" x14ac:dyDescent="0.25">
      <c r="A101" s="5" t="s">
        <v>386</v>
      </c>
      <c r="B101" s="6" t="s">
        <v>12</v>
      </c>
      <c r="C101" s="6" t="s">
        <v>13</v>
      </c>
      <c r="D101" s="6" t="s">
        <v>382</v>
      </c>
      <c r="E101" s="6" t="s">
        <v>387</v>
      </c>
      <c r="F101" s="6" t="s">
        <v>388</v>
      </c>
      <c r="G101" s="9"/>
      <c r="H101" s="9" t="s">
        <v>18</v>
      </c>
      <c r="I101" s="16" t="str">
        <f>VLOOKUP(F101,[1]完整分类结果!$E:$G,3,0)</f>
        <v>农、林、牧、渔及水利业</v>
      </c>
      <c r="J101" s="16">
        <f>VLOOKUP(I101,[2]行业排放因子!$A:$B,2,0)</f>
        <v>90.746322689478703</v>
      </c>
      <c r="K101" s="9" t="s">
        <v>19</v>
      </c>
    </row>
    <row r="102" spans="1:11" ht="12.5" customHeight="1" x14ac:dyDescent="0.25">
      <c r="A102" s="5" t="s">
        <v>389</v>
      </c>
      <c r="B102" s="6" t="s">
        <v>12</v>
      </c>
      <c r="C102" s="6" t="s">
        <v>13</v>
      </c>
      <c r="D102" s="6" t="s">
        <v>382</v>
      </c>
      <c r="E102" s="6" t="s">
        <v>390</v>
      </c>
      <c r="F102" s="6" t="s">
        <v>391</v>
      </c>
      <c r="G102" s="9"/>
      <c r="H102" s="9" t="s">
        <v>18</v>
      </c>
      <c r="I102" s="16" t="str">
        <f>VLOOKUP(F102,[1]完整分类结果!$E:$G,3,0)</f>
        <v>农、林、牧、渔及水利业</v>
      </c>
      <c r="J102" s="16">
        <f>VLOOKUP(I102,[2]行业排放因子!$A:$B,2,0)</f>
        <v>90.746322689478703</v>
      </c>
      <c r="K102" s="9" t="s">
        <v>19</v>
      </c>
    </row>
    <row r="103" spans="1:11" ht="12.5" customHeight="1" x14ac:dyDescent="0.25">
      <c r="A103" s="5" t="s">
        <v>392</v>
      </c>
      <c r="B103" s="6" t="s">
        <v>12</v>
      </c>
      <c r="C103" s="6" t="s">
        <v>13</v>
      </c>
      <c r="D103" s="6" t="s">
        <v>382</v>
      </c>
      <c r="E103" s="6" t="s">
        <v>393</v>
      </c>
      <c r="F103" s="6" t="s">
        <v>394</v>
      </c>
      <c r="G103" s="9"/>
      <c r="H103" s="9" t="s">
        <v>18</v>
      </c>
      <c r="I103" s="16" t="str">
        <f>VLOOKUP(F103,[1]完整分类结果!$E:$G,3,0)</f>
        <v>农、林、牧、渔及水利业</v>
      </c>
      <c r="J103" s="16">
        <f>VLOOKUP(I103,[2]行业排放因子!$A:$B,2,0)</f>
        <v>90.746322689478703</v>
      </c>
      <c r="K103" s="9" t="s">
        <v>19</v>
      </c>
    </row>
    <row r="104" spans="1:11" ht="12.5" customHeight="1" x14ac:dyDescent="0.25">
      <c r="A104" s="5" t="s">
        <v>395</v>
      </c>
      <c r="B104" s="6" t="s">
        <v>12</v>
      </c>
      <c r="C104" s="6" t="s">
        <v>13</v>
      </c>
      <c r="D104" s="6" t="s">
        <v>382</v>
      </c>
      <c r="E104" s="6" t="s">
        <v>396</v>
      </c>
      <c r="F104" s="6" t="s">
        <v>397</v>
      </c>
      <c r="G104" s="9" t="s">
        <v>398</v>
      </c>
      <c r="H104" s="9" t="s">
        <v>18</v>
      </c>
      <c r="I104" s="16" t="str">
        <f>VLOOKUP(F104,[1]完整分类结果!$E:$G,3,0)</f>
        <v>农、林、牧、渔及水利业</v>
      </c>
      <c r="J104" s="16">
        <f>VLOOKUP(I104,[2]行业排放因子!$A:$B,2,0)</f>
        <v>90.746322689478703</v>
      </c>
      <c r="K104" s="9" t="s">
        <v>19</v>
      </c>
    </row>
    <row r="105" spans="1:11" ht="12.5" customHeight="1" x14ac:dyDescent="0.25">
      <c r="A105" s="5" t="s">
        <v>399</v>
      </c>
      <c r="B105" s="6" t="s">
        <v>12</v>
      </c>
      <c r="C105" s="6" t="s">
        <v>13</v>
      </c>
      <c r="D105" s="6" t="s">
        <v>382</v>
      </c>
      <c r="E105" s="6" t="s">
        <v>400</v>
      </c>
      <c r="F105" s="6" t="s">
        <v>401</v>
      </c>
      <c r="G105" s="9"/>
      <c r="H105" s="9" t="s">
        <v>18</v>
      </c>
      <c r="I105" s="16" t="str">
        <f>VLOOKUP(F105,[1]完整分类结果!$E:$G,3,0)</f>
        <v>农、林、牧、渔及水利业</v>
      </c>
      <c r="J105" s="16">
        <f>VLOOKUP(I105,[2]行业排放因子!$A:$B,2,0)</f>
        <v>90.746322689478703</v>
      </c>
      <c r="K105" s="9" t="s">
        <v>19</v>
      </c>
    </row>
    <row r="106" spans="1:11" ht="12.5" customHeight="1" x14ac:dyDescent="0.25">
      <c r="A106" s="5" t="s">
        <v>402</v>
      </c>
      <c r="B106" s="6" t="s">
        <v>12</v>
      </c>
      <c r="C106" s="6" t="s">
        <v>13</v>
      </c>
      <c r="D106" s="6" t="s">
        <v>382</v>
      </c>
      <c r="E106" s="6" t="s">
        <v>403</v>
      </c>
      <c r="F106" s="6" t="s">
        <v>404</v>
      </c>
      <c r="G106" s="9"/>
      <c r="H106" s="9" t="s">
        <v>18</v>
      </c>
      <c r="I106" s="16" t="str">
        <f>VLOOKUP(F106,[1]完整分类结果!$E:$G,3,0)</f>
        <v>农、林、牧、渔及水利业</v>
      </c>
      <c r="J106" s="16">
        <f>VLOOKUP(I106,[2]行业排放因子!$A:$B,2,0)</f>
        <v>90.746322689478703</v>
      </c>
      <c r="K106" s="9" t="s">
        <v>19</v>
      </c>
    </row>
    <row r="107" spans="1:11" ht="12.5" customHeight="1" x14ac:dyDescent="0.25">
      <c r="A107" s="5" t="s">
        <v>405</v>
      </c>
      <c r="B107" s="6" t="s">
        <v>12</v>
      </c>
      <c r="C107" s="6" t="s">
        <v>13</v>
      </c>
      <c r="D107" s="6" t="s">
        <v>382</v>
      </c>
      <c r="E107" s="6" t="s">
        <v>406</v>
      </c>
      <c r="F107" s="6" t="s">
        <v>407</v>
      </c>
      <c r="G107" s="9"/>
      <c r="H107" s="9" t="s">
        <v>18</v>
      </c>
      <c r="I107" s="16" t="str">
        <f>VLOOKUP(F107,[1]完整分类结果!$E:$G,3,0)</f>
        <v>农、林、牧、渔及水利业</v>
      </c>
      <c r="J107" s="16">
        <f>VLOOKUP(I107,[2]行业排放因子!$A:$B,2,0)</f>
        <v>90.746322689478703</v>
      </c>
      <c r="K107" s="9" t="s">
        <v>19</v>
      </c>
    </row>
    <row r="108" spans="1:11" ht="12.5" customHeight="1" x14ac:dyDescent="0.25">
      <c r="A108" s="5" t="s">
        <v>408</v>
      </c>
      <c r="B108" s="6" t="s">
        <v>12</v>
      </c>
      <c r="C108" s="6" t="s">
        <v>13</v>
      </c>
      <c r="D108" s="6" t="s">
        <v>382</v>
      </c>
      <c r="E108" s="6" t="s">
        <v>409</v>
      </c>
      <c r="F108" s="6" t="s">
        <v>410</v>
      </c>
      <c r="G108" s="9"/>
      <c r="H108" s="9" t="s">
        <v>18</v>
      </c>
      <c r="I108" s="16" t="str">
        <f>VLOOKUP(F108,[1]完整分类结果!$E:$G,3,0)</f>
        <v>农、林、牧、渔及水利业</v>
      </c>
      <c r="J108" s="16">
        <f>VLOOKUP(I108,[2]行业排放因子!$A:$B,2,0)</f>
        <v>90.746322689478703</v>
      </c>
      <c r="K108" s="9" t="s">
        <v>19</v>
      </c>
    </row>
    <row r="109" spans="1:11" ht="12.5" customHeight="1" x14ac:dyDescent="0.25">
      <c r="A109" s="5" t="s">
        <v>411</v>
      </c>
      <c r="B109" s="6" t="s">
        <v>12</v>
      </c>
      <c r="C109" s="6" t="s">
        <v>13</v>
      </c>
      <c r="D109" s="6" t="s">
        <v>382</v>
      </c>
      <c r="E109" s="6" t="s">
        <v>412</v>
      </c>
      <c r="F109" s="6" t="s">
        <v>413</v>
      </c>
      <c r="G109" s="9"/>
      <c r="H109" s="9" t="s">
        <v>18</v>
      </c>
      <c r="I109" s="16" t="str">
        <f>VLOOKUP(F109,[1]完整分类结果!$E:$G,3,0)</f>
        <v>农、林、牧、渔及水利业</v>
      </c>
      <c r="J109" s="16">
        <f>VLOOKUP(I109,[2]行业排放因子!$A:$B,2,0)</f>
        <v>90.746322689478703</v>
      </c>
      <c r="K109" s="9" t="s">
        <v>19</v>
      </c>
    </row>
    <row r="110" spans="1:11" ht="12.5" customHeight="1" x14ac:dyDescent="0.25">
      <c r="A110" s="5" t="s">
        <v>414</v>
      </c>
      <c r="B110" s="6" t="s">
        <v>12</v>
      </c>
      <c r="C110" s="6" t="s">
        <v>13</v>
      </c>
      <c r="D110" s="6" t="s">
        <v>382</v>
      </c>
      <c r="E110" s="6" t="s">
        <v>415</v>
      </c>
      <c r="F110" s="6" t="s">
        <v>416</v>
      </c>
      <c r="G110" s="9"/>
      <c r="H110" s="9" t="s">
        <v>18</v>
      </c>
      <c r="I110" s="16" t="str">
        <f>VLOOKUP(F110,[1]完整分类结果!$E:$G,3,0)</f>
        <v>农、林、牧、渔及水利业</v>
      </c>
      <c r="J110" s="16">
        <f>VLOOKUP(I110,[2]行业排放因子!$A:$B,2,0)</f>
        <v>90.746322689478703</v>
      </c>
      <c r="K110" s="9" t="s">
        <v>19</v>
      </c>
    </row>
    <row r="111" spans="1:11" ht="12.5" customHeight="1" x14ac:dyDescent="0.25">
      <c r="A111" s="5" t="s">
        <v>417</v>
      </c>
      <c r="B111" s="6" t="s">
        <v>12</v>
      </c>
      <c r="C111" s="6" t="s">
        <v>13</v>
      </c>
      <c r="D111" s="6" t="s">
        <v>382</v>
      </c>
      <c r="E111" s="6" t="s">
        <v>418</v>
      </c>
      <c r="F111" s="6" t="s">
        <v>419</v>
      </c>
      <c r="G111" s="9"/>
      <c r="H111" s="9" t="s">
        <v>18</v>
      </c>
      <c r="I111" s="16" t="str">
        <f>VLOOKUP(F111,[1]完整分类结果!$E:$G,3,0)</f>
        <v>农、林、牧、渔及水利业</v>
      </c>
      <c r="J111" s="16">
        <f>VLOOKUP(I111,[2]行业排放因子!$A:$B,2,0)</f>
        <v>90.746322689478703</v>
      </c>
      <c r="K111" s="9" t="s">
        <v>19</v>
      </c>
    </row>
    <row r="112" spans="1:11" ht="12.5" customHeight="1" x14ac:dyDescent="0.25">
      <c r="A112" s="5" t="s">
        <v>420</v>
      </c>
      <c r="B112" s="6" t="s">
        <v>12</v>
      </c>
      <c r="C112" s="6" t="s">
        <v>13</v>
      </c>
      <c r="D112" s="6" t="s">
        <v>382</v>
      </c>
      <c r="E112" s="6" t="s">
        <v>421</v>
      </c>
      <c r="F112" s="6" t="s">
        <v>422</v>
      </c>
      <c r="G112" s="9" t="s">
        <v>423</v>
      </c>
      <c r="H112" s="9" t="s">
        <v>18</v>
      </c>
      <c r="I112" s="16" t="str">
        <f>VLOOKUP(F112,[1]完整分类结果!$E:$G,3,0)</f>
        <v>农、林、牧、渔及水利业</v>
      </c>
      <c r="J112" s="16">
        <f>VLOOKUP(I112,[2]行业排放因子!$A:$B,2,0)</f>
        <v>90.746322689478703</v>
      </c>
      <c r="K112" s="9" t="s">
        <v>19</v>
      </c>
    </row>
    <row r="113" spans="1:11" ht="12.5" customHeight="1" x14ac:dyDescent="0.25">
      <c r="A113" s="5" t="s">
        <v>424</v>
      </c>
      <c r="B113" s="6" t="s">
        <v>12</v>
      </c>
      <c r="C113" s="6" t="s">
        <v>13</v>
      </c>
      <c r="D113" s="6" t="s">
        <v>382</v>
      </c>
      <c r="E113" s="6" t="s">
        <v>425</v>
      </c>
      <c r="F113" s="6" t="s">
        <v>426</v>
      </c>
      <c r="G113" s="9"/>
      <c r="H113" s="9" t="s">
        <v>18</v>
      </c>
      <c r="I113" s="16" t="str">
        <f>VLOOKUP(F113,[1]完整分类结果!$E:$G,3,0)</f>
        <v>农、林、牧、渔及水利业</v>
      </c>
      <c r="J113" s="16">
        <f>VLOOKUP(I113,[2]行业排放因子!$A:$B,2,0)</f>
        <v>90.746322689478703</v>
      </c>
      <c r="K113" s="9" t="s">
        <v>19</v>
      </c>
    </row>
    <row r="114" spans="1:11" ht="12.5" customHeight="1" x14ac:dyDescent="0.25">
      <c r="A114" s="5" t="s">
        <v>427</v>
      </c>
      <c r="B114" s="6" t="s">
        <v>12</v>
      </c>
      <c r="C114" s="6" t="s">
        <v>13</v>
      </c>
      <c r="D114" s="6" t="s">
        <v>428</v>
      </c>
      <c r="E114" s="6" t="s">
        <v>429</v>
      </c>
      <c r="F114" s="6" t="s">
        <v>430</v>
      </c>
      <c r="G114" s="9" t="s">
        <v>431</v>
      </c>
      <c r="H114" s="9" t="s">
        <v>18</v>
      </c>
      <c r="I114" s="16" t="str">
        <f>VLOOKUP(F114,[1]完整分类结果!$E:$G,3,0)</f>
        <v>农、林、牧、渔及水利业</v>
      </c>
      <c r="J114" s="16">
        <f>VLOOKUP(I114,[2]行业排放因子!$A:$B,2,0)</f>
        <v>90.746322689478703</v>
      </c>
      <c r="K114" s="9" t="s">
        <v>19</v>
      </c>
    </row>
    <row r="115" spans="1:11" ht="12.5" customHeight="1" x14ac:dyDescent="0.25">
      <c r="A115" s="5" t="s">
        <v>432</v>
      </c>
      <c r="B115" s="6" t="s">
        <v>12</v>
      </c>
      <c r="C115" s="6" t="s">
        <v>13</v>
      </c>
      <c r="D115" s="6" t="s">
        <v>428</v>
      </c>
      <c r="E115" s="6" t="s">
        <v>433</v>
      </c>
      <c r="F115" s="6" t="s">
        <v>434</v>
      </c>
      <c r="G115" s="9" t="s">
        <v>435</v>
      </c>
      <c r="H115" s="9" t="s">
        <v>18</v>
      </c>
      <c r="I115" s="16" t="str">
        <f>VLOOKUP(F115,[1]完整分类结果!$E:$G,3,0)</f>
        <v>农、林、牧、渔及水利业</v>
      </c>
      <c r="J115" s="16">
        <f>VLOOKUP(I115,[2]行业排放因子!$A:$B,2,0)</f>
        <v>90.746322689478703</v>
      </c>
      <c r="K115" s="9" t="s">
        <v>19</v>
      </c>
    </row>
    <row r="116" spans="1:11" ht="12.5" customHeight="1" x14ac:dyDescent="0.25">
      <c r="A116" s="5" t="s">
        <v>436</v>
      </c>
      <c r="B116" s="6" t="s">
        <v>12</v>
      </c>
      <c r="C116" s="6" t="s">
        <v>13</v>
      </c>
      <c r="D116" s="6" t="s">
        <v>428</v>
      </c>
      <c r="E116" s="6" t="s">
        <v>437</v>
      </c>
      <c r="F116" s="6" t="s">
        <v>438</v>
      </c>
      <c r="G116" s="9"/>
      <c r="H116" s="9" t="s">
        <v>18</v>
      </c>
      <c r="I116" s="16" t="str">
        <f>VLOOKUP(F116,[1]完整分类结果!$E:$G,3,0)</f>
        <v>农、林、牧、渔及水利业</v>
      </c>
      <c r="J116" s="16">
        <f>VLOOKUP(I116,[2]行业排放因子!$A:$B,2,0)</f>
        <v>90.746322689478703</v>
      </c>
      <c r="K116" s="9" t="s">
        <v>19</v>
      </c>
    </row>
    <row r="117" spans="1:11" ht="12.5" customHeight="1" x14ac:dyDescent="0.25">
      <c r="A117" s="5" t="s">
        <v>439</v>
      </c>
      <c r="B117" s="6" t="s">
        <v>12</v>
      </c>
      <c r="C117" s="6" t="s">
        <v>13</v>
      </c>
      <c r="D117" s="6" t="s">
        <v>440</v>
      </c>
      <c r="E117" s="6" t="s">
        <v>441</v>
      </c>
      <c r="F117" s="6" t="s">
        <v>440</v>
      </c>
      <c r="G117" s="9" t="s">
        <v>442</v>
      </c>
      <c r="H117" s="9" t="s">
        <v>18</v>
      </c>
      <c r="I117" s="16" t="str">
        <f>VLOOKUP(F117,[1]完整分类结果!$E:$G,3,0)</f>
        <v>农、林、牧、渔及水利业</v>
      </c>
      <c r="J117" s="16">
        <f>VLOOKUP(I117,[2]行业排放因子!$A:$B,2,0)</f>
        <v>90.746322689478703</v>
      </c>
      <c r="K117" s="9" t="s">
        <v>19</v>
      </c>
    </row>
    <row r="118" spans="1:11" ht="12.5" customHeight="1" x14ac:dyDescent="0.25">
      <c r="A118" s="5" t="s">
        <v>443</v>
      </c>
      <c r="B118" s="6" t="s">
        <v>12</v>
      </c>
      <c r="C118" s="6" t="s">
        <v>13</v>
      </c>
      <c r="D118" s="6" t="s">
        <v>444</v>
      </c>
      <c r="E118" s="6" t="s">
        <v>445</v>
      </c>
      <c r="F118" s="6" t="s">
        <v>444</v>
      </c>
      <c r="G118" s="9" t="s">
        <v>446</v>
      </c>
      <c r="H118" s="9" t="s">
        <v>18</v>
      </c>
      <c r="I118" s="16" t="str">
        <f>VLOOKUP(F118,[1]完整分类结果!$E:$G,3,0)</f>
        <v>农、林、牧、渔及水利业</v>
      </c>
      <c r="J118" s="16">
        <f>VLOOKUP(I118,[2]行业排放因子!$A:$B,2,0)</f>
        <v>90.746322689478703</v>
      </c>
      <c r="K118" s="9" t="s">
        <v>19</v>
      </c>
    </row>
    <row r="119" spans="1:11" ht="12.5" customHeight="1" x14ac:dyDescent="0.25">
      <c r="A119" s="5" t="s">
        <v>447</v>
      </c>
      <c r="B119" s="6" t="s">
        <v>12</v>
      </c>
      <c r="C119" s="6" t="s">
        <v>13</v>
      </c>
      <c r="D119" s="6" t="s">
        <v>448</v>
      </c>
      <c r="E119" s="6" t="s">
        <v>449</v>
      </c>
      <c r="F119" s="6" t="s">
        <v>450</v>
      </c>
      <c r="G119" s="9" t="s">
        <v>451</v>
      </c>
      <c r="H119" s="9" t="s">
        <v>18</v>
      </c>
      <c r="I119" s="16" t="str">
        <f>VLOOKUP(F119,[1]完整分类结果!$E:$G,3,0)</f>
        <v>农、林、牧、渔及水利业</v>
      </c>
      <c r="J119" s="16">
        <f>VLOOKUP(I119,[2]行业排放因子!$A:$B,2,0)</f>
        <v>90.746322689478703</v>
      </c>
      <c r="K119" s="9" t="s">
        <v>19</v>
      </c>
    </row>
    <row r="120" spans="1:11" ht="12.5" customHeight="1" x14ac:dyDescent="0.25">
      <c r="A120" s="5" t="s">
        <v>452</v>
      </c>
      <c r="B120" s="6" t="s">
        <v>12</v>
      </c>
      <c r="C120" s="6" t="s">
        <v>13</v>
      </c>
      <c r="D120" s="6" t="s">
        <v>448</v>
      </c>
      <c r="E120" s="6" t="s">
        <v>453</v>
      </c>
      <c r="F120" s="6" t="s">
        <v>454</v>
      </c>
      <c r="G120" s="9" t="s">
        <v>455</v>
      </c>
      <c r="H120" s="9" t="s">
        <v>18</v>
      </c>
      <c r="I120" s="16" t="str">
        <f>VLOOKUP(F120,[1]完整分类结果!$E:$G,3,0)</f>
        <v>农、林、牧、渔及水利业</v>
      </c>
      <c r="J120" s="16">
        <f>VLOOKUP(I120,[2]行业排放因子!$A:$B,2,0)</f>
        <v>90.746322689478703</v>
      </c>
      <c r="K120" s="9" t="s">
        <v>19</v>
      </c>
    </row>
    <row r="121" spans="1:11" ht="12.5" customHeight="1" x14ac:dyDescent="0.25">
      <c r="A121" s="5" t="s">
        <v>456</v>
      </c>
      <c r="B121" s="6" t="s">
        <v>12</v>
      </c>
      <c r="C121" s="6" t="s">
        <v>13</v>
      </c>
      <c r="D121" s="6" t="s">
        <v>448</v>
      </c>
      <c r="E121" s="6" t="s">
        <v>457</v>
      </c>
      <c r="F121" s="6" t="s">
        <v>458</v>
      </c>
      <c r="G121" s="9" t="s">
        <v>459</v>
      </c>
      <c r="H121" s="9" t="s">
        <v>18</v>
      </c>
      <c r="I121" s="16" t="str">
        <f>VLOOKUP(F121,[1]完整分类结果!$E:$G,3,0)</f>
        <v>农、林、牧、渔及水利业</v>
      </c>
      <c r="J121" s="16">
        <f>VLOOKUP(I121,[2]行业排放因子!$A:$B,2,0)</f>
        <v>90.746322689478703</v>
      </c>
      <c r="K121" s="9" t="s">
        <v>19</v>
      </c>
    </row>
    <row r="122" spans="1:11" ht="12.5" customHeight="1" x14ac:dyDescent="0.25">
      <c r="A122" s="5" t="s">
        <v>460</v>
      </c>
      <c r="B122" s="6" t="s">
        <v>12</v>
      </c>
      <c r="C122" s="6" t="s">
        <v>13</v>
      </c>
      <c r="D122" s="6" t="s">
        <v>448</v>
      </c>
      <c r="E122" s="6" t="s">
        <v>461</v>
      </c>
      <c r="F122" s="6" t="s">
        <v>462</v>
      </c>
      <c r="G122" s="9" t="s">
        <v>463</v>
      </c>
      <c r="H122" s="9" t="s">
        <v>18</v>
      </c>
      <c r="I122" s="16" t="str">
        <f>VLOOKUP(F122,[1]完整分类结果!$E:$G,3,0)</f>
        <v>农、林、牧、渔及水利业</v>
      </c>
      <c r="J122" s="16">
        <f>VLOOKUP(I122,[2]行业排放因子!$A:$B,2,0)</f>
        <v>90.746322689478703</v>
      </c>
      <c r="K122" s="9" t="s">
        <v>19</v>
      </c>
    </row>
    <row r="123" spans="1:11" ht="12.5" customHeight="1" x14ac:dyDescent="0.25">
      <c r="A123" s="5" t="s">
        <v>464</v>
      </c>
      <c r="B123" s="6" t="s">
        <v>12</v>
      </c>
      <c r="C123" s="6" t="s">
        <v>13</v>
      </c>
      <c r="D123" s="6" t="s">
        <v>448</v>
      </c>
      <c r="E123" s="6" t="s">
        <v>465</v>
      </c>
      <c r="F123" s="6" t="s">
        <v>466</v>
      </c>
      <c r="G123" s="9" t="s">
        <v>467</v>
      </c>
      <c r="H123" s="9" t="s">
        <v>18</v>
      </c>
      <c r="I123" s="16" t="str">
        <f>VLOOKUP(F123,[1]完整分类结果!$E:$G,3,0)</f>
        <v>农、林、牧、渔及水利业</v>
      </c>
      <c r="J123" s="16">
        <f>VLOOKUP(I123,[2]行业排放因子!$A:$B,2,0)</f>
        <v>90.746322689478703</v>
      </c>
      <c r="K123" s="9" t="s">
        <v>19</v>
      </c>
    </row>
    <row r="124" spans="1:11" ht="12.5" customHeight="1" x14ac:dyDescent="0.25">
      <c r="A124" s="5" t="s">
        <v>468</v>
      </c>
      <c r="B124" s="6" t="s">
        <v>12</v>
      </c>
      <c r="C124" s="6" t="s">
        <v>13</v>
      </c>
      <c r="D124" s="6" t="s">
        <v>448</v>
      </c>
      <c r="E124" s="6" t="s">
        <v>469</v>
      </c>
      <c r="F124" s="6" t="s">
        <v>470</v>
      </c>
      <c r="G124" s="9"/>
      <c r="H124" s="9" t="s">
        <v>18</v>
      </c>
      <c r="I124" s="16" t="str">
        <f>VLOOKUP(F124,[1]完整分类结果!$E:$G,3,0)</f>
        <v>农、林、牧、渔及水利业</v>
      </c>
      <c r="J124" s="16">
        <f>VLOOKUP(I124,[2]行业排放因子!$A:$B,2,0)</f>
        <v>90.746322689478703</v>
      </c>
      <c r="K124" s="9" t="s">
        <v>19</v>
      </c>
    </row>
    <row r="125" spans="1:11" ht="12.5" customHeight="1" x14ac:dyDescent="0.25">
      <c r="A125" s="5" t="s">
        <v>471</v>
      </c>
      <c r="B125" s="6" t="s">
        <v>12</v>
      </c>
      <c r="C125" s="6" t="s">
        <v>13</v>
      </c>
      <c r="D125" s="6" t="s">
        <v>448</v>
      </c>
      <c r="E125" s="6" t="s">
        <v>472</v>
      </c>
      <c r="F125" s="6" t="s">
        <v>473</v>
      </c>
      <c r="G125" s="9" t="s">
        <v>474</v>
      </c>
      <c r="H125" s="9" t="s">
        <v>18</v>
      </c>
      <c r="I125" s="16" t="str">
        <f>VLOOKUP(F125,[1]完整分类结果!$E:$G,3,0)</f>
        <v>农、林、牧、渔及水利业</v>
      </c>
      <c r="J125" s="16">
        <f>VLOOKUP(I125,[2]行业排放因子!$A:$B,2,0)</f>
        <v>90.746322689478703</v>
      </c>
      <c r="K125" s="9" t="s">
        <v>19</v>
      </c>
    </row>
    <row r="126" spans="1:11" ht="12.5" customHeight="1" x14ac:dyDescent="0.25">
      <c r="A126" s="5" t="s">
        <v>475</v>
      </c>
      <c r="B126" s="6" t="s">
        <v>12</v>
      </c>
      <c r="C126" s="6" t="s">
        <v>13</v>
      </c>
      <c r="D126" s="6" t="s">
        <v>448</v>
      </c>
      <c r="E126" s="6" t="s">
        <v>476</v>
      </c>
      <c r="F126" s="6" t="s">
        <v>477</v>
      </c>
      <c r="G126" s="9" t="s">
        <v>478</v>
      </c>
      <c r="H126" s="9" t="s">
        <v>18</v>
      </c>
      <c r="I126" s="16" t="str">
        <f>VLOOKUP(F126,[1]完整分类结果!$E:$G,3,0)</f>
        <v>农、林、牧、渔及水利业</v>
      </c>
      <c r="J126" s="16">
        <f>VLOOKUP(I126,[2]行业排放因子!$A:$B,2,0)</f>
        <v>90.746322689478703</v>
      </c>
      <c r="K126" s="9" t="s">
        <v>19</v>
      </c>
    </row>
    <row r="127" spans="1:11" ht="12.5" customHeight="1" x14ac:dyDescent="0.25">
      <c r="A127" s="5" t="s">
        <v>479</v>
      </c>
      <c r="B127" s="6" t="s">
        <v>12</v>
      </c>
      <c r="C127" s="6" t="s">
        <v>13</v>
      </c>
      <c r="D127" s="6" t="s">
        <v>448</v>
      </c>
      <c r="E127" s="6" t="s">
        <v>480</v>
      </c>
      <c r="F127" s="6" t="s">
        <v>481</v>
      </c>
      <c r="G127" s="9"/>
      <c r="H127" s="9" t="s">
        <v>18</v>
      </c>
      <c r="I127" s="16" t="str">
        <f>VLOOKUP(F127,[1]完整分类结果!$E:$G,3,0)</f>
        <v>农、林、牧、渔及水利业</v>
      </c>
      <c r="J127" s="16">
        <f>VLOOKUP(I127,[2]行业排放因子!$A:$B,2,0)</f>
        <v>90.746322689478703</v>
      </c>
      <c r="K127" s="9" t="s">
        <v>19</v>
      </c>
    </row>
    <row r="128" spans="1:11" ht="12.5" customHeight="1" x14ac:dyDescent="0.25">
      <c r="A128" s="5" t="s">
        <v>482</v>
      </c>
      <c r="B128" s="6" t="s">
        <v>12</v>
      </c>
      <c r="C128" s="6" t="s">
        <v>483</v>
      </c>
      <c r="D128" s="6" t="s">
        <v>483</v>
      </c>
      <c r="E128" s="6" t="s">
        <v>484</v>
      </c>
      <c r="F128" s="6" t="s">
        <v>485</v>
      </c>
      <c r="G128" s="9" t="s">
        <v>486</v>
      </c>
      <c r="H128" s="9" t="s">
        <v>18</v>
      </c>
      <c r="I128" s="16" t="str">
        <f>VLOOKUP(F128,[1]完整分类结果!$E:$G,3,0)</f>
        <v>农、林、牧、渔及水利业</v>
      </c>
      <c r="J128" s="16">
        <f>VLOOKUP(I128,[2]行业排放因子!$A:$B,2,0)</f>
        <v>90.746322689478703</v>
      </c>
      <c r="K128" s="9" t="s">
        <v>19</v>
      </c>
    </row>
    <row r="129" spans="1:11" ht="12.5" customHeight="1" x14ac:dyDescent="0.25">
      <c r="A129" s="5" t="s">
        <v>487</v>
      </c>
      <c r="B129" s="6" t="s">
        <v>12</v>
      </c>
      <c r="C129" s="6" t="s">
        <v>483</v>
      </c>
      <c r="D129" s="6" t="s">
        <v>483</v>
      </c>
      <c r="E129" s="6" t="s">
        <v>488</v>
      </c>
      <c r="F129" s="6" t="s">
        <v>489</v>
      </c>
      <c r="G129" s="9" t="s">
        <v>490</v>
      </c>
      <c r="H129" s="9" t="s">
        <v>18</v>
      </c>
      <c r="I129" s="16" t="str">
        <f>VLOOKUP(F129,[1]完整分类结果!$E:$G,3,0)</f>
        <v>农、林、牧、渔及水利业</v>
      </c>
      <c r="J129" s="16">
        <f>VLOOKUP(I129,[2]行业排放因子!$A:$B,2,0)</f>
        <v>90.746322689478703</v>
      </c>
      <c r="K129" s="9" t="s">
        <v>19</v>
      </c>
    </row>
    <row r="130" spans="1:11" ht="12.5" customHeight="1" x14ac:dyDescent="0.25">
      <c r="A130" s="5" t="s">
        <v>491</v>
      </c>
      <c r="B130" s="6" t="s">
        <v>12</v>
      </c>
      <c r="C130" s="6" t="s">
        <v>483</v>
      </c>
      <c r="D130" s="6" t="s">
        <v>483</v>
      </c>
      <c r="E130" s="6" t="s">
        <v>492</v>
      </c>
      <c r="F130" s="6" t="s">
        <v>493</v>
      </c>
      <c r="G130" s="9" t="s">
        <v>494</v>
      </c>
      <c r="H130" s="9" t="s">
        <v>18</v>
      </c>
      <c r="I130" s="16" t="str">
        <f>VLOOKUP(F130,[1]完整分类结果!$E:$G,3,0)</f>
        <v>农、林、牧、渔及水利业</v>
      </c>
      <c r="J130" s="16">
        <f>VLOOKUP(I130,[2]行业排放因子!$A:$B,2,0)</f>
        <v>90.746322689478703</v>
      </c>
      <c r="K130" s="9" t="s">
        <v>19</v>
      </c>
    </row>
    <row r="131" spans="1:11" ht="12.5" customHeight="1" x14ac:dyDescent="0.25">
      <c r="A131" s="5" t="s">
        <v>495</v>
      </c>
      <c r="B131" s="6" t="s">
        <v>12</v>
      </c>
      <c r="C131" s="6" t="s">
        <v>483</v>
      </c>
      <c r="D131" s="6" t="s">
        <v>483</v>
      </c>
      <c r="E131" s="6" t="s">
        <v>496</v>
      </c>
      <c r="F131" s="6" t="s">
        <v>497</v>
      </c>
      <c r="G131" s="9" t="s">
        <v>498</v>
      </c>
      <c r="H131" s="9" t="s">
        <v>18</v>
      </c>
      <c r="I131" s="16" t="str">
        <f>VLOOKUP(F131,[1]完整分类结果!$E:$G,3,0)</f>
        <v>农、林、牧、渔及水利业</v>
      </c>
      <c r="J131" s="16">
        <f>VLOOKUP(I131,[2]行业排放因子!$A:$B,2,0)</f>
        <v>90.746322689478703</v>
      </c>
      <c r="K131" s="9" t="s">
        <v>19</v>
      </c>
    </row>
    <row r="132" spans="1:11" ht="12.5" customHeight="1" x14ac:dyDescent="0.25">
      <c r="A132" s="5" t="s">
        <v>499</v>
      </c>
      <c r="B132" s="6" t="s">
        <v>12</v>
      </c>
      <c r="C132" s="6" t="s">
        <v>483</v>
      </c>
      <c r="D132" s="6" t="s">
        <v>483</v>
      </c>
      <c r="E132" s="6" t="s">
        <v>500</v>
      </c>
      <c r="F132" s="6" t="s">
        <v>501</v>
      </c>
      <c r="G132" s="9"/>
      <c r="H132" s="9" t="s">
        <v>18</v>
      </c>
      <c r="I132" s="16" t="str">
        <f>VLOOKUP(F132,[1]完整分类结果!$E:$G,3,0)</f>
        <v>农、林、牧、渔及水利业</v>
      </c>
      <c r="J132" s="16">
        <f>VLOOKUP(I132,[2]行业排放因子!$A:$B,2,0)</f>
        <v>90.746322689478703</v>
      </c>
      <c r="K132" s="9" t="s">
        <v>19</v>
      </c>
    </row>
    <row r="133" spans="1:11" ht="12.5" customHeight="1" x14ac:dyDescent="0.25">
      <c r="A133" s="5" t="s">
        <v>502</v>
      </c>
      <c r="B133" s="6" t="s">
        <v>12</v>
      </c>
      <c r="C133" s="6" t="s">
        <v>483</v>
      </c>
      <c r="D133" s="6" t="s">
        <v>483</v>
      </c>
      <c r="E133" s="6" t="s">
        <v>503</v>
      </c>
      <c r="F133" s="6" t="s">
        <v>504</v>
      </c>
      <c r="G133" s="9"/>
      <c r="H133" s="9" t="s">
        <v>18</v>
      </c>
      <c r="I133" s="16" t="str">
        <f>VLOOKUP(F133,[1]完整分类结果!$E:$G,3,0)</f>
        <v>农、林、牧、渔及水利业</v>
      </c>
      <c r="J133" s="16">
        <f>VLOOKUP(I133,[2]行业排放因子!$A:$B,2,0)</f>
        <v>90.746322689478703</v>
      </c>
      <c r="K133" s="9" t="s">
        <v>19</v>
      </c>
    </row>
    <row r="134" spans="1:11" ht="12.5" customHeight="1" x14ac:dyDescent="0.25">
      <c r="A134" s="5" t="s">
        <v>505</v>
      </c>
      <c r="B134" s="6" t="s">
        <v>12</v>
      </c>
      <c r="C134" s="6" t="s">
        <v>483</v>
      </c>
      <c r="D134" s="6" t="s">
        <v>483</v>
      </c>
      <c r="E134" s="6" t="s">
        <v>506</v>
      </c>
      <c r="F134" s="6" t="s">
        <v>507</v>
      </c>
      <c r="G134" s="9" t="s">
        <v>508</v>
      </c>
      <c r="H134" s="9" t="s">
        <v>18</v>
      </c>
      <c r="I134" s="16" t="str">
        <f>VLOOKUP(F134,[1]完整分类结果!$E:$G,3,0)</f>
        <v>农、林、牧、渔及水利业</v>
      </c>
      <c r="J134" s="16">
        <f>VLOOKUP(I134,[2]行业排放因子!$A:$B,2,0)</f>
        <v>90.746322689478703</v>
      </c>
      <c r="K134" s="9" t="s">
        <v>19</v>
      </c>
    </row>
    <row r="135" spans="1:11" ht="12.5" customHeight="1" x14ac:dyDescent="0.25">
      <c r="A135" s="5" t="s">
        <v>509</v>
      </c>
      <c r="B135" s="6" t="s">
        <v>12</v>
      </c>
      <c r="C135" s="6" t="s">
        <v>483</v>
      </c>
      <c r="D135" s="6" t="s">
        <v>483</v>
      </c>
      <c r="E135" s="6" t="s">
        <v>510</v>
      </c>
      <c r="F135" s="6" t="s">
        <v>511</v>
      </c>
      <c r="G135" s="9"/>
      <c r="H135" s="9" t="s">
        <v>18</v>
      </c>
      <c r="I135" s="16" t="str">
        <f>VLOOKUP(F135,[1]完整分类结果!$E:$G,3,0)</f>
        <v>农、林、牧、渔及水利业</v>
      </c>
      <c r="J135" s="16">
        <f>VLOOKUP(I135,[2]行业排放因子!$A:$B,2,0)</f>
        <v>90.746322689478703</v>
      </c>
      <c r="K135" s="9" t="s">
        <v>19</v>
      </c>
    </row>
    <row r="136" spans="1:11" ht="12.5" customHeight="1" x14ac:dyDescent="0.25">
      <c r="A136" s="5" t="s">
        <v>512</v>
      </c>
      <c r="B136" s="6" t="s">
        <v>12</v>
      </c>
      <c r="C136" s="6" t="s">
        <v>483</v>
      </c>
      <c r="D136" s="6" t="s">
        <v>483</v>
      </c>
      <c r="E136" s="6" t="s">
        <v>513</v>
      </c>
      <c r="F136" s="6" t="s">
        <v>514</v>
      </c>
      <c r="G136" s="9" t="s">
        <v>515</v>
      </c>
      <c r="H136" s="9" t="s">
        <v>18</v>
      </c>
      <c r="I136" s="16" t="str">
        <f>VLOOKUP(F136,[1]完整分类结果!$E:$G,3,0)</f>
        <v>农、林、牧、渔及水利业</v>
      </c>
      <c r="J136" s="16">
        <f>VLOOKUP(I136,[2]行业排放因子!$A:$B,2,0)</f>
        <v>90.746322689478703</v>
      </c>
      <c r="K136" s="9" t="s">
        <v>19</v>
      </c>
    </row>
    <row r="137" spans="1:11" ht="12.5" customHeight="1" x14ac:dyDescent="0.25">
      <c r="A137" s="5" t="s">
        <v>516</v>
      </c>
      <c r="B137" s="6" t="s">
        <v>12</v>
      </c>
      <c r="C137" s="6" t="s">
        <v>483</v>
      </c>
      <c r="D137" s="6" t="s">
        <v>483</v>
      </c>
      <c r="E137" s="6" t="s">
        <v>517</v>
      </c>
      <c r="F137" s="6" t="s">
        <v>518</v>
      </c>
      <c r="G137" s="9" t="s">
        <v>519</v>
      </c>
      <c r="H137" s="9" t="s">
        <v>18</v>
      </c>
      <c r="I137" s="16" t="str">
        <f>VLOOKUP(F137,[1]完整分类结果!$E:$G,3,0)</f>
        <v>农、林、牧、渔及水利业</v>
      </c>
      <c r="J137" s="16">
        <f>VLOOKUP(I137,[2]行业排放因子!$A:$B,2,0)</f>
        <v>90.746322689478703</v>
      </c>
      <c r="K137" s="9" t="s">
        <v>19</v>
      </c>
    </row>
    <row r="138" spans="1:11" ht="12.5" customHeight="1" x14ac:dyDescent="0.25">
      <c r="A138" s="5" t="s">
        <v>520</v>
      </c>
      <c r="B138" s="6" t="s">
        <v>12</v>
      </c>
      <c r="C138" s="6" t="s">
        <v>483</v>
      </c>
      <c r="D138" s="6" t="s">
        <v>483</v>
      </c>
      <c r="E138" s="6" t="s">
        <v>521</v>
      </c>
      <c r="F138" s="6" t="s">
        <v>522</v>
      </c>
      <c r="G138" s="9" t="s">
        <v>523</v>
      </c>
      <c r="H138" s="9" t="s">
        <v>18</v>
      </c>
      <c r="I138" s="16" t="str">
        <f>VLOOKUP(F138,[1]完整分类结果!$E:$G,3,0)</f>
        <v>农、林、牧、渔及水利业</v>
      </c>
      <c r="J138" s="16">
        <f>VLOOKUP(I138,[2]行业排放因子!$A:$B,2,0)</f>
        <v>90.746322689478703</v>
      </c>
      <c r="K138" s="9" t="s">
        <v>19</v>
      </c>
    </row>
    <row r="139" spans="1:11" ht="12.5" customHeight="1" x14ac:dyDescent="0.25">
      <c r="A139" s="5" t="s">
        <v>524</v>
      </c>
      <c r="B139" s="6" t="s">
        <v>12</v>
      </c>
      <c r="C139" s="6" t="s">
        <v>483</v>
      </c>
      <c r="D139" s="6" t="s">
        <v>483</v>
      </c>
      <c r="E139" s="6" t="s">
        <v>525</v>
      </c>
      <c r="F139" s="6" t="s">
        <v>526</v>
      </c>
      <c r="G139" s="9" t="s">
        <v>527</v>
      </c>
      <c r="H139" s="9" t="s">
        <v>18</v>
      </c>
      <c r="I139" s="16" t="str">
        <f>VLOOKUP(F139,[1]完整分类结果!$E:$G,3,0)</f>
        <v>农、林、牧、渔及水利业</v>
      </c>
      <c r="J139" s="16">
        <f>VLOOKUP(I139,[2]行业排放因子!$A:$B,2,0)</f>
        <v>90.746322689478703</v>
      </c>
      <c r="K139" s="9" t="s">
        <v>19</v>
      </c>
    </row>
    <row r="140" spans="1:11" ht="12.5" customHeight="1" x14ac:dyDescent="0.25">
      <c r="A140" s="5" t="s">
        <v>528</v>
      </c>
      <c r="B140" s="6" t="s">
        <v>12</v>
      </c>
      <c r="C140" s="6" t="s">
        <v>483</v>
      </c>
      <c r="D140" s="6" t="s">
        <v>483</v>
      </c>
      <c r="E140" s="6" t="s">
        <v>529</v>
      </c>
      <c r="F140" s="6" t="s">
        <v>530</v>
      </c>
      <c r="G140" s="9" t="s">
        <v>531</v>
      </c>
      <c r="H140" s="9" t="s">
        <v>18</v>
      </c>
      <c r="I140" s="16" t="str">
        <f>VLOOKUP(F140,[1]完整分类结果!$E:$G,3,0)</f>
        <v>农、林、牧、渔及水利业</v>
      </c>
      <c r="J140" s="16">
        <f>VLOOKUP(I140,[2]行业排放因子!$A:$B,2,0)</f>
        <v>90.746322689478703</v>
      </c>
      <c r="K140" s="9" t="s">
        <v>19</v>
      </c>
    </row>
    <row r="141" spans="1:11" ht="12.5" customHeight="1" x14ac:dyDescent="0.25">
      <c r="A141" s="5" t="s">
        <v>532</v>
      </c>
      <c r="B141" s="6" t="s">
        <v>12</v>
      </c>
      <c r="C141" s="6" t="s">
        <v>483</v>
      </c>
      <c r="D141" s="6" t="s">
        <v>483</v>
      </c>
      <c r="E141" s="6" t="s">
        <v>533</v>
      </c>
      <c r="F141" s="6" t="s">
        <v>534</v>
      </c>
      <c r="G141" s="9" t="s">
        <v>535</v>
      </c>
      <c r="H141" s="9" t="s">
        <v>18</v>
      </c>
      <c r="I141" s="16" t="str">
        <f>VLOOKUP(F141,[1]完整分类结果!$E:$G,3,0)</f>
        <v>农、林、牧、渔及水利业</v>
      </c>
      <c r="J141" s="16">
        <f>VLOOKUP(I141,[2]行业排放因子!$A:$B,2,0)</f>
        <v>90.746322689478703</v>
      </c>
      <c r="K141" s="9" t="s">
        <v>19</v>
      </c>
    </row>
    <row r="142" spans="1:11" ht="12.5" customHeight="1" x14ac:dyDescent="0.25">
      <c r="A142" s="5" t="s">
        <v>536</v>
      </c>
      <c r="B142" s="6" t="s">
        <v>12</v>
      </c>
      <c r="C142" s="6" t="s">
        <v>483</v>
      </c>
      <c r="D142" s="6" t="s">
        <v>483</v>
      </c>
      <c r="E142" s="6" t="s">
        <v>537</v>
      </c>
      <c r="F142" s="6" t="s">
        <v>538</v>
      </c>
      <c r="G142" s="9" t="s">
        <v>539</v>
      </c>
      <c r="H142" s="9" t="s">
        <v>18</v>
      </c>
      <c r="I142" s="16" t="str">
        <f>VLOOKUP(F142,[1]完整分类结果!$E:$G,3,0)</f>
        <v>农、林、牧、渔及水利业</v>
      </c>
      <c r="J142" s="16">
        <f>VLOOKUP(I142,[2]行业排放因子!$A:$B,2,0)</f>
        <v>90.746322689478703</v>
      </c>
      <c r="K142" s="9" t="s">
        <v>19</v>
      </c>
    </row>
    <row r="143" spans="1:11" ht="12.5" customHeight="1" x14ac:dyDescent="0.25">
      <c r="A143" s="5" t="s">
        <v>540</v>
      </c>
      <c r="B143" s="6" t="s">
        <v>12</v>
      </c>
      <c r="C143" s="6" t="s">
        <v>483</v>
      </c>
      <c r="D143" s="6" t="s">
        <v>483</v>
      </c>
      <c r="E143" s="6" t="s">
        <v>541</v>
      </c>
      <c r="F143" s="6" t="s">
        <v>542</v>
      </c>
      <c r="G143" s="9" t="s">
        <v>543</v>
      </c>
      <c r="H143" s="9" t="s">
        <v>18</v>
      </c>
      <c r="I143" s="16" t="str">
        <f>VLOOKUP(F143,[1]完整分类结果!$E:$G,3,0)</f>
        <v>农、林、牧、渔及水利业</v>
      </c>
      <c r="J143" s="16">
        <f>VLOOKUP(I143,[2]行业排放因子!$A:$B,2,0)</f>
        <v>90.746322689478703</v>
      </c>
      <c r="K143" s="9" t="s">
        <v>19</v>
      </c>
    </row>
    <row r="144" spans="1:11" ht="12.5" customHeight="1" x14ac:dyDescent="0.25">
      <c r="A144" s="5" t="s">
        <v>544</v>
      </c>
      <c r="B144" s="6" t="s">
        <v>12</v>
      </c>
      <c r="C144" s="6" t="s">
        <v>483</v>
      </c>
      <c r="D144" s="6" t="s">
        <v>483</v>
      </c>
      <c r="E144" s="6" t="s">
        <v>545</v>
      </c>
      <c r="F144" s="6" t="s">
        <v>546</v>
      </c>
      <c r="G144" s="9" t="s">
        <v>547</v>
      </c>
      <c r="H144" s="9" t="s">
        <v>18</v>
      </c>
      <c r="I144" s="16" t="str">
        <f>VLOOKUP(F144,[1]完整分类结果!$E:$G,3,0)</f>
        <v>农、林、牧、渔及水利业</v>
      </c>
      <c r="J144" s="16">
        <f>VLOOKUP(I144,[2]行业排放因子!$A:$B,2,0)</f>
        <v>90.746322689478703</v>
      </c>
      <c r="K144" s="9" t="s">
        <v>19</v>
      </c>
    </row>
    <row r="145" spans="1:11" ht="12.5" customHeight="1" x14ac:dyDescent="0.25">
      <c r="A145" s="5" t="s">
        <v>548</v>
      </c>
      <c r="B145" s="6" t="s">
        <v>12</v>
      </c>
      <c r="C145" s="6" t="s">
        <v>549</v>
      </c>
      <c r="D145" s="6" t="s">
        <v>550</v>
      </c>
      <c r="E145" s="6" t="s">
        <v>551</v>
      </c>
      <c r="F145" s="6" t="s">
        <v>552</v>
      </c>
      <c r="G145" s="9" t="s">
        <v>553</v>
      </c>
      <c r="H145" s="9" t="s">
        <v>18</v>
      </c>
      <c r="I145" s="16" t="str">
        <f>VLOOKUP(F145,[1]完整分类结果!$E:$G,3,0)</f>
        <v>农、林、牧、渔及水利业</v>
      </c>
      <c r="J145" s="16">
        <f>VLOOKUP(I145,[2]行业排放因子!$A:$B,2,0)</f>
        <v>90.746322689478703</v>
      </c>
      <c r="K145" s="9" t="s">
        <v>19</v>
      </c>
    </row>
    <row r="146" spans="1:11" ht="12.5" customHeight="1" x14ac:dyDescent="0.25">
      <c r="A146" s="5" t="s">
        <v>554</v>
      </c>
      <c r="B146" s="6" t="s">
        <v>12</v>
      </c>
      <c r="C146" s="6" t="s">
        <v>549</v>
      </c>
      <c r="D146" s="6" t="s">
        <v>550</v>
      </c>
      <c r="E146" s="6" t="s">
        <v>555</v>
      </c>
      <c r="F146" s="6" t="s">
        <v>556</v>
      </c>
      <c r="G146" s="9" t="s">
        <v>557</v>
      </c>
      <c r="H146" s="9" t="s">
        <v>18</v>
      </c>
      <c r="I146" s="16" t="str">
        <f>VLOOKUP(F146,[1]完整分类结果!$E:$G,3,0)</f>
        <v>农、林、牧、渔及水利业</v>
      </c>
      <c r="J146" s="16">
        <f>VLOOKUP(I146,[2]行业排放因子!$A:$B,2,0)</f>
        <v>90.746322689478703</v>
      </c>
      <c r="K146" s="9" t="s">
        <v>19</v>
      </c>
    </row>
    <row r="147" spans="1:11" ht="12.5" customHeight="1" x14ac:dyDescent="0.25">
      <c r="A147" s="5" t="s">
        <v>558</v>
      </c>
      <c r="B147" s="6" t="s">
        <v>12</v>
      </c>
      <c r="C147" s="6" t="s">
        <v>549</v>
      </c>
      <c r="D147" s="6" t="s">
        <v>550</v>
      </c>
      <c r="E147" s="6" t="s">
        <v>559</v>
      </c>
      <c r="F147" s="6" t="s">
        <v>560</v>
      </c>
      <c r="G147" s="9" t="s">
        <v>561</v>
      </c>
      <c r="H147" s="9" t="s">
        <v>18</v>
      </c>
      <c r="I147" s="16" t="str">
        <f>VLOOKUP(F147,[1]完整分类结果!$E:$G,3,0)</f>
        <v>农、林、牧、渔及水利业</v>
      </c>
      <c r="J147" s="16">
        <f>VLOOKUP(I147,[2]行业排放因子!$A:$B,2,0)</f>
        <v>90.746322689478703</v>
      </c>
      <c r="K147" s="9" t="s">
        <v>19</v>
      </c>
    </row>
    <row r="148" spans="1:11" ht="12.5" customHeight="1" x14ac:dyDescent="0.25">
      <c r="A148" s="5" t="s">
        <v>562</v>
      </c>
      <c r="B148" s="6" t="s">
        <v>12</v>
      </c>
      <c r="C148" s="6" t="s">
        <v>549</v>
      </c>
      <c r="D148" s="6" t="s">
        <v>550</v>
      </c>
      <c r="E148" s="6" t="s">
        <v>563</v>
      </c>
      <c r="F148" s="6" t="s">
        <v>564</v>
      </c>
      <c r="G148" s="9" t="s">
        <v>565</v>
      </c>
      <c r="H148" s="9" t="s">
        <v>18</v>
      </c>
      <c r="I148" s="16" t="str">
        <f>VLOOKUP(F148,[1]完整分类结果!$E:$G,3,0)</f>
        <v>农、林、牧、渔及水利业</v>
      </c>
      <c r="J148" s="16">
        <f>VLOOKUP(I148,[2]行业排放因子!$A:$B,2,0)</f>
        <v>90.746322689478703</v>
      </c>
      <c r="K148" s="9" t="s">
        <v>19</v>
      </c>
    </row>
    <row r="149" spans="1:11" ht="12.5" customHeight="1" x14ac:dyDescent="0.25">
      <c r="A149" s="5" t="s">
        <v>566</v>
      </c>
      <c r="B149" s="6" t="s">
        <v>12</v>
      </c>
      <c r="C149" s="6" t="s">
        <v>549</v>
      </c>
      <c r="D149" s="6" t="s">
        <v>550</v>
      </c>
      <c r="E149" s="6" t="s">
        <v>567</v>
      </c>
      <c r="F149" s="6" t="s">
        <v>568</v>
      </c>
      <c r="G149" s="9"/>
      <c r="H149" s="9" t="s">
        <v>18</v>
      </c>
      <c r="I149" s="16" t="str">
        <f>VLOOKUP(F149,[1]完整分类结果!$E:$G,3,0)</f>
        <v>农、林、牧、渔及水利业</v>
      </c>
      <c r="J149" s="16">
        <f>VLOOKUP(I149,[2]行业排放因子!$A:$B,2,0)</f>
        <v>90.746322689478703</v>
      </c>
      <c r="K149" s="9" t="s">
        <v>19</v>
      </c>
    </row>
    <row r="150" spans="1:11" ht="12.5" customHeight="1" x14ac:dyDescent="0.25">
      <c r="A150" s="5" t="s">
        <v>569</v>
      </c>
      <c r="B150" s="6" t="s">
        <v>12</v>
      </c>
      <c r="C150" s="6" t="s">
        <v>549</v>
      </c>
      <c r="D150" s="6" t="s">
        <v>550</v>
      </c>
      <c r="E150" s="6" t="s">
        <v>570</v>
      </c>
      <c r="F150" s="6" t="s">
        <v>571</v>
      </c>
      <c r="G150" s="9" t="s">
        <v>572</v>
      </c>
      <c r="H150" s="9" t="s">
        <v>18</v>
      </c>
      <c r="I150" s="16" t="str">
        <f>VLOOKUP(F150,[1]完整分类结果!$E:$G,3,0)</f>
        <v>农、林、牧、渔及水利业</v>
      </c>
      <c r="J150" s="16">
        <f>VLOOKUP(I150,[2]行业排放因子!$A:$B,2,0)</f>
        <v>90.746322689478703</v>
      </c>
      <c r="K150" s="9" t="s">
        <v>19</v>
      </c>
    </row>
    <row r="151" spans="1:11" ht="12.5" customHeight="1" x14ac:dyDescent="0.25">
      <c r="A151" s="5" t="s">
        <v>573</v>
      </c>
      <c r="B151" s="6" t="s">
        <v>12</v>
      </c>
      <c r="C151" s="6" t="s">
        <v>549</v>
      </c>
      <c r="D151" s="6" t="s">
        <v>550</v>
      </c>
      <c r="E151" s="6" t="s">
        <v>574</v>
      </c>
      <c r="F151" s="6" t="s">
        <v>575</v>
      </c>
      <c r="G151" s="9"/>
      <c r="H151" s="9" t="s">
        <v>18</v>
      </c>
      <c r="I151" s="16" t="str">
        <f>VLOOKUP(F151,[1]完整分类结果!$E:$G,3,0)</f>
        <v>农、林、牧、渔及水利业</v>
      </c>
      <c r="J151" s="16">
        <f>VLOOKUP(I151,[2]行业排放因子!$A:$B,2,0)</f>
        <v>90.746322689478703</v>
      </c>
      <c r="K151" s="9" t="s">
        <v>19</v>
      </c>
    </row>
    <row r="152" spans="1:11" ht="12.5" customHeight="1" x14ac:dyDescent="0.25">
      <c r="A152" s="5" t="s">
        <v>576</v>
      </c>
      <c r="B152" s="6" t="s">
        <v>12</v>
      </c>
      <c r="C152" s="6" t="s">
        <v>549</v>
      </c>
      <c r="D152" s="6" t="s">
        <v>550</v>
      </c>
      <c r="E152" s="6" t="s">
        <v>577</v>
      </c>
      <c r="F152" s="6" t="s">
        <v>578</v>
      </c>
      <c r="G152" s="9"/>
      <c r="H152" s="9" t="s">
        <v>18</v>
      </c>
      <c r="I152" s="16" t="str">
        <f>VLOOKUP(F152,[1]完整分类结果!$E:$G,3,0)</f>
        <v>农、林、牧、渔及水利业</v>
      </c>
      <c r="J152" s="16">
        <f>VLOOKUP(I152,[2]行业排放因子!$A:$B,2,0)</f>
        <v>90.746322689478703</v>
      </c>
      <c r="K152" s="9" t="s">
        <v>19</v>
      </c>
    </row>
    <row r="153" spans="1:11" ht="12.5" customHeight="1" x14ac:dyDescent="0.25">
      <c r="A153" s="5" t="s">
        <v>579</v>
      </c>
      <c r="B153" s="6" t="s">
        <v>12</v>
      </c>
      <c r="C153" s="6" t="s">
        <v>549</v>
      </c>
      <c r="D153" s="6" t="s">
        <v>580</v>
      </c>
      <c r="E153" s="6" t="s">
        <v>581</v>
      </c>
      <c r="F153" s="6" t="s">
        <v>582</v>
      </c>
      <c r="G153" s="9" t="s">
        <v>583</v>
      </c>
      <c r="H153" s="9" t="s">
        <v>18</v>
      </c>
      <c r="I153" s="16" t="str">
        <f>VLOOKUP(F153,[1]完整分类结果!$E:$G,3,0)</f>
        <v>农、林、牧、渔及水利业</v>
      </c>
      <c r="J153" s="16">
        <f>VLOOKUP(I153,[2]行业排放因子!$A:$B,2,0)</f>
        <v>90.746322689478703</v>
      </c>
      <c r="K153" s="9" t="s">
        <v>19</v>
      </c>
    </row>
    <row r="154" spans="1:11" ht="12.5" customHeight="1" x14ac:dyDescent="0.25">
      <c r="A154" s="5" t="s">
        <v>584</v>
      </c>
      <c r="B154" s="6" t="s">
        <v>12</v>
      </c>
      <c r="C154" s="6" t="s">
        <v>549</v>
      </c>
      <c r="D154" s="6" t="s">
        <v>580</v>
      </c>
      <c r="E154" s="6" t="s">
        <v>585</v>
      </c>
      <c r="F154" s="6" t="s">
        <v>586</v>
      </c>
      <c r="G154" s="9" t="s">
        <v>587</v>
      </c>
      <c r="H154" s="9" t="s">
        <v>18</v>
      </c>
      <c r="I154" s="16" t="str">
        <f>VLOOKUP(F154,[1]完整分类结果!$E:$G,3,0)</f>
        <v>农、林、牧、渔及水利业</v>
      </c>
      <c r="J154" s="16">
        <f>VLOOKUP(I154,[2]行业排放因子!$A:$B,2,0)</f>
        <v>90.746322689478703</v>
      </c>
      <c r="K154" s="9" t="s">
        <v>19</v>
      </c>
    </row>
    <row r="155" spans="1:11" ht="12.5" customHeight="1" x14ac:dyDescent="0.25">
      <c r="A155" s="5" t="s">
        <v>588</v>
      </c>
      <c r="B155" s="6" t="s">
        <v>12</v>
      </c>
      <c r="C155" s="6" t="s">
        <v>549</v>
      </c>
      <c r="D155" s="6" t="s">
        <v>580</v>
      </c>
      <c r="E155" s="6" t="s">
        <v>589</v>
      </c>
      <c r="F155" s="6" t="s">
        <v>590</v>
      </c>
      <c r="G155" s="9" t="s">
        <v>591</v>
      </c>
      <c r="H155" s="9" t="s">
        <v>18</v>
      </c>
      <c r="I155" s="16" t="str">
        <f>VLOOKUP(F155,[1]完整分类结果!$E:$G,3,0)</f>
        <v>农、林、牧、渔及水利业</v>
      </c>
      <c r="J155" s="16">
        <f>VLOOKUP(I155,[2]行业排放因子!$A:$B,2,0)</f>
        <v>90.746322689478703</v>
      </c>
      <c r="K155" s="9" t="s">
        <v>19</v>
      </c>
    </row>
    <row r="156" spans="1:11" ht="12.5" customHeight="1" x14ac:dyDescent="0.25">
      <c r="A156" s="5" t="s">
        <v>592</v>
      </c>
      <c r="B156" s="6" t="s">
        <v>12</v>
      </c>
      <c r="C156" s="6" t="s">
        <v>549</v>
      </c>
      <c r="D156" s="6" t="s">
        <v>580</v>
      </c>
      <c r="E156" s="6" t="s">
        <v>593</v>
      </c>
      <c r="F156" s="6" t="s">
        <v>594</v>
      </c>
      <c r="G156" s="9" t="s">
        <v>595</v>
      </c>
      <c r="H156" s="9" t="s">
        <v>18</v>
      </c>
      <c r="I156" s="16" t="str">
        <f>VLOOKUP(F156,[1]完整分类结果!$E:$G,3,0)</f>
        <v>农、林、牧、渔及水利业</v>
      </c>
      <c r="J156" s="16">
        <f>VLOOKUP(I156,[2]行业排放因子!$A:$B,2,0)</f>
        <v>90.746322689478703</v>
      </c>
      <c r="K156" s="9" t="s">
        <v>19</v>
      </c>
    </row>
    <row r="157" spans="1:11" ht="12.5" customHeight="1" x14ac:dyDescent="0.25">
      <c r="A157" s="5" t="s">
        <v>596</v>
      </c>
      <c r="B157" s="6" t="s">
        <v>12</v>
      </c>
      <c r="C157" s="6" t="s">
        <v>549</v>
      </c>
      <c r="D157" s="6" t="s">
        <v>597</v>
      </c>
      <c r="E157" s="6" t="s">
        <v>598</v>
      </c>
      <c r="F157" s="6" t="s">
        <v>599</v>
      </c>
      <c r="G157" s="9" t="s">
        <v>600</v>
      </c>
      <c r="H157" s="9" t="s">
        <v>18</v>
      </c>
      <c r="I157" s="16" t="str">
        <f>VLOOKUP(F157,[1]完整分类结果!$E:$G,3,0)</f>
        <v>农、林、牧、渔及水利业</v>
      </c>
      <c r="J157" s="16">
        <f>VLOOKUP(I157,[2]行业排放因子!$A:$B,2,0)</f>
        <v>90.746322689478703</v>
      </c>
      <c r="K157" s="9" t="s">
        <v>19</v>
      </c>
    </row>
    <row r="158" spans="1:11" ht="12.5" customHeight="1" x14ac:dyDescent="0.25">
      <c r="A158" s="5" t="s">
        <v>601</v>
      </c>
      <c r="B158" s="6" t="s">
        <v>12</v>
      </c>
      <c r="C158" s="6" t="s">
        <v>549</v>
      </c>
      <c r="D158" s="6" t="s">
        <v>597</v>
      </c>
      <c r="E158" s="6" t="s">
        <v>602</v>
      </c>
      <c r="F158" s="6" t="s">
        <v>603</v>
      </c>
      <c r="G158" s="9"/>
      <c r="H158" s="9" t="s">
        <v>18</v>
      </c>
      <c r="I158" s="16" t="str">
        <f>VLOOKUP(F158,[1]完整分类结果!$E:$G,3,0)</f>
        <v>农、林、牧、渔及水利业</v>
      </c>
      <c r="J158" s="16">
        <f>VLOOKUP(I158,[2]行业排放因子!$A:$B,2,0)</f>
        <v>90.746322689478703</v>
      </c>
      <c r="K158" s="9" t="s">
        <v>19</v>
      </c>
    </row>
    <row r="159" spans="1:11" ht="12.5" customHeight="1" x14ac:dyDescent="0.25">
      <c r="A159" s="5" t="s">
        <v>604</v>
      </c>
      <c r="B159" s="6" t="s">
        <v>12</v>
      </c>
      <c r="C159" s="6" t="s">
        <v>549</v>
      </c>
      <c r="D159" s="6" t="s">
        <v>597</v>
      </c>
      <c r="E159" s="6" t="s">
        <v>605</v>
      </c>
      <c r="F159" s="6" t="s">
        <v>606</v>
      </c>
      <c r="G159" s="9"/>
      <c r="H159" s="9" t="s">
        <v>18</v>
      </c>
      <c r="I159" s="16" t="str">
        <f>VLOOKUP(F159,[1]完整分类结果!$E:$G,3,0)</f>
        <v>农、林、牧、渔及水利业</v>
      </c>
      <c r="J159" s="16">
        <f>VLOOKUP(I159,[2]行业排放因子!$A:$B,2,0)</f>
        <v>90.746322689478703</v>
      </c>
      <c r="K159" s="9" t="s">
        <v>19</v>
      </c>
    </row>
    <row r="160" spans="1:11" ht="12.5" customHeight="1" x14ac:dyDescent="0.25">
      <c r="A160" s="5" t="s">
        <v>607</v>
      </c>
      <c r="B160" s="6" t="s">
        <v>12</v>
      </c>
      <c r="C160" s="6" t="s">
        <v>549</v>
      </c>
      <c r="D160" s="6" t="s">
        <v>597</v>
      </c>
      <c r="E160" s="6" t="s">
        <v>608</v>
      </c>
      <c r="F160" s="6" t="s">
        <v>609</v>
      </c>
      <c r="G160" s="9"/>
      <c r="H160" s="9" t="s">
        <v>18</v>
      </c>
      <c r="I160" s="16" t="str">
        <f>VLOOKUP(F160,[1]完整分类结果!$E:$G,3,0)</f>
        <v>农、林、牧、渔及水利业</v>
      </c>
      <c r="J160" s="16">
        <f>VLOOKUP(I160,[2]行业排放因子!$A:$B,2,0)</f>
        <v>90.746322689478703</v>
      </c>
      <c r="K160" s="9" t="s">
        <v>19</v>
      </c>
    </row>
    <row r="161" spans="1:11" ht="12.5" customHeight="1" x14ac:dyDescent="0.25">
      <c r="A161" s="5" t="s">
        <v>610</v>
      </c>
      <c r="B161" s="6" t="s">
        <v>12</v>
      </c>
      <c r="C161" s="6" t="s">
        <v>549</v>
      </c>
      <c r="D161" s="6" t="s">
        <v>597</v>
      </c>
      <c r="E161" s="6" t="s">
        <v>611</v>
      </c>
      <c r="F161" s="6" t="s">
        <v>612</v>
      </c>
      <c r="G161" s="9" t="s">
        <v>613</v>
      </c>
      <c r="H161" s="9" t="s">
        <v>18</v>
      </c>
      <c r="I161" s="16" t="str">
        <f>VLOOKUP(F161,[1]完整分类结果!$E:$G,3,0)</f>
        <v>农、林、牧、渔及水利业</v>
      </c>
      <c r="J161" s="16">
        <f>VLOOKUP(I161,[2]行业排放因子!$A:$B,2,0)</f>
        <v>90.746322689478703</v>
      </c>
      <c r="K161" s="9" t="s">
        <v>19</v>
      </c>
    </row>
    <row r="162" spans="1:11" ht="12.5" customHeight="1" x14ac:dyDescent="0.25">
      <c r="A162" s="5" t="s">
        <v>614</v>
      </c>
      <c r="B162" s="6" t="s">
        <v>12</v>
      </c>
      <c r="C162" s="6" t="s">
        <v>549</v>
      </c>
      <c r="D162" s="6" t="s">
        <v>597</v>
      </c>
      <c r="E162" s="6" t="s">
        <v>615</v>
      </c>
      <c r="F162" s="6" t="s">
        <v>616</v>
      </c>
      <c r="G162" s="9"/>
      <c r="H162" s="9" t="s">
        <v>18</v>
      </c>
      <c r="I162" s="16" t="str">
        <f>VLOOKUP(F162,[1]完整分类结果!$E:$G,3,0)</f>
        <v>农、林、牧、渔及水利业</v>
      </c>
      <c r="J162" s="16">
        <f>VLOOKUP(I162,[2]行业排放因子!$A:$B,2,0)</f>
        <v>90.746322689478703</v>
      </c>
      <c r="K162" s="9" t="s">
        <v>19</v>
      </c>
    </row>
    <row r="163" spans="1:11" ht="12.5" customHeight="1" x14ac:dyDescent="0.25">
      <c r="A163" s="5" t="s">
        <v>617</v>
      </c>
      <c r="B163" s="6" t="s">
        <v>12</v>
      </c>
      <c r="C163" s="6" t="s">
        <v>549</v>
      </c>
      <c r="D163" s="6" t="s">
        <v>597</v>
      </c>
      <c r="E163" s="6" t="s">
        <v>618</v>
      </c>
      <c r="F163" s="6" t="s">
        <v>619</v>
      </c>
      <c r="G163" s="9"/>
      <c r="H163" s="9" t="s">
        <v>18</v>
      </c>
      <c r="I163" s="16" t="str">
        <f>VLOOKUP(F163,[1]完整分类结果!$E:$G,3,0)</f>
        <v>农、林、牧、渔及水利业</v>
      </c>
      <c r="J163" s="16">
        <f>VLOOKUP(I163,[2]行业排放因子!$A:$B,2,0)</f>
        <v>90.746322689478703</v>
      </c>
      <c r="K163" s="9" t="s">
        <v>19</v>
      </c>
    </row>
    <row r="164" spans="1:11" ht="12.5" customHeight="1" x14ac:dyDescent="0.25">
      <c r="A164" s="5" t="s">
        <v>620</v>
      </c>
      <c r="B164" s="6" t="s">
        <v>12</v>
      </c>
      <c r="C164" s="6" t="s">
        <v>549</v>
      </c>
      <c r="D164" s="6" t="s">
        <v>597</v>
      </c>
      <c r="E164" s="6" t="s">
        <v>621</v>
      </c>
      <c r="F164" s="6" t="s">
        <v>622</v>
      </c>
      <c r="G164" s="9" t="s">
        <v>623</v>
      </c>
      <c r="H164" s="9" t="s">
        <v>18</v>
      </c>
      <c r="I164" s="16" t="str">
        <f>VLOOKUP(F164,[1]完整分类结果!$E:$G,3,0)</f>
        <v>农、林、牧、渔及水利业</v>
      </c>
      <c r="J164" s="16">
        <f>VLOOKUP(I164,[2]行业排放因子!$A:$B,2,0)</f>
        <v>90.746322689478703</v>
      </c>
      <c r="K164" s="9" t="s">
        <v>19</v>
      </c>
    </row>
    <row r="165" spans="1:11" ht="12.5" customHeight="1" x14ac:dyDescent="0.25">
      <c r="A165" s="5" t="s">
        <v>624</v>
      </c>
      <c r="B165" s="6" t="s">
        <v>12</v>
      </c>
      <c r="C165" s="6" t="s">
        <v>549</v>
      </c>
      <c r="D165" s="6" t="s">
        <v>597</v>
      </c>
      <c r="E165" s="6" t="s">
        <v>625</v>
      </c>
      <c r="F165" s="6" t="s">
        <v>626</v>
      </c>
      <c r="G165" s="9" t="s">
        <v>627</v>
      </c>
      <c r="H165" s="9" t="s">
        <v>18</v>
      </c>
      <c r="I165" s="16" t="str">
        <f>VLOOKUP(F165,[1]完整分类结果!$E:$G,3,0)</f>
        <v>农、林、牧、渔及水利业</v>
      </c>
      <c r="J165" s="16">
        <f>VLOOKUP(I165,[2]行业排放因子!$A:$B,2,0)</f>
        <v>90.746322689478703</v>
      </c>
      <c r="K165" s="9" t="s">
        <v>19</v>
      </c>
    </row>
    <row r="166" spans="1:11" ht="12.5" customHeight="1" x14ac:dyDescent="0.25">
      <c r="A166" s="5" t="s">
        <v>628</v>
      </c>
      <c r="B166" s="6" t="s">
        <v>12</v>
      </c>
      <c r="C166" s="6" t="s">
        <v>549</v>
      </c>
      <c r="D166" s="6" t="s">
        <v>597</v>
      </c>
      <c r="E166" s="6" t="s">
        <v>629</v>
      </c>
      <c r="F166" s="6" t="s">
        <v>630</v>
      </c>
      <c r="G166" s="9"/>
      <c r="H166" s="9" t="s">
        <v>18</v>
      </c>
      <c r="I166" s="16" t="str">
        <f>VLOOKUP(F166,[1]完整分类结果!$E:$G,3,0)</f>
        <v>农、林、牧、渔及水利业</v>
      </c>
      <c r="J166" s="16">
        <f>VLOOKUP(I166,[2]行业排放因子!$A:$B,2,0)</f>
        <v>90.746322689478703</v>
      </c>
      <c r="K166" s="9" t="s">
        <v>19</v>
      </c>
    </row>
    <row r="167" spans="1:11" ht="12.5" customHeight="1" x14ac:dyDescent="0.25">
      <c r="A167" s="5" t="s">
        <v>631</v>
      </c>
      <c r="B167" s="6" t="s">
        <v>12</v>
      </c>
      <c r="C167" s="6" t="s">
        <v>549</v>
      </c>
      <c r="D167" s="6" t="s">
        <v>597</v>
      </c>
      <c r="E167" s="6" t="s">
        <v>632</v>
      </c>
      <c r="F167" s="6" t="s">
        <v>633</v>
      </c>
      <c r="G167" s="9" t="s">
        <v>634</v>
      </c>
      <c r="H167" s="9" t="s">
        <v>18</v>
      </c>
      <c r="I167" s="16" t="str">
        <f>VLOOKUP(F167,[1]完整分类结果!$E:$G,3,0)</f>
        <v>农、林、牧、渔及水利业</v>
      </c>
      <c r="J167" s="16">
        <f>VLOOKUP(I167,[2]行业排放因子!$A:$B,2,0)</f>
        <v>90.746322689478703</v>
      </c>
      <c r="K167" s="9" t="s">
        <v>19</v>
      </c>
    </row>
    <row r="168" spans="1:11" ht="12.5" customHeight="1" x14ac:dyDescent="0.25">
      <c r="A168" s="5" t="s">
        <v>635</v>
      </c>
      <c r="B168" s="6" t="s">
        <v>12</v>
      </c>
      <c r="C168" s="6" t="s">
        <v>549</v>
      </c>
      <c r="D168" s="6" t="s">
        <v>597</v>
      </c>
      <c r="E168" s="6" t="s">
        <v>636</v>
      </c>
      <c r="F168" s="6" t="s">
        <v>637</v>
      </c>
      <c r="G168" s="9" t="s">
        <v>638</v>
      </c>
      <c r="H168" s="9" t="s">
        <v>18</v>
      </c>
      <c r="I168" s="16" t="str">
        <f>VLOOKUP(F168,[1]完整分类结果!$E:$G,3,0)</f>
        <v>农、林、牧、渔及水利业</v>
      </c>
      <c r="J168" s="16">
        <f>VLOOKUP(I168,[2]行业排放因子!$A:$B,2,0)</f>
        <v>90.746322689478703</v>
      </c>
      <c r="K168" s="9" t="s">
        <v>19</v>
      </c>
    </row>
    <row r="169" spans="1:11" ht="12.5" customHeight="1" x14ac:dyDescent="0.25">
      <c r="A169" s="5" t="s">
        <v>639</v>
      </c>
      <c r="B169" s="6" t="s">
        <v>12</v>
      </c>
      <c r="C169" s="6" t="s">
        <v>549</v>
      </c>
      <c r="D169" s="6" t="s">
        <v>597</v>
      </c>
      <c r="E169" s="6" t="s">
        <v>640</v>
      </c>
      <c r="F169" s="6" t="s">
        <v>641</v>
      </c>
      <c r="G169" s="9" t="s">
        <v>642</v>
      </c>
      <c r="H169" s="9" t="s">
        <v>18</v>
      </c>
      <c r="I169" s="16" t="str">
        <f>VLOOKUP(F169,[1]完整分类结果!$E:$G,3,0)</f>
        <v>农、林、牧、渔及水利业</v>
      </c>
      <c r="J169" s="16">
        <f>VLOOKUP(I169,[2]行业排放因子!$A:$B,2,0)</f>
        <v>90.746322689478703</v>
      </c>
      <c r="K169" s="9" t="s">
        <v>19</v>
      </c>
    </row>
    <row r="170" spans="1:11" ht="12.5" customHeight="1" x14ac:dyDescent="0.25">
      <c r="A170" s="5" t="s">
        <v>643</v>
      </c>
      <c r="B170" s="6" t="s">
        <v>12</v>
      </c>
      <c r="C170" s="6" t="s">
        <v>549</v>
      </c>
      <c r="D170" s="6" t="s">
        <v>597</v>
      </c>
      <c r="E170" s="6" t="s">
        <v>644</v>
      </c>
      <c r="F170" s="6" t="s">
        <v>645</v>
      </c>
      <c r="G170" s="9" t="s">
        <v>646</v>
      </c>
      <c r="H170" s="9" t="s">
        <v>18</v>
      </c>
      <c r="I170" s="16" t="str">
        <f>VLOOKUP(F170,[1]完整分类结果!$E:$G,3,0)</f>
        <v>农、林、牧、渔及水利业</v>
      </c>
      <c r="J170" s="16">
        <f>VLOOKUP(I170,[2]行业排放因子!$A:$B,2,0)</f>
        <v>90.746322689478703</v>
      </c>
      <c r="K170" s="9" t="s">
        <v>19</v>
      </c>
    </row>
    <row r="171" spans="1:11" ht="12.5" customHeight="1" x14ac:dyDescent="0.25">
      <c r="A171" s="5" t="s">
        <v>647</v>
      </c>
      <c r="B171" s="6" t="s">
        <v>12</v>
      </c>
      <c r="C171" s="6" t="s">
        <v>549</v>
      </c>
      <c r="D171" s="6" t="s">
        <v>597</v>
      </c>
      <c r="E171" s="6" t="s">
        <v>648</v>
      </c>
      <c r="F171" s="6" t="s">
        <v>649</v>
      </c>
      <c r="G171" s="9" t="s">
        <v>650</v>
      </c>
      <c r="H171" s="9" t="s">
        <v>18</v>
      </c>
      <c r="I171" s="16" t="str">
        <f>VLOOKUP(F171,[1]完整分类结果!$E:$G,3,0)</f>
        <v>农、林、牧、渔及水利业</v>
      </c>
      <c r="J171" s="16">
        <f>VLOOKUP(I171,[2]行业排放因子!$A:$B,2,0)</f>
        <v>90.746322689478703</v>
      </c>
      <c r="K171" s="9" t="s">
        <v>19</v>
      </c>
    </row>
    <row r="172" spans="1:11" ht="12.5" customHeight="1" x14ac:dyDescent="0.25">
      <c r="A172" s="5" t="s">
        <v>651</v>
      </c>
      <c r="B172" s="6" t="s">
        <v>12</v>
      </c>
      <c r="C172" s="6" t="s">
        <v>549</v>
      </c>
      <c r="D172" s="6" t="s">
        <v>597</v>
      </c>
      <c r="E172" s="6" t="s">
        <v>652</v>
      </c>
      <c r="F172" s="6" t="s">
        <v>653</v>
      </c>
      <c r="G172" s="9" t="s">
        <v>654</v>
      </c>
      <c r="H172" s="9" t="s">
        <v>18</v>
      </c>
      <c r="I172" s="16" t="str">
        <f>VLOOKUP(F172,[1]完整分类结果!$E:$G,3,0)</f>
        <v>农、林、牧、渔及水利业</v>
      </c>
      <c r="J172" s="16">
        <f>VLOOKUP(I172,[2]行业排放因子!$A:$B,2,0)</f>
        <v>90.746322689478703</v>
      </c>
      <c r="K172" s="9" t="s">
        <v>19</v>
      </c>
    </row>
    <row r="173" spans="1:11" ht="12.5" customHeight="1" x14ac:dyDescent="0.25">
      <c r="A173" s="5" t="s">
        <v>655</v>
      </c>
      <c r="B173" s="6" t="s">
        <v>12</v>
      </c>
      <c r="C173" s="6" t="s">
        <v>549</v>
      </c>
      <c r="D173" s="6" t="s">
        <v>597</v>
      </c>
      <c r="E173" s="6" t="s">
        <v>656</v>
      </c>
      <c r="F173" s="6" t="s">
        <v>657</v>
      </c>
      <c r="G173" s="9" t="s">
        <v>658</v>
      </c>
      <c r="H173" s="9" t="s">
        <v>18</v>
      </c>
      <c r="I173" s="16" t="str">
        <f>VLOOKUP(F173,[1]完整分类结果!$E:$G,3,0)</f>
        <v>农、林、牧、渔及水利业</v>
      </c>
      <c r="J173" s="16">
        <f>VLOOKUP(I173,[2]行业排放因子!$A:$B,2,0)</f>
        <v>90.746322689478703</v>
      </c>
      <c r="K173" s="9" t="s">
        <v>19</v>
      </c>
    </row>
    <row r="174" spans="1:11" ht="12.5" customHeight="1" x14ac:dyDescent="0.25">
      <c r="A174" s="5" t="s">
        <v>659</v>
      </c>
      <c r="B174" s="6" t="s">
        <v>12</v>
      </c>
      <c r="C174" s="6" t="s">
        <v>549</v>
      </c>
      <c r="D174" s="6" t="s">
        <v>597</v>
      </c>
      <c r="E174" s="6" t="s">
        <v>660</v>
      </c>
      <c r="F174" s="6" t="s">
        <v>661</v>
      </c>
      <c r="G174" s="9" t="s">
        <v>662</v>
      </c>
      <c r="H174" s="9" t="s">
        <v>18</v>
      </c>
      <c r="I174" s="16" t="str">
        <f>VLOOKUP(F174,[1]完整分类结果!$E:$G,3,0)</f>
        <v>农、林、牧、渔及水利业</v>
      </c>
      <c r="J174" s="16">
        <f>VLOOKUP(I174,[2]行业排放因子!$A:$B,2,0)</f>
        <v>90.746322689478703</v>
      </c>
      <c r="K174" s="9" t="s">
        <v>19</v>
      </c>
    </row>
    <row r="175" spans="1:11" ht="12.5" customHeight="1" x14ac:dyDescent="0.25">
      <c r="A175" s="5" t="s">
        <v>663</v>
      </c>
      <c r="B175" s="6" t="s">
        <v>12</v>
      </c>
      <c r="C175" s="6" t="s">
        <v>549</v>
      </c>
      <c r="D175" s="6" t="s">
        <v>597</v>
      </c>
      <c r="E175" s="6" t="s">
        <v>664</v>
      </c>
      <c r="F175" s="6" t="s">
        <v>665</v>
      </c>
      <c r="G175" s="9"/>
      <c r="H175" s="9" t="s">
        <v>18</v>
      </c>
      <c r="I175" s="16" t="str">
        <f>VLOOKUP(F175,[1]完整分类结果!$E:$G,3,0)</f>
        <v>农、林、牧、渔及水利业</v>
      </c>
      <c r="J175" s="16">
        <f>VLOOKUP(I175,[2]行业排放因子!$A:$B,2,0)</f>
        <v>90.746322689478703</v>
      </c>
      <c r="K175" s="9" t="s">
        <v>19</v>
      </c>
    </row>
    <row r="176" spans="1:11" ht="12.5" customHeight="1" x14ac:dyDescent="0.25">
      <c r="A176" s="5" t="s">
        <v>666</v>
      </c>
      <c r="B176" s="6" t="s">
        <v>12</v>
      </c>
      <c r="C176" s="6" t="s">
        <v>549</v>
      </c>
      <c r="D176" s="6" t="s">
        <v>667</v>
      </c>
      <c r="E176" s="6" t="s">
        <v>668</v>
      </c>
      <c r="F176" s="6" t="s">
        <v>667</v>
      </c>
      <c r="G176" s="9" t="s">
        <v>669</v>
      </c>
      <c r="H176" s="9" t="s">
        <v>18</v>
      </c>
      <c r="I176" s="16" t="str">
        <f>VLOOKUP(F176,[1]完整分类结果!$E:$G,3,0)</f>
        <v>农、林、牧、渔及水利业</v>
      </c>
      <c r="J176" s="16">
        <f>VLOOKUP(I176,[2]行业排放因子!$A:$B,2,0)</f>
        <v>90.746322689478703</v>
      </c>
      <c r="K176" s="9" t="s">
        <v>19</v>
      </c>
    </row>
    <row r="177" spans="1:11" ht="12.5" customHeight="1" x14ac:dyDescent="0.25">
      <c r="A177" s="5" t="s">
        <v>670</v>
      </c>
      <c r="B177" s="6" t="s">
        <v>12</v>
      </c>
      <c r="C177" s="6" t="s">
        <v>549</v>
      </c>
      <c r="D177" s="6" t="s">
        <v>667</v>
      </c>
      <c r="E177" s="6" t="s">
        <v>671</v>
      </c>
      <c r="F177" s="6" t="s">
        <v>672</v>
      </c>
      <c r="G177" s="9" t="s">
        <v>673</v>
      </c>
      <c r="H177" s="9" t="s">
        <v>18</v>
      </c>
      <c r="I177" s="16" t="str">
        <f>VLOOKUP(F177,[1]完整分类结果!$E:$G,3,0)</f>
        <v>农、林、牧、渔及水利业</v>
      </c>
      <c r="J177" s="16">
        <f>VLOOKUP(I177,[2]行业排放因子!$A:$B,2,0)</f>
        <v>90.746322689478703</v>
      </c>
      <c r="K177" s="9" t="s">
        <v>19</v>
      </c>
    </row>
    <row r="178" spans="1:11" ht="12.5" customHeight="1" x14ac:dyDescent="0.25">
      <c r="A178" s="5" t="s">
        <v>674</v>
      </c>
      <c r="B178" s="6" t="s">
        <v>12</v>
      </c>
      <c r="C178" s="6" t="s">
        <v>549</v>
      </c>
      <c r="D178" s="6" t="s">
        <v>667</v>
      </c>
      <c r="E178" s="6" t="s">
        <v>675</v>
      </c>
      <c r="F178" s="6" t="s">
        <v>676</v>
      </c>
      <c r="G178" s="9"/>
      <c r="H178" s="9" t="s">
        <v>18</v>
      </c>
      <c r="I178" s="16" t="str">
        <f>VLOOKUP(F178,[1]完整分类结果!$E:$G,3,0)</f>
        <v>农、林、牧、渔及水利业</v>
      </c>
      <c r="J178" s="16">
        <f>VLOOKUP(I178,[2]行业排放因子!$A:$B,2,0)</f>
        <v>90.746322689478703</v>
      </c>
      <c r="K178" s="9" t="s">
        <v>19</v>
      </c>
    </row>
    <row r="179" spans="1:11" ht="12.5" customHeight="1" x14ac:dyDescent="0.25">
      <c r="A179" s="5" t="s">
        <v>677</v>
      </c>
      <c r="B179" s="6" t="s">
        <v>12</v>
      </c>
      <c r="C179" s="6" t="s">
        <v>549</v>
      </c>
      <c r="D179" s="6" t="s">
        <v>667</v>
      </c>
      <c r="E179" s="6" t="s">
        <v>678</v>
      </c>
      <c r="F179" s="6" t="s">
        <v>679</v>
      </c>
      <c r="G179" s="9" t="s">
        <v>680</v>
      </c>
      <c r="H179" s="9" t="s">
        <v>18</v>
      </c>
      <c r="I179" s="16" t="str">
        <f>VLOOKUP(F179,[1]完整分类结果!$E:$G,3,0)</f>
        <v>农、林、牧、渔及水利业</v>
      </c>
      <c r="J179" s="16">
        <f>VLOOKUP(I179,[2]行业排放因子!$A:$B,2,0)</f>
        <v>90.746322689478703</v>
      </c>
      <c r="K179" s="9" t="s">
        <v>19</v>
      </c>
    </row>
    <row r="180" spans="1:11" ht="12.5" customHeight="1" x14ac:dyDescent="0.25">
      <c r="A180" s="5" t="s">
        <v>681</v>
      </c>
      <c r="B180" s="6" t="s">
        <v>12</v>
      </c>
      <c r="C180" s="6" t="s">
        <v>682</v>
      </c>
      <c r="D180" s="6" t="s">
        <v>683</v>
      </c>
      <c r="E180" s="6" t="s">
        <v>684</v>
      </c>
      <c r="F180" s="6" t="s">
        <v>685</v>
      </c>
      <c r="G180" s="9" t="s">
        <v>686</v>
      </c>
      <c r="H180" s="9" t="s">
        <v>18</v>
      </c>
      <c r="I180" s="16" t="str">
        <f>VLOOKUP(F180,[1]完整分类结果!$E:$G,3,0)</f>
        <v>农、林、牧、渔及水利业</v>
      </c>
      <c r="J180" s="16">
        <f>VLOOKUP(I180,[2]行业排放因子!$A:$B,2,0)</f>
        <v>90.746322689478703</v>
      </c>
      <c r="K180" s="9" t="s">
        <v>19</v>
      </c>
    </row>
    <row r="181" spans="1:11" ht="12.5" customHeight="1" x14ac:dyDescent="0.25">
      <c r="A181" s="5" t="s">
        <v>687</v>
      </c>
      <c r="B181" s="6" t="s">
        <v>12</v>
      </c>
      <c r="C181" s="6" t="s">
        <v>682</v>
      </c>
      <c r="D181" s="6" t="s">
        <v>683</v>
      </c>
      <c r="E181" s="6" t="s">
        <v>688</v>
      </c>
      <c r="F181" s="6" t="s">
        <v>689</v>
      </c>
      <c r="G181" s="9" t="s">
        <v>690</v>
      </c>
      <c r="H181" s="9" t="s">
        <v>18</v>
      </c>
      <c r="I181" s="16" t="str">
        <f>VLOOKUP(F181,[1]完整分类结果!$E:$G,3,0)</f>
        <v>农、林、牧、渔及水利业</v>
      </c>
      <c r="J181" s="16">
        <f>VLOOKUP(I181,[2]行业排放因子!$A:$B,2,0)</f>
        <v>90.746322689478703</v>
      </c>
      <c r="K181" s="9" t="s">
        <v>19</v>
      </c>
    </row>
    <row r="182" spans="1:11" ht="12.5" customHeight="1" x14ac:dyDescent="0.25">
      <c r="A182" s="5" t="s">
        <v>691</v>
      </c>
      <c r="B182" s="6" t="s">
        <v>12</v>
      </c>
      <c r="C182" s="6" t="s">
        <v>682</v>
      </c>
      <c r="D182" s="6" t="s">
        <v>683</v>
      </c>
      <c r="E182" s="6" t="s">
        <v>692</v>
      </c>
      <c r="F182" s="6" t="s">
        <v>693</v>
      </c>
      <c r="G182" s="9" t="s">
        <v>694</v>
      </c>
      <c r="H182" s="9" t="s">
        <v>18</v>
      </c>
      <c r="I182" s="16" t="str">
        <f>VLOOKUP(F182,[1]完整分类结果!$E:$G,3,0)</f>
        <v>农、林、牧、渔及水利业</v>
      </c>
      <c r="J182" s="16">
        <f>VLOOKUP(I182,[2]行业排放因子!$A:$B,2,0)</f>
        <v>90.746322689478703</v>
      </c>
      <c r="K182" s="9" t="s">
        <v>19</v>
      </c>
    </row>
    <row r="183" spans="1:11" ht="12.5" customHeight="1" x14ac:dyDescent="0.25">
      <c r="A183" s="5" t="s">
        <v>695</v>
      </c>
      <c r="B183" s="6" t="s">
        <v>12</v>
      </c>
      <c r="C183" s="6" t="s">
        <v>682</v>
      </c>
      <c r="D183" s="6" t="s">
        <v>683</v>
      </c>
      <c r="E183" s="6" t="s">
        <v>696</v>
      </c>
      <c r="F183" s="6" t="s">
        <v>697</v>
      </c>
      <c r="G183" s="9" t="s">
        <v>698</v>
      </c>
      <c r="H183" s="9" t="s">
        <v>18</v>
      </c>
      <c r="I183" s="16" t="str">
        <f>VLOOKUP(F183,[1]完整分类结果!$E:$G,3,0)</f>
        <v>农、林、牧、渔及水利业</v>
      </c>
      <c r="J183" s="16">
        <f>VLOOKUP(I183,[2]行业排放因子!$A:$B,2,0)</f>
        <v>90.746322689478703</v>
      </c>
      <c r="K183" s="9" t="s">
        <v>19</v>
      </c>
    </row>
    <row r="184" spans="1:11" ht="12.5" customHeight="1" x14ac:dyDescent="0.25">
      <c r="A184" s="5" t="s">
        <v>699</v>
      </c>
      <c r="B184" s="6" t="s">
        <v>12</v>
      </c>
      <c r="C184" s="6" t="s">
        <v>682</v>
      </c>
      <c r="D184" s="6" t="s">
        <v>683</v>
      </c>
      <c r="E184" s="6" t="s">
        <v>700</v>
      </c>
      <c r="F184" s="6" t="s">
        <v>701</v>
      </c>
      <c r="G184" s="9" t="s">
        <v>702</v>
      </c>
      <c r="H184" s="9" t="s">
        <v>18</v>
      </c>
      <c r="I184" s="16" t="str">
        <f>VLOOKUP(F184,[1]完整分类结果!$E:$G,3,0)</f>
        <v>农、林、牧、渔及水利业</v>
      </c>
      <c r="J184" s="16">
        <f>VLOOKUP(I184,[2]行业排放因子!$A:$B,2,0)</f>
        <v>90.746322689478703</v>
      </c>
      <c r="K184" s="9" t="s">
        <v>19</v>
      </c>
    </row>
    <row r="185" spans="1:11" ht="12.5" customHeight="1" x14ac:dyDescent="0.25">
      <c r="A185" s="5" t="s">
        <v>703</v>
      </c>
      <c r="B185" s="6" t="s">
        <v>12</v>
      </c>
      <c r="C185" s="6" t="s">
        <v>682</v>
      </c>
      <c r="D185" s="6" t="s">
        <v>683</v>
      </c>
      <c r="E185" s="6" t="s">
        <v>704</v>
      </c>
      <c r="F185" s="6" t="s">
        <v>705</v>
      </c>
      <c r="G185" s="9" t="s">
        <v>706</v>
      </c>
      <c r="H185" s="9" t="s">
        <v>18</v>
      </c>
      <c r="I185" s="16" t="str">
        <f>VLOOKUP(F185,[1]完整分类结果!$E:$G,3,0)</f>
        <v>农、林、牧、渔及水利业</v>
      </c>
      <c r="J185" s="16">
        <f>VLOOKUP(I185,[2]行业排放因子!$A:$B,2,0)</f>
        <v>90.746322689478703</v>
      </c>
      <c r="K185" s="9" t="s">
        <v>19</v>
      </c>
    </row>
    <row r="186" spans="1:11" ht="12.5" customHeight="1" x14ac:dyDescent="0.25">
      <c r="A186" s="5" t="s">
        <v>707</v>
      </c>
      <c r="B186" s="6" t="s">
        <v>12</v>
      </c>
      <c r="C186" s="6" t="s">
        <v>682</v>
      </c>
      <c r="D186" s="6" t="s">
        <v>683</v>
      </c>
      <c r="E186" s="6" t="s">
        <v>708</v>
      </c>
      <c r="F186" s="6" t="s">
        <v>709</v>
      </c>
      <c r="G186" s="9" t="s">
        <v>710</v>
      </c>
      <c r="H186" s="9" t="s">
        <v>18</v>
      </c>
      <c r="I186" s="16" t="str">
        <f>VLOOKUP(F186,[1]完整分类结果!$E:$G,3,0)</f>
        <v>农、林、牧、渔及水利业</v>
      </c>
      <c r="J186" s="16">
        <f>VLOOKUP(I186,[2]行业排放因子!$A:$B,2,0)</f>
        <v>90.746322689478703</v>
      </c>
      <c r="K186" s="9" t="s">
        <v>19</v>
      </c>
    </row>
    <row r="187" spans="1:11" ht="12.5" customHeight="1" x14ac:dyDescent="0.25">
      <c r="A187" s="5" t="s">
        <v>711</v>
      </c>
      <c r="B187" s="6" t="s">
        <v>12</v>
      </c>
      <c r="C187" s="6" t="s">
        <v>682</v>
      </c>
      <c r="D187" s="6" t="s">
        <v>683</v>
      </c>
      <c r="E187" s="6" t="s">
        <v>712</v>
      </c>
      <c r="F187" s="6" t="s">
        <v>713</v>
      </c>
      <c r="G187" s="9" t="s">
        <v>714</v>
      </c>
      <c r="H187" s="9" t="s">
        <v>18</v>
      </c>
      <c r="I187" s="16" t="str">
        <f>VLOOKUP(F187,[1]完整分类结果!$E:$G,3,0)</f>
        <v>农、林、牧、渔及水利业</v>
      </c>
      <c r="J187" s="16">
        <f>VLOOKUP(I187,[2]行业排放因子!$A:$B,2,0)</f>
        <v>90.746322689478703</v>
      </c>
      <c r="K187" s="9" t="s">
        <v>19</v>
      </c>
    </row>
    <row r="188" spans="1:11" ht="12.5" customHeight="1" x14ac:dyDescent="0.25">
      <c r="A188" s="5" t="s">
        <v>715</v>
      </c>
      <c r="B188" s="6" t="s">
        <v>12</v>
      </c>
      <c r="C188" s="6" t="s">
        <v>716</v>
      </c>
      <c r="D188" s="6" t="s">
        <v>717</v>
      </c>
      <c r="E188" s="6" t="s">
        <v>718</v>
      </c>
      <c r="F188" s="6" t="s">
        <v>719</v>
      </c>
      <c r="G188" s="9" t="s">
        <v>720</v>
      </c>
      <c r="H188" s="9" t="s">
        <v>18</v>
      </c>
      <c r="I188" s="16" t="str">
        <f>VLOOKUP(F188,[1]完整分类结果!$E:$G,3,0)</f>
        <v>农、林、牧、渔及水利业</v>
      </c>
      <c r="J188" s="16">
        <f>VLOOKUP(I188,[2]行业排放因子!$A:$B,2,0)</f>
        <v>90.746322689478703</v>
      </c>
      <c r="K188" s="9" t="s">
        <v>19</v>
      </c>
    </row>
    <row r="189" spans="1:11" ht="12.5" customHeight="1" x14ac:dyDescent="0.25">
      <c r="A189" s="5" t="s">
        <v>721</v>
      </c>
      <c r="B189" s="6" t="s">
        <v>12</v>
      </c>
      <c r="C189" s="6" t="s">
        <v>716</v>
      </c>
      <c r="D189" s="6" t="s">
        <v>717</v>
      </c>
      <c r="E189" s="6" t="s">
        <v>722</v>
      </c>
      <c r="F189" s="6" t="s">
        <v>723</v>
      </c>
      <c r="G189" s="9" t="s">
        <v>724</v>
      </c>
      <c r="H189" s="9" t="s">
        <v>18</v>
      </c>
      <c r="I189" s="16" t="str">
        <f>VLOOKUP(F189,[1]完整分类结果!$E:$G,3,0)</f>
        <v>农、林、牧、渔及水利业</v>
      </c>
      <c r="J189" s="16">
        <f>VLOOKUP(I189,[2]行业排放因子!$A:$B,2,0)</f>
        <v>90.746322689478703</v>
      </c>
      <c r="K189" s="9" t="s">
        <v>19</v>
      </c>
    </row>
    <row r="190" spans="1:11" ht="12.5" customHeight="1" x14ac:dyDescent="0.25">
      <c r="A190" s="5" t="s">
        <v>725</v>
      </c>
      <c r="B190" s="6" t="s">
        <v>12</v>
      </c>
      <c r="C190" s="6" t="s">
        <v>716</v>
      </c>
      <c r="D190" s="6" t="s">
        <v>717</v>
      </c>
      <c r="E190" s="6" t="s">
        <v>726</v>
      </c>
      <c r="F190" s="6" t="s">
        <v>727</v>
      </c>
      <c r="G190" s="9" t="s">
        <v>728</v>
      </c>
      <c r="H190" s="9" t="s">
        <v>18</v>
      </c>
      <c r="I190" s="16" t="str">
        <f>VLOOKUP(F190,[1]完整分类结果!$E:$G,3,0)</f>
        <v>农、林、牧、渔及水利业</v>
      </c>
      <c r="J190" s="16">
        <f>VLOOKUP(I190,[2]行业排放因子!$A:$B,2,0)</f>
        <v>90.746322689478703</v>
      </c>
      <c r="K190" s="9" t="s">
        <v>19</v>
      </c>
    </row>
    <row r="191" spans="1:11" ht="12.5" customHeight="1" x14ac:dyDescent="0.25">
      <c r="A191" s="5" t="s">
        <v>729</v>
      </c>
      <c r="B191" s="6" t="s">
        <v>12</v>
      </c>
      <c r="C191" s="6" t="s">
        <v>716</v>
      </c>
      <c r="D191" s="6" t="s">
        <v>717</v>
      </c>
      <c r="E191" s="6" t="s">
        <v>730</v>
      </c>
      <c r="F191" s="6" t="s">
        <v>731</v>
      </c>
      <c r="G191" s="9" t="s">
        <v>732</v>
      </c>
      <c r="H191" s="9" t="s">
        <v>18</v>
      </c>
      <c r="I191" s="16" t="str">
        <f>VLOOKUP(F191,[1]完整分类结果!$E:$G,3,0)</f>
        <v>农、林、牧、渔及水利业</v>
      </c>
      <c r="J191" s="16">
        <f>VLOOKUP(I191,[2]行业排放因子!$A:$B,2,0)</f>
        <v>90.746322689478703</v>
      </c>
      <c r="K191" s="9" t="s">
        <v>19</v>
      </c>
    </row>
    <row r="192" spans="1:11" ht="12.5" customHeight="1" x14ac:dyDescent="0.25">
      <c r="A192" s="5" t="s">
        <v>733</v>
      </c>
      <c r="B192" s="6" t="s">
        <v>12</v>
      </c>
      <c r="C192" s="6" t="s">
        <v>716</v>
      </c>
      <c r="D192" s="6" t="s">
        <v>717</v>
      </c>
      <c r="E192" s="6" t="s">
        <v>734</v>
      </c>
      <c r="F192" s="6" t="s">
        <v>735</v>
      </c>
      <c r="G192" s="9"/>
      <c r="H192" s="9" t="s">
        <v>18</v>
      </c>
      <c r="I192" s="16" t="str">
        <f>VLOOKUP(F192,[1]完整分类结果!$E:$G,3,0)</f>
        <v>农、林、牧、渔及水利业</v>
      </c>
      <c r="J192" s="16">
        <f>VLOOKUP(I192,[2]行业排放因子!$A:$B,2,0)</f>
        <v>90.746322689478703</v>
      </c>
      <c r="K192" s="9" t="s">
        <v>19</v>
      </c>
    </row>
    <row r="193" spans="1:11" ht="12.5" customHeight="1" x14ac:dyDescent="0.25">
      <c r="A193" s="5" t="s">
        <v>736</v>
      </c>
      <c r="B193" s="6" t="s">
        <v>12</v>
      </c>
      <c r="C193" s="6" t="s">
        <v>716</v>
      </c>
      <c r="D193" s="6" t="s">
        <v>717</v>
      </c>
      <c r="E193" s="6" t="s">
        <v>737</v>
      </c>
      <c r="F193" s="6" t="s">
        <v>738</v>
      </c>
      <c r="G193" s="9" t="s">
        <v>739</v>
      </c>
      <c r="H193" s="9" t="s">
        <v>18</v>
      </c>
      <c r="I193" s="16" t="str">
        <f>VLOOKUP(F193,[1]完整分类结果!$E:$G,3,0)</f>
        <v>农、林、牧、渔及水利业</v>
      </c>
      <c r="J193" s="16">
        <f>VLOOKUP(I193,[2]行业排放因子!$A:$B,2,0)</f>
        <v>90.746322689478703</v>
      </c>
      <c r="K193" s="9" t="s">
        <v>19</v>
      </c>
    </row>
    <row r="194" spans="1:11" ht="12.5" customHeight="1" x14ac:dyDescent="0.25">
      <c r="A194" s="5" t="s">
        <v>740</v>
      </c>
      <c r="B194" s="6" t="s">
        <v>12</v>
      </c>
      <c r="C194" s="6" t="s">
        <v>716</v>
      </c>
      <c r="D194" s="6" t="s">
        <v>717</v>
      </c>
      <c r="E194" s="6" t="s">
        <v>741</v>
      </c>
      <c r="F194" s="6" t="s">
        <v>742</v>
      </c>
      <c r="G194" s="9" t="s">
        <v>743</v>
      </c>
      <c r="H194" s="9" t="s">
        <v>18</v>
      </c>
      <c r="I194" s="16" t="str">
        <f>VLOOKUP(F194,[1]完整分类结果!$E:$G,3,0)</f>
        <v>农、林、牧、渔及水利业</v>
      </c>
      <c r="J194" s="16">
        <f>VLOOKUP(I194,[2]行业排放因子!$A:$B,2,0)</f>
        <v>90.746322689478703</v>
      </c>
      <c r="K194" s="9" t="s">
        <v>19</v>
      </c>
    </row>
    <row r="195" spans="1:11" ht="12.5" customHeight="1" x14ac:dyDescent="0.25">
      <c r="A195" s="5" t="s">
        <v>744</v>
      </c>
      <c r="B195" s="6" t="s">
        <v>12</v>
      </c>
      <c r="C195" s="6" t="s">
        <v>716</v>
      </c>
      <c r="D195" s="6" t="s">
        <v>717</v>
      </c>
      <c r="E195" s="6" t="s">
        <v>745</v>
      </c>
      <c r="F195" s="6" t="s">
        <v>746</v>
      </c>
      <c r="G195" s="9" t="s">
        <v>747</v>
      </c>
      <c r="H195" s="9" t="s">
        <v>18</v>
      </c>
      <c r="I195" s="16" t="str">
        <f>VLOOKUP(F195,[1]完整分类结果!$E:$G,3,0)</f>
        <v>农、林、牧、渔及水利业</v>
      </c>
      <c r="J195" s="16">
        <f>VLOOKUP(I195,[2]行业排放因子!$A:$B,2,0)</f>
        <v>90.746322689478703</v>
      </c>
      <c r="K195" s="9" t="s">
        <v>19</v>
      </c>
    </row>
    <row r="196" spans="1:11" ht="12.5" customHeight="1" x14ac:dyDescent="0.25">
      <c r="A196" s="5" t="s">
        <v>748</v>
      </c>
      <c r="B196" s="6" t="s">
        <v>749</v>
      </c>
      <c r="C196" s="6" t="s">
        <v>750</v>
      </c>
      <c r="D196" s="6" t="s">
        <v>751</v>
      </c>
      <c r="E196" s="6" t="s">
        <v>752</v>
      </c>
      <c r="F196" s="6" t="s">
        <v>753</v>
      </c>
      <c r="G196" s="9" t="s">
        <v>754</v>
      </c>
      <c r="H196" s="9" t="s">
        <v>755</v>
      </c>
      <c r="I196" s="16" t="str">
        <f>VLOOKUP(F196,[1]完整分类结果!$E:$G,3,0)</f>
        <v>煤炭开采和洗选业</v>
      </c>
      <c r="J196" s="16">
        <f>VLOOKUP(I196,[2]行业排放因子!$A:$B,2,0)</f>
        <v>33.458829691929502</v>
      </c>
      <c r="K196" s="9" t="s">
        <v>756</v>
      </c>
    </row>
    <row r="197" spans="1:11" ht="12.5" customHeight="1" x14ac:dyDescent="0.25">
      <c r="A197" s="5" t="s">
        <v>757</v>
      </c>
      <c r="B197" s="6" t="s">
        <v>749</v>
      </c>
      <c r="C197" s="6" t="s">
        <v>750</v>
      </c>
      <c r="D197" s="6" t="s">
        <v>751</v>
      </c>
      <c r="E197" s="6" t="s">
        <v>758</v>
      </c>
      <c r="F197" s="6" t="s">
        <v>759</v>
      </c>
      <c r="G197" s="9" t="s">
        <v>760</v>
      </c>
      <c r="H197" s="9" t="s">
        <v>755</v>
      </c>
      <c r="I197" s="16" t="str">
        <f>VLOOKUP(F197,[1]完整分类结果!$E:$G,3,0)</f>
        <v>煤炭开采和洗选业</v>
      </c>
      <c r="J197" s="16">
        <f>VLOOKUP(I197,[2]行业排放因子!$A:$B,2,0)</f>
        <v>33.458829691929502</v>
      </c>
      <c r="K197" s="9" t="s">
        <v>756</v>
      </c>
    </row>
    <row r="198" spans="1:11" ht="12.5" customHeight="1" x14ac:dyDescent="0.25">
      <c r="A198" s="5" t="s">
        <v>761</v>
      </c>
      <c r="B198" s="6" t="s">
        <v>749</v>
      </c>
      <c r="C198" s="6" t="s">
        <v>750</v>
      </c>
      <c r="D198" s="6" t="s">
        <v>751</v>
      </c>
      <c r="E198" s="6" t="s">
        <v>762</v>
      </c>
      <c r="F198" s="6" t="s">
        <v>763</v>
      </c>
      <c r="G198" s="9" t="s">
        <v>764</v>
      </c>
      <c r="H198" s="9" t="s">
        <v>755</v>
      </c>
      <c r="I198" s="16" t="str">
        <f>VLOOKUP(F198,[1]完整分类结果!$E:$G,3,0)</f>
        <v>煤炭开采和洗选业</v>
      </c>
      <c r="J198" s="16">
        <f>VLOOKUP(I198,[2]行业排放因子!$A:$B,2,0)</f>
        <v>33.458829691929502</v>
      </c>
      <c r="K198" s="9" t="s">
        <v>756</v>
      </c>
    </row>
    <row r="199" spans="1:11" ht="12.5" customHeight="1" x14ac:dyDescent="0.25">
      <c r="A199" s="5" t="s">
        <v>765</v>
      </c>
      <c r="B199" s="6" t="s">
        <v>749</v>
      </c>
      <c r="C199" s="6" t="s">
        <v>750</v>
      </c>
      <c r="D199" s="6" t="s">
        <v>751</v>
      </c>
      <c r="E199" s="6" t="s">
        <v>766</v>
      </c>
      <c r="F199" s="6" t="s">
        <v>767</v>
      </c>
      <c r="G199" s="9" t="s">
        <v>768</v>
      </c>
      <c r="H199" s="9" t="s">
        <v>755</v>
      </c>
      <c r="I199" s="16" t="str">
        <f>VLOOKUP(F199,[1]完整分类结果!$E:$G,3,0)</f>
        <v>煤炭开采和洗选业</v>
      </c>
      <c r="J199" s="16">
        <f>VLOOKUP(I199,[2]行业排放因子!$A:$B,2,0)</f>
        <v>33.458829691929502</v>
      </c>
      <c r="K199" s="9" t="s">
        <v>756</v>
      </c>
    </row>
    <row r="200" spans="1:11" ht="12.5" customHeight="1" x14ac:dyDescent="0.25">
      <c r="A200" s="5" t="s">
        <v>769</v>
      </c>
      <c r="B200" s="6" t="s">
        <v>749</v>
      </c>
      <c r="C200" s="6" t="s">
        <v>770</v>
      </c>
      <c r="D200" s="6" t="s">
        <v>771</v>
      </c>
      <c r="E200" s="6" t="s">
        <v>772</v>
      </c>
      <c r="F200" s="6" t="s">
        <v>773</v>
      </c>
      <c r="G200" s="9" t="s">
        <v>774</v>
      </c>
      <c r="H200" s="9" t="s">
        <v>755</v>
      </c>
      <c r="I200" s="16" t="str">
        <f>VLOOKUP(F200,[1]完整分类结果!$E:$G,3,0)</f>
        <v>石油和天然气开采业</v>
      </c>
      <c r="J200" s="16">
        <f>VLOOKUP(I200,[2]行业排放因子!$A:$B,2,0)</f>
        <v>44.014305075647201</v>
      </c>
      <c r="K200" s="9" t="s">
        <v>756</v>
      </c>
    </row>
    <row r="201" spans="1:11" ht="12.5" customHeight="1" x14ac:dyDescent="0.25">
      <c r="A201" s="5" t="s">
        <v>775</v>
      </c>
      <c r="B201" s="6" t="s">
        <v>749</v>
      </c>
      <c r="C201" s="6" t="s">
        <v>770</v>
      </c>
      <c r="D201" s="6" t="s">
        <v>771</v>
      </c>
      <c r="E201" s="6" t="s">
        <v>776</v>
      </c>
      <c r="F201" s="6" t="s">
        <v>777</v>
      </c>
      <c r="G201" s="9" t="s">
        <v>778</v>
      </c>
      <c r="H201" s="9" t="s">
        <v>755</v>
      </c>
      <c r="I201" s="16" t="str">
        <f>VLOOKUP(F201,[1]完整分类结果!$E:$G,3,0)</f>
        <v>石油和天然气开采业</v>
      </c>
      <c r="J201" s="16">
        <f>VLOOKUP(I201,[2]行业排放因子!$A:$B,2,0)</f>
        <v>44.014305075647201</v>
      </c>
      <c r="K201" s="9" t="s">
        <v>779</v>
      </c>
    </row>
    <row r="202" spans="1:11" ht="12.5" customHeight="1" x14ac:dyDescent="0.25">
      <c r="A202" s="5" t="s">
        <v>780</v>
      </c>
      <c r="B202" s="6" t="s">
        <v>749</v>
      </c>
      <c r="C202" s="6" t="s">
        <v>770</v>
      </c>
      <c r="D202" s="6" t="s">
        <v>771</v>
      </c>
      <c r="E202" s="6" t="s">
        <v>781</v>
      </c>
      <c r="F202" s="6" t="s">
        <v>782</v>
      </c>
      <c r="G202" s="9"/>
      <c r="H202" s="9" t="s">
        <v>755</v>
      </c>
      <c r="I202" s="16" t="str">
        <f>VLOOKUP(F202,[1]完整分类结果!$E:$G,3,0)</f>
        <v>其他矿采选业</v>
      </c>
      <c r="J202" s="16">
        <f>VLOOKUP(I202,[2]行业排放因子!$A:$B,2,0)</f>
        <v>6.0323112418060303</v>
      </c>
      <c r="K202" s="9" t="s">
        <v>756</v>
      </c>
    </row>
    <row r="203" spans="1:11" ht="12.5" customHeight="1" x14ac:dyDescent="0.25">
      <c r="A203" s="5" t="s">
        <v>783</v>
      </c>
      <c r="B203" s="6" t="s">
        <v>749</v>
      </c>
      <c r="C203" s="6" t="s">
        <v>770</v>
      </c>
      <c r="D203" s="6" t="s">
        <v>784</v>
      </c>
      <c r="E203" s="6" t="s">
        <v>785</v>
      </c>
      <c r="F203" s="6" t="s">
        <v>784</v>
      </c>
      <c r="G203" s="9" t="s">
        <v>786</v>
      </c>
      <c r="H203" s="9" t="s">
        <v>755</v>
      </c>
      <c r="I203" s="16" t="str">
        <f>VLOOKUP(F203,[1]完整分类结果!$E:$G,3,0)</f>
        <v>石油和天然气开采业</v>
      </c>
      <c r="J203" s="16">
        <f>VLOOKUP(I203,[2]行业排放因子!$A:$B,2,0)</f>
        <v>44.014305075647201</v>
      </c>
      <c r="K203" s="9" t="s">
        <v>756</v>
      </c>
    </row>
    <row r="204" spans="1:11" ht="12.5" customHeight="1" x14ac:dyDescent="0.25">
      <c r="A204" s="5" t="s">
        <v>787</v>
      </c>
      <c r="B204" s="6" t="s">
        <v>749</v>
      </c>
      <c r="C204" s="6" t="s">
        <v>770</v>
      </c>
      <c r="D204" s="6" t="s">
        <v>788</v>
      </c>
      <c r="E204" s="6" t="s">
        <v>789</v>
      </c>
      <c r="F204" s="6" t="s">
        <v>788</v>
      </c>
      <c r="G204" s="9" t="s">
        <v>790</v>
      </c>
      <c r="H204" s="9" t="s">
        <v>755</v>
      </c>
      <c r="I204" s="16" t="str">
        <f>VLOOKUP(F204,[1]完整分类结果!$E:$G,3,0)</f>
        <v>石油和天然气开采业</v>
      </c>
      <c r="J204" s="16">
        <f>VLOOKUP(I204,[2]行业排放因子!$A:$B,2,0)</f>
        <v>44.014305075647201</v>
      </c>
      <c r="K204" s="9" t="s">
        <v>756</v>
      </c>
    </row>
    <row r="205" spans="1:11" ht="12.5" customHeight="1" x14ac:dyDescent="0.25">
      <c r="A205" s="5" t="s">
        <v>791</v>
      </c>
      <c r="B205" s="6" t="s">
        <v>749</v>
      </c>
      <c r="C205" s="6" t="s">
        <v>770</v>
      </c>
      <c r="D205" s="6" t="s">
        <v>792</v>
      </c>
      <c r="E205" s="6" t="s">
        <v>793</v>
      </c>
      <c r="F205" s="6" t="s">
        <v>792</v>
      </c>
      <c r="G205" s="9" t="s">
        <v>794</v>
      </c>
      <c r="H205" s="9" t="s">
        <v>755</v>
      </c>
      <c r="I205" s="16" t="str">
        <f>VLOOKUP(F205,[1]完整分类结果!$E:$G,3,0)</f>
        <v>煤炭开采和洗选业</v>
      </c>
      <c r="J205" s="16">
        <f>VLOOKUP(I205,[2]行业排放因子!$A:$B,2,0)</f>
        <v>33.458829691929502</v>
      </c>
      <c r="K205" s="9" t="s">
        <v>756</v>
      </c>
    </row>
    <row r="206" spans="1:11" ht="12.5" customHeight="1" x14ac:dyDescent="0.25">
      <c r="A206" s="5" t="s">
        <v>795</v>
      </c>
      <c r="B206" s="6" t="s">
        <v>749</v>
      </c>
      <c r="C206" s="6" t="s">
        <v>770</v>
      </c>
      <c r="D206" s="6" t="s">
        <v>796</v>
      </c>
      <c r="E206" s="6" t="s">
        <v>797</v>
      </c>
      <c r="F206" s="6" t="s">
        <v>796</v>
      </c>
      <c r="G206" s="9" t="s">
        <v>798</v>
      </c>
      <c r="H206" s="9" t="s">
        <v>755</v>
      </c>
      <c r="I206" s="16" t="str">
        <f>VLOOKUP(F206,[1]完整分类结果!$E:$G,3,0)</f>
        <v>石油和天然气开采业</v>
      </c>
      <c r="J206" s="16">
        <f>VLOOKUP(I206,[2]行业排放因子!$A:$B,2,0)</f>
        <v>44.014305075647201</v>
      </c>
      <c r="K206" s="9" t="s">
        <v>756</v>
      </c>
    </row>
    <row r="207" spans="1:11" ht="12.5" customHeight="1" x14ac:dyDescent="0.25">
      <c r="A207" s="5" t="s">
        <v>799</v>
      </c>
      <c r="B207" s="6" t="s">
        <v>749</v>
      </c>
      <c r="C207" s="6" t="s">
        <v>770</v>
      </c>
      <c r="D207" s="6" t="s">
        <v>800</v>
      </c>
      <c r="E207" s="6" t="s">
        <v>801</v>
      </c>
      <c r="F207" s="6" t="s">
        <v>802</v>
      </c>
      <c r="G207" s="9" t="s">
        <v>803</v>
      </c>
      <c r="H207" s="9" t="s">
        <v>755</v>
      </c>
      <c r="I207" s="16" t="str">
        <f>VLOOKUP(F207,[1]完整分类结果!$E:$G,3,0)</f>
        <v>其他矿采选业</v>
      </c>
      <c r="J207" s="16">
        <f>VLOOKUP(I207,[2]行业排放因子!$A:$B,2,0)</f>
        <v>6.0323112418060303</v>
      </c>
      <c r="K207" s="9" t="s">
        <v>779</v>
      </c>
    </row>
    <row r="208" spans="1:11" ht="12.5" customHeight="1" x14ac:dyDescent="0.25">
      <c r="A208" s="5" t="s">
        <v>804</v>
      </c>
      <c r="B208" s="6" t="s">
        <v>749</v>
      </c>
      <c r="C208" s="6" t="s">
        <v>770</v>
      </c>
      <c r="D208" s="6" t="s">
        <v>800</v>
      </c>
      <c r="E208" s="6" t="s">
        <v>805</v>
      </c>
      <c r="F208" s="6" t="s">
        <v>806</v>
      </c>
      <c r="G208" s="9"/>
      <c r="H208" s="9" t="s">
        <v>755</v>
      </c>
      <c r="I208" s="16" t="str">
        <f>VLOOKUP(F208,[1]完整分类结果!$E:$G,3,0)</f>
        <v>其他矿采选业</v>
      </c>
      <c r="J208" s="16">
        <f>VLOOKUP(I208,[2]行业排放因子!$A:$B,2,0)</f>
        <v>6.0323112418060303</v>
      </c>
      <c r="K208" s="9" t="s">
        <v>756</v>
      </c>
    </row>
    <row r="209" spans="1:11" ht="12.5" customHeight="1" x14ac:dyDescent="0.25">
      <c r="A209" s="5" t="s">
        <v>807</v>
      </c>
      <c r="B209" s="6" t="s">
        <v>749</v>
      </c>
      <c r="C209" s="6" t="s">
        <v>770</v>
      </c>
      <c r="D209" s="6" t="s">
        <v>800</v>
      </c>
      <c r="E209" s="6" t="s">
        <v>808</v>
      </c>
      <c r="F209" s="6" t="s">
        <v>809</v>
      </c>
      <c r="G209" s="9" t="s">
        <v>810</v>
      </c>
      <c r="H209" s="9" t="s">
        <v>755</v>
      </c>
      <c r="I209" s="16" t="str">
        <f>VLOOKUP(F209,[1]完整分类结果!$E:$G,3,0)</f>
        <v>其他矿采选业</v>
      </c>
      <c r="J209" s="16">
        <f>VLOOKUP(I209,[2]行业排放因子!$A:$B,2,0)</f>
        <v>6.0323112418060303</v>
      </c>
      <c r="K209" s="9" t="s">
        <v>756</v>
      </c>
    </row>
    <row r="210" spans="1:11" ht="12.5" customHeight="1" x14ac:dyDescent="0.25">
      <c r="A210" s="5" t="s">
        <v>811</v>
      </c>
      <c r="B210" s="6" t="s">
        <v>749</v>
      </c>
      <c r="C210" s="6" t="s">
        <v>770</v>
      </c>
      <c r="D210" s="6" t="s">
        <v>800</v>
      </c>
      <c r="E210" s="6" t="s">
        <v>812</v>
      </c>
      <c r="F210" s="6" t="s">
        <v>813</v>
      </c>
      <c r="G210" s="9" t="s">
        <v>814</v>
      </c>
      <c r="H210" s="9" t="s">
        <v>755</v>
      </c>
      <c r="I210" s="16" t="str">
        <f>VLOOKUP(F210,[1]完整分类结果!$E:$G,3,0)</f>
        <v>其他矿采选业</v>
      </c>
      <c r="J210" s="16">
        <f>VLOOKUP(I210,[2]行业排放因子!$A:$B,2,0)</f>
        <v>6.0323112418060303</v>
      </c>
      <c r="K210" s="9" t="s">
        <v>756</v>
      </c>
    </row>
    <row r="211" spans="1:11" ht="12.5" customHeight="1" x14ac:dyDescent="0.25">
      <c r="A211" s="5" t="s">
        <v>815</v>
      </c>
      <c r="B211" s="6" t="s">
        <v>749</v>
      </c>
      <c r="C211" s="6" t="s">
        <v>770</v>
      </c>
      <c r="D211" s="6" t="s">
        <v>800</v>
      </c>
      <c r="E211" s="6" t="s">
        <v>816</v>
      </c>
      <c r="F211" s="6" t="s">
        <v>817</v>
      </c>
      <c r="G211" s="9" t="s">
        <v>803</v>
      </c>
      <c r="H211" s="9" t="s">
        <v>755</v>
      </c>
      <c r="I211" s="16" t="str">
        <f>VLOOKUP(F211,[1]完整分类结果!$E:$G,3,0)</f>
        <v>其他矿采选业</v>
      </c>
      <c r="J211" s="16">
        <f>VLOOKUP(I211,[2]行业排放因子!$A:$B,2,0)</f>
        <v>6.0323112418060303</v>
      </c>
      <c r="K211" s="9" t="s">
        <v>779</v>
      </c>
    </row>
    <row r="212" spans="1:11" ht="12.5" customHeight="1" x14ac:dyDescent="0.25">
      <c r="A212" s="5" t="s">
        <v>818</v>
      </c>
      <c r="B212" s="6" t="s">
        <v>749</v>
      </c>
      <c r="C212" s="6" t="s">
        <v>770</v>
      </c>
      <c r="D212" s="6" t="s">
        <v>800</v>
      </c>
      <c r="E212" s="6" t="s">
        <v>819</v>
      </c>
      <c r="F212" s="6" t="s">
        <v>820</v>
      </c>
      <c r="G212" s="9"/>
      <c r="H212" s="9" t="s">
        <v>755</v>
      </c>
      <c r="I212" s="16" t="str">
        <f>VLOOKUP(F212,[1]完整分类结果!$E:$G,3,0)</f>
        <v>其他矿采选业</v>
      </c>
      <c r="J212" s="16">
        <f>VLOOKUP(I212,[2]行业排放因子!$A:$B,2,0)</f>
        <v>6.0323112418060303</v>
      </c>
      <c r="K212" s="9" t="s">
        <v>756</v>
      </c>
    </row>
    <row r="213" spans="1:11" ht="12.5" customHeight="1" x14ac:dyDescent="0.25">
      <c r="A213" s="5" t="s">
        <v>821</v>
      </c>
      <c r="B213" s="6" t="s">
        <v>749</v>
      </c>
      <c r="C213" s="6" t="s">
        <v>822</v>
      </c>
      <c r="D213" s="6" t="s">
        <v>823</v>
      </c>
      <c r="E213" s="6" t="s">
        <v>824</v>
      </c>
      <c r="F213" s="6" t="s">
        <v>823</v>
      </c>
      <c r="G213" s="9" t="s">
        <v>825</v>
      </c>
      <c r="H213" s="9" t="s">
        <v>18</v>
      </c>
      <c r="I213" s="16" t="str">
        <f>VLOOKUP(F213,[1]完整分类结果!$E:$G,3,0)</f>
        <v>其他矿采选业</v>
      </c>
      <c r="J213" s="16">
        <f>VLOOKUP(I213,[2]行业排放因子!$A:$B,2,0)</f>
        <v>6.0323112418060303</v>
      </c>
      <c r="K213" s="9" t="s">
        <v>756</v>
      </c>
    </row>
    <row r="214" spans="1:11" ht="12.5" customHeight="1" x14ac:dyDescent="0.25">
      <c r="A214" s="5" t="s">
        <v>826</v>
      </c>
      <c r="B214" s="6" t="s">
        <v>749</v>
      </c>
      <c r="C214" s="6" t="s">
        <v>822</v>
      </c>
      <c r="D214" s="6" t="s">
        <v>827</v>
      </c>
      <c r="E214" s="6" t="s">
        <v>828</v>
      </c>
      <c r="F214" s="6" t="s">
        <v>827</v>
      </c>
      <c r="G214" s="9" t="s">
        <v>829</v>
      </c>
      <c r="H214" s="9" t="s">
        <v>18</v>
      </c>
      <c r="I214" s="16" t="str">
        <f>VLOOKUP(F214,[1]完整分类结果!$E:$G,3,0)</f>
        <v>其他矿采选业</v>
      </c>
      <c r="J214" s="16">
        <f>VLOOKUP(I214,[2]行业排放因子!$A:$B,2,0)</f>
        <v>6.0323112418060303</v>
      </c>
      <c r="K214" s="9" t="s">
        <v>756</v>
      </c>
    </row>
    <row r="215" spans="1:11" ht="12.5" customHeight="1" x14ac:dyDescent="0.25">
      <c r="A215" s="5" t="s">
        <v>830</v>
      </c>
      <c r="B215" s="6" t="s">
        <v>749</v>
      </c>
      <c r="C215" s="6" t="s">
        <v>822</v>
      </c>
      <c r="D215" s="6" t="s">
        <v>831</v>
      </c>
      <c r="E215" s="6" t="s">
        <v>832</v>
      </c>
      <c r="F215" s="6" t="s">
        <v>831</v>
      </c>
      <c r="G215" s="9" t="s">
        <v>833</v>
      </c>
      <c r="H215" s="9" t="s">
        <v>18</v>
      </c>
      <c r="I215" s="16" t="str">
        <f>VLOOKUP(F215,[1]完整分类结果!$E:$G,3,0)</f>
        <v>其他矿采选业</v>
      </c>
      <c r="J215" s="16">
        <f>VLOOKUP(I215,[2]行业排放因子!$A:$B,2,0)</f>
        <v>6.0323112418060303</v>
      </c>
      <c r="K215" s="9" t="s">
        <v>756</v>
      </c>
    </row>
    <row r="216" spans="1:11" ht="12.5" customHeight="1" x14ac:dyDescent="0.25">
      <c r="A216" s="5" t="s">
        <v>834</v>
      </c>
      <c r="B216" s="6" t="s">
        <v>749</v>
      </c>
      <c r="C216" s="6" t="s">
        <v>822</v>
      </c>
      <c r="D216" s="6" t="s">
        <v>835</v>
      </c>
      <c r="E216" s="6" t="s">
        <v>836</v>
      </c>
      <c r="F216" s="6" t="s">
        <v>835</v>
      </c>
      <c r="G216" s="9" t="s">
        <v>837</v>
      </c>
      <c r="H216" s="9" t="s">
        <v>18</v>
      </c>
      <c r="I216" s="16" t="str">
        <f>VLOOKUP(F216,[1]完整分类结果!$E:$G,3,0)</f>
        <v>黑色金属矿采选业</v>
      </c>
      <c r="J216" s="16">
        <f>VLOOKUP(I216,[2]行业排放因子!$A:$B,2,0)</f>
        <v>12.6475853646917</v>
      </c>
      <c r="K216" s="9" t="s">
        <v>756</v>
      </c>
    </row>
    <row r="217" spans="1:11" ht="12.5" customHeight="1" x14ac:dyDescent="0.25">
      <c r="A217" s="5" t="s">
        <v>838</v>
      </c>
      <c r="B217" s="6" t="s">
        <v>749</v>
      </c>
      <c r="C217" s="6" t="s">
        <v>822</v>
      </c>
      <c r="D217" s="6" t="s">
        <v>839</v>
      </c>
      <c r="E217" s="6" t="s">
        <v>840</v>
      </c>
      <c r="F217" s="6" t="s">
        <v>839</v>
      </c>
      <c r="G217" s="9" t="s">
        <v>841</v>
      </c>
      <c r="H217" s="9" t="s">
        <v>18</v>
      </c>
      <c r="I217" s="16" t="str">
        <f>VLOOKUP(F217,[1]完整分类结果!$E:$G,3,0)</f>
        <v>黑色金属矿采选业</v>
      </c>
      <c r="J217" s="16">
        <f>VLOOKUP(I217,[2]行业排放因子!$A:$B,2,0)</f>
        <v>12.6475853646917</v>
      </c>
      <c r="K217" s="9" t="s">
        <v>756</v>
      </c>
    </row>
    <row r="218" spans="1:11" ht="12.5" customHeight="1" x14ac:dyDescent="0.25">
      <c r="A218" s="5" t="s">
        <v>842</v>
      </c>
      <c r="B218" s="6" t="s">
        <v>749</v>
      </c>
      <c r="C218" s="6" t="s">
        <v>822</v>
      </c>
      <c r="D218" s="6" t="s">
        <v>843</v>
      </c>
      <c r="E218" s="6" t="s">
        <v>844</v>
      </c>
      <c r="F218" s="6" t="s">
        <v>843</v>
      </c>
      <c r="G218" s="9" t="s">
        <v>845</v>
      </c>
      <c r="H218" s="9" t="s">
        <v>18</v>
      </c>
      <c r="I218" s="16" t="str">
        <f>VLOOKUP(F218,[1]完整分类结果!$E:$G,3,0)</f>
        <v>黑色金属矿采选业</v>
      </c>
      <c r="J218" s="16">
        <f>VLOOKUP(I218,[2]行业排放因子!$A:$B,2,0)</f>
        <v>12.6475853646917</v>
      </c>
      <c r="K218" s="9" t="s">
        <v>756</v>
      </c>
    </row>
    <row r="219" spans="1:11" ht="12.5" customHeight="1" x14ac:dyDescent="0.25">
      <c r="A219" s="5" t="s">
        <v>846</v>
      </c>
      <c r="B219" s="6" t="s">
        <v>749</v>
      </c>
      <c r="C219" s="6" t="s">
        <v>822</v>
      </c>
      <c r="D219" s="6" t="s">
        <v>847</v>
      </c>
      <c r="E219" s="6" t="s">
        <v>848</v>
      </c>
      <c r="F219" s="6" t="s">
        <v>847</v>
      </c>
      <c r="G219" s="9" t="s">
        <v>849</v>
      </c>
      <c r="H219" s="9" t="s">
        <v>18</v>
      </c>
      <c r="I219" s="16" t="str">
        <f>VLOOKUP(F219,[1]完整分类结果!$E:$G,3,0)</f>
        <v>其他矿采选业</v>
      </c>
      <c r="J219" s="16">
        <f>VLOOKUP(I219,[2]行业排放因子!$A:$B,2,0)</f>
        <v>6.0323112418060303</v>
      </c>
      <c r="K219" s="9" t="s">
        <v>756</v>
      </c>
    </row>
    <row r="220" spans="1:11" ht="12.5" customHeight="1" x14ac:dyDescent="0.25">
      <c r="A220" s="5" t="s">
        <v>850</v>
      </c>
      <c r="B220" s="6" t="s">
        <v>749</v>
      </c>
      <c r="C220" s="6" t="s">
        <v>822</v>
      </c>
      <c r="D220" s="6" t="s">
        <v>851</v>
      </c>
      <c r="E220" s="6" t="s">
        <v>852</v>
      </c>
      <c r="F220" s="6" t="s">
        <v>851</v>
      </c>
      <c r="G220" s="9" t="s">
        <v>853</v>
      </c>
      <c r="H220" s="9" t="s">
        <v>18</v>
      </c>
      <c r="I220" s="16" t="str">
        <f>VLOOKUP(F220,[1]完整分类结果!$E:$G,3,0)</f>
        <v>其他矿采选业</v>
      </c>
      <c r="J220" s="16">
        <f>VLOOKUP(I220,[2]行业排放因子!$A:$B,2,0)</f>
        <v>6.0323112418060303</v>
      </c>
      <c r="K220" s="9" t="s">
        <v>756</v>
      </c>
    </row>
    <row r="221" spans="1:11" ht="12.5" customHeight="1" x14ac:dyDescent="0.25">
      <c r="A221" s="5" t="s">
        <v>854</v>
      </c>
      <c r="B221" s="6" t="s">
        <v>749</v>
      </c>
      <c r="C221" s="6" t="s">
        <v>822</v>
      </c>
      <c r="D221" s="6" t="s">
        <v>855</v>
      </c>
      <c r="E221" s="6" t="s">
        <v>856</v>
      </c>
      <c r="F221" s="6" t="s">
        <v>855</v>
      </c>
      <c r="G221" s="9" t="s">
        <v>857</v>
      </c>
      <c r="H221" s="9" t="s">
        <v>18</v>
      </c>
      <c r="I221" s="16" t="str">
        <f>VLOOKUP(F221,[1]完整分类结果!$E:$G,3,0)</f>
        <v>其他矿采选业</v>
      </c>
      <c r="J221" s="16">
        <f>VLOOKUP(I221,[2]行业排放因子!$A:$B,2,0)</f>
        <v>6.0323112418060303</v>
      </c>
      <c r="K221" s="9" t="s">
        <v>756</v>
      </c>
    </row>
    <row r="222" spans="1:11" ht="12.5" customHeight="1" x14ac:dyDescent="0.25">
      <c r="A222" s="5" t="s">
        <v>858</v>
      </c>
      <c r="B222" s="6" t="s">
        <v>749</v>
      </c>
      <c r="C222" s="6" t="s">
        <v>859</v>
      </c>
      <c r="D222" s="6" t="s">
        <v>860</v>
      </c>
      <c r="E222" s="6" t="s">
        <v>861</v>
      </c>
      <c r="F222" s="6" t="s">
        <v>860</v>
      </c>
      <c r="G222" s="9"/>
      <c r="H222" s="9" t="s">
        <v>18</v>
      </c>
      <c r="I222" s="16" t="str">
        <f>VLOOKUP(F222,[1]完整分类结果!$E:$G,3,0)</f>
        <v>其他矿采选业</v>
      </c>
      <c r="J222" s="16">
        <f>VLOOKUP(I222,[2]行业排放因子!$A:$B,2,0)</f>
        <v>6.0323112418060303</v>
      </c>
      <c r="K222" s="9" t="s">
        <v>756</v>
      </c>
    </row>
    <row r="223" spans="1:11" ht="12.5" customHeight="1" x14ac:dyDescent="0.25">
      <c r="A223" s="5" t="s">
        <v>862</v>
      </c>
      <c r="B223" s="6" t="s">
        <v>749</v>
      </c>
      <c r="C223" s="6" t="s">
        <v>859</v>
      </c>
      <c r="D223" s="6" t="s">
        <v>863</v>
      </c>
      <c r="E223" s="6" t="s">
        <v>864</v>
      </c>
      <c r="F223" s="6" t="s">
        <v>863</v>
      </c>
      <c r="G223" s="9"/>
      <c r="H223" s="9" t="s">
        <v>18</v>
      </c>
      <c r="I223" s="16" t="str">
        <f>VLOOKUP(F223,[1]完整分类结果!$E:$G,3,0)</f>
        <v>其他矿采选业</v>
      </c>
      <c r="J223" s="16">
        <f>VLOOKUP(I223,[2]行业排放因子!$A:$B,2,0)</f>
        <v>6.0323112418060303</v>
      </c>
      <c r="K223" s="9" t="s">
        <v>756</v>
      </c>
    </row>
    <row r="224" spans="1:11" ht="12.5" customHeight="1" x14ac:dyDescent="0.25">
      <c r="A224" s="5" t="s">
        <v>865</v>
      </c>
      <c r="B224" s="6" t="s">
        <v>749</v>
      </c>
      <c r="C224" s="6" t="s">
        <v>859</v>
      </c>
      <c r="D224" s="6" t="s">
        <v>866</v>
      </c>
      <c r="E224" s="6" t="s">
        <v>867</v>
      </c>
      <c r="F224" s="6" t="s">
        <v>866</v>
      </c>
      <c r="G224" s="9"/>
      <c r="H224" s="9" t="s">
        <v>18</v>
      </c>
      <c r="I224" s="16" t="str">
        <f>VLOOKUP(F224,[1]完整分类结果!$E:$G,3,0)</f>
        <v>有色金属矿采选业</v>
      </c>
      <c r="J224" s="16">
        <f>VLOOKUP(I224,[2]行业排放因子!$A:$B,2,0)</f>
        <v>2.2025930407929399</v>
      </c>
      <c r="K224" s="9" t="s">
        <v>756</v>
      </c>
    </row>
    <row r="225" spans="1:11" ht="12.5" customHeight="1" x14ac:dyDescent="0.25">
      <c r="A225" s="5" t="s">
        <v>868</v>
      </c>
      <c r="B225" s="6" t="s">
        <v>749</v>
      </c>
      <c r="C225" s="6" t="s">
        <v>859</v>
      </c>
      <c r="D225" s="6" t="s">
        <v>869</v>
      </c>
      <c r="E225" s="6" t="s">
        <v>870</v>
      </c>
      <c r="F225" s="6" t="s">
        <v>869</v>
      </c>
      <c r="G225" s="9"/>
      <c r="H225" s="9" t="s">
        <v>18</v>
      </c>
      <c r="I225" s="16" t="str">
        <f>VLOOKUP(F225,[1]完整分类结果!$E:$G,3,0)</f>
        <v>有色金属矿采选业</v>
      </c>
      <c r="J225" s="16">
        <f>VLOOKUP(I225,[2]行业排放因子!$A:$B,2,0)</f>
        <v>2.2025930407929399</v>
      </c>
      <c r="K225" s="9" t="s">
        <v>756</v>
      </c>
    </row>
    <row r="226" spans="1:11" ht="12.5" customHeight="1" x14ac:dyDescent="0.25">
      <c r="A226" s="5" t="s">
        <v>871</v>
      </c>
      <c r="B226" s="6" t="s">
        <v>749</v>
      </c>
      <c r="C226" s="6" t="s">
        <v>859</v>
      </c>
      <c r="D226" s="6" t="s">
        <v>872</v>
      </c>
      <c r="E226" s="6" t="s">
        <v>873</v>
      </c>
      <c r="F226" s="6" t="s">
        <v>874</v>
      </c>
      <c r="G226" s="9"/>
      <c r="H226" s="9" t="s">
        <v>18</v>
      </c>
      <c r="I226" s="16" t="str">
        <f>VLOOKUP(F226,[1]完整分类结果!$E:$G,3,0)</f>
        <v>其他矿采选业</v>
      </c>
      <c r="J226" s="16">
        <f>VLOOKUP(I226,[2]行业排放因子!$A:$B,2,0)</f>
        <v>6.0323112418060303</v>
      </c>
      <c r="K226" s="9" t="s">
        <v>756</v>
      </c>
    </row>
    <row r="227" spans="1:11" ht="12.5" customHeight="1" x14ac:dyDescent="0.25">
      <c r="A227" s="5" t="s">
        <v>875</v>
      </c>
      <c r="B227" s="6" t="s">
        <v>749</v>
      </c>
      <c r="C227" s="6" t="s">
        <v>859</v>
      </c>
      <c r="D227" s="6" t="s">
        <v>876</v>
      </c>
      <c r="E227" s="6" t="s">
        <v>877</v>
      </c>
      <c r="F227" s="6" t="s">
        <v>876</v>
      </c>
      <c r="G227" s="9"/>
      <c r="H227" s="9" t="s">
        <v>18</v>
      </c>
      <c r="I227" s="16" t="str">
        <f>VLOOKUP(F227,[1]完整分类结果!$E:$G,3,0)</f>
        <v>其他矿采选业</v>
      </c>
      <c r="J227" s="16">
        <f>VLOOKUP(I227,[2]行业排放因子!$A:$B,2,0)</f>
        <v>6.0323112418060303</v>
      </c>
      <c r="K227" s="9" t="s">
        <v>756</v>
      </c>
    </row>
    <row r="228" spans="1:11" ht="12.5" customHeight="1" x14ac:dyDescent="0.25">
      <c r="A228" s="5" t="s">
        <v>878</v>
      </c>
      <c r="B228" s="6" t="s">
        <v>749</v>
      </c>
      <c r="C228" s="6" t="s">
        <v>859</v>
      </c>
      <c r="D228" s="6" t="s">
        <v>879</v>
      </c>
      <c r="E228" s="6" t="s">
        <v>880</v>
      </c>
      <c r="F228" s="6" t="s">
        <v>879</v>
      </c>
      <c r="G228" s="9"/>
      <c r="H228" s="9" t="s">
        <v>18</v>
      </c>
      <c r="I228" s="16" t="str">
        <f>VLOOKUP(F228,[1]完整分类结果!$E:$G,3,0)</f>
        <v>其他矿采选业</v>
      </c>
      <c r="J228" s="16">
        <f>VLOOKUP(I228,[2]行业排放因子!$A:$B,2,0)</f>
        <v>6.0323112418060303</v>
      </c>
      <c r="K228" s="9" t="s">
        <v>756</v>
      </c>
    </row>
    <row r="229" spans="1:11" ht="12.5" customHeight="1" x14ac:dyDescent="0.25">
      <c r="A229" s="5" t="s">
        <v>881</v>
      </c>
      <c r="B229" s="6" t="s">
        <v>749</v>
      </c>
      <c r="C229" s="6" t="s">
        <v>859</v>
      </c>
      <c r="D229" s="6" t="s">
        <v>882</v>
      </c>
      <c r="E229" s="6" t="s">
        <v>883</v>
      </c>
      <c r="F229" s="6" t="s">
        <v>882</v>
      </c>
      <c r="G229" s="9"/>
      <c r="H229" s="9" t="s">
        <v>18</v>
      </c>
      <c r="I229" s="16" t="str">
        <f>VLOOKUP(F229,[1]完整分类结果!$E:$G,3,0)</f>
        <v>其他矿采选业</v>
      </c>
      <c r="J229" s="16">
        <f>VLOOKUP(I229,[2]行业排放因子!$A:$B,2,0)</f>
        <v>6.0323112418060303</v>
      </c>
      <c r="K229" s="9" t="s">
        <v>756</v>
      </c>
    </row>
    <row r="230" spans="1:11" ht="12.5" customHeight="1" x14ac:dyDescent="0.25">
      <c r="A230" s="5" t="s">
        <v>884</v>
      </c>
      <c r="B230" s="6" t="s">
        <v>749</v>
      </c>
      <c r="C230" s="6" t="s">
        <v>859</v>
      </c>
      <c r="D230" s="6" t="s">
        <v>885</v>
      </c>
      <c r="E230" s="6" t="s">
        <v>886</v>
      </c>
      <c r="F230" s="6" t="s">
        <v>885</v>
      </c>
      <c r="G230" s="9"/>
      <c r="H230" s="9" t="s">
        <v>18</v>
      </c>
      <c r="I230" s="16" t="str">
        <f>VLOOKUP(F230,[1]完整分类结果!$E:$G,3,0)</f>
        <v>其他矿采选业</v>
      </c>
      <c r="J230" s="16">
        <f>VLOOKUP(I230,[2]行业排放因子!$A:$B,2,0)</f>
        <v>6.0323112418060303</v>
      </c>
      <c r="K230" s="9" t="s">
        <v>756</v>
      </c>
    </row>
    <row r="231" spans="1:11" ht="12.5" customHeight="1" x14ac:dyDescent="0.25">
      <c r="A231" s="5" t="s">
        <v>887</v>
      </c>
      <c r="B231" s="6" t="s">
        <v>749</v>
      </c>
      <c r="C231" s="6" t="s">
        <v>859</v>
      </c>
      <c r="D231" s="6" t="s">
        <v>888</v>
      </c>
      <c r="E231" s="6" t="s">
        <v>889</v>
      </c>
      <c r="F231" s="6" t="s">
        <v>888</v>
      </c>
      <c r="G231" s="9"/>
      <c r="H231" s="9" t="s">
        <v>18</v>
      </c>
      <c r="I231" s="16" t="str">
        <f>VLOOKUP(F231,[1]完整分类结果!$E:$G,3,0)</f>
        <v>其他矿采选业</v>
      </c>
      <c r="J231" s="16">
        <f>VLOOKUP(I231,[2]行业排放因子!$A:$B,2,0)</f>
        <v>6.0323112418060303</v>
      </c>
      <c r="K231" s="9" t="s">
        <v>756</v>
      </c>
    </row>
    <row r="232" spans="1:11" ht="12.5" customHeight="1" x14ac:dyDescent="0.25">
      <c r="A232" s="5" t="s">
        <v>890</v>
      </c>
      <c r="B232" s="6" t="s">
        <v>749</v>
      </c>
      <c r="C232" s="6" t="s">
        <v>859</v>
      </c>
      <c r="D232" s="6" t="s">
        <v>891</v>
      </c>
      <c r="E232" s="6" t="s">
        <v>892</v>
      </c>
      <c r="F232" s="6" t="s">
        <v>891</v>
      </c>
      <c r="G232" s="9"/>
      <c r="H232" s="9" t="s">
        <v>18</v>
      </c>
      <c r="I232" s="16" t="str">
        <f>VLOOKUP(F232,[1]完整分类结果!$E:$G,3,0)</f>
        <v>其他矿采选业</v>
      </c>
      <c r="J232" s="16">
        <f>VLOOKUP(I232,[2]行业排放因子!$A:$B,2,0)</f>
        <v>6.0323112418060303</v>
      </c>
      <c r="K232" s="9" t="s">
        <v>756</v>
      </c>
    </row>
    <row r="233" spans="1:11" ht="12.5" customHeight="1" x14ac:dyDescent="0.25">
      <c r="A233" s="5" t="s">
        <v>893</v>
      </c>
      <c r="B233" s="6" t="s">
        <v>749</v>
      </c>
      <c r="C233" s="6" t="s">
        <v>859</v>
      </c>
      <c r="D233" s="6" t="s">
        <v>894</v>
      </c>
      <c r="E233" s="6" t="s">
        <v>895</v>
      </c>
      <c r="F233" s="6" t="s">
        <v>894</v>
      </c>
      <c r="G233" s="9"/>
      <c r="H233" s="9" t="s">
        <v>18</v>
      </c>
      <c r="I233" s="16" t="str">
        <f>VLOOKUP(F233,[1]完整分类结果!$E:$G,3,0)</f>
        <v>其他矿采选业</v>
      </c>
      <c r="J233" s="16">
        <f>VLOOKUP(I233,[2]行业排放因子!$A:$B,2,0)</f>
        <v>6.0323112418060303</v>
      </c>
      <c r="K233" s="9" t="s">
        <v>756</v>
      </c>
    </row>
    <row r="234" spans="1:11" ht="12.5" customHeight="1" x14ac:dyDescent="0.25">
      <c r="A234" s="5" t="s">
        <v>896</v>
      </c>
      <c r="B234" s="6" t="s">
        <v>749</v>
      </c>
      <c r="C234" s="6" t="s">
        <v>859</v>
      </c>
      <c r="D234" s="6" t="s">
        <v>897</v>
      </c>
      <c r="E234" s="6" t="s">
        <v>898</v>
      </c>
      <c r="F234" s="6" t="s">
        <v>897</v>
      </c>
      <c r="G234" s="9"/>
      <c r="H234" s="9" t="s">
        <v>18</v>
      </c>
      <c r="I234" s="16" t="str">
        <f>VLOOKUP(F234,[1]完整分类结果!$E:$G,3,0)</f>
        <v>有色金属矿采选业</v>
      </c>
      <c r="J234" s="16">
        <f>VLOOKUP(I234,[2]行业排放因子!$A:$B,2,0)</f>
        <v>2.2025930407929399</v>
      </c>
      <c r="K234" s="9" t="s">
        <v>756</v>
      </c>
    </row>
    <row r="235" spans="1:11" ht="12.5" customHeight="1" x14ac:dyDescent="0.25">
      <c r="A235" s="5" t="s">
        <v>899</v>
      </c>
      <c r="B235" s="6" t="s">
        <v>749</v>
      </c>
      <c r="C235" s="6" t="s">
        <v>859</v>
      </c>
      <c r="D235" s="6" t="s">
        <v>900</v>
      </c>
      <c r="E235" s="6" t="s">
        <v>901</v>
      </c>
      <c r="F235" s="6" t="s">
        <v>900</v>
      </c>
      <c r="G235" s="9"/>
      <c r="H235" s="9" t="s">
        <v>18</v>
      </c>
      <c r="I235" s="16" t="str">
        <f>VLOOKUP(F235,[1]完整分类结果!$E:$G,3,0)</f>
        <v>其他矿采选业</v>
      </c>
      <c r="J235" s="16">
        <f>VLOOKUP(I235,[2]行业排放因子!$A:$B,2,0)</f>
        <v>6.0323112418060303</v>
      </c>
      <c r="K235" s="9" t="s">
        <v>756</v>
      </c>
    </row>
    <row r="236" spans="1:11" ht="12.5" customHeight="1" x14ac:dyDescent="0.25">
      <c r="A236" s="5" t="s">
        <v>902</v>
      </c>
      <c r="B236" s="6" t="s">
        <v>749</v>
      </c>
      <c r="C236" s="6" t="s">
        <v>859</v>
      </c>
      <c r="D236" s="6" t="s">
        <v>903</v>
      </c>
      <c r="E236" s="6" t="s">
        <v>904</v>
      </c>
      <c r="F236" s="6" t="s">
        <v>903</v>
      </c>
      <c r="G236" s="9"/>
      <c r="H236" s="9" t="s">
        <v>18</v>
      </c>
      <c r="I236" s="16" t="str">
        <f>VLOOKUP(F236,[1]完整分类结果!$E:$G,3,0)</f>
        <v>有色金属矿采选业</v>
      </c>
      <c r="J236" s="16">
        <f>VLOOKUP(I236,[2]行业排放因子!$A:$B,2,0)</f>
        <v>2.2025930407929399</v>
      </c>
      <c r="K236" s="9" t="s">
        <v>756</v>
      </c>
    </row>
    <row r="237" spans="1:11" ht="12.5" customHeight="1" x14ac:dyDescent="0.25">
      <c r="A237" s="5" t="s">
        <v>905</v>
      </c>
      <c r="B237" s="6" t="s">
        <v>749</v>
      </c>
      <c r="C237" s="6" t="s">
        <v>859</v>
      </c>
      <c r="D237" s="6" t="s">
        <v>906</v>
      </c>
      <c r="E237" s="6" t="s">
        <v>907</v>
      </c>
      <c r="F237" s="6" t="s">
        <v>906</v>
      </c>
      <c r="G237" s="9"/>
      <c r="H237" s="9" t="s">
        <v>18</v>
      </c>
      <c r="I237" s="16" t="str">
        <f>VLOOKUP(F237,[1]完整分类结果!$E:$G,3,0)</f>
        <v>有色金属矿采选业</v>
      </c>
      <c r="J237" s="16">
        <f>VLOOKUP(I237,[2]行业排放因子!$A:$B,2,0)</f>
        <v>2.2025930407929399</v>
      </c>
      <c r="K237" s="9" t="s">
        <v>756</v>
      </c>
    </row>
    <row r="238" spans="1:11" ht="12.5" customHeight="1" x14ac:dyDescent="0.25">
      <c r="A238" s="5" t="s">
        <v>908</v>
      </c>
      <c r="B238" s="6" t="s">
        <v>749</v>
      </c>
      <c r="C238" s="6" t="s">
        <v>859</v>
      </c>
      <c r="D238" s="6" t="s">
        <v>909</v>
      </c>
      <c r="E238" s="6" t="s">
        <v>910</v>
      </c>
      <c r="F238" s="6" t="s">
        <v>909</v>
      </c>
      <c r="G238" s="9"/>
      <c r="H238" s="9" t="s">
        <v>18</v>
      </c>
      <c r="I238" s="16" t="str">
        <f>VLOOKUP(F238,[1]完整分类结果!$E:$G,3,0)</f>
        <v>有色金属矿采选业</v>
      </c>
      <c r="J238" s="16">
        <f>VLOOKUP(I238,[2]行业排放因子!$A:$B,2,0)</f>
        <v>2.2025930407929399</v>
      </c>
      <c r="K238" s="9" t="s">
        <v>756</v>
      </c>
    </row>
    <row r="239" spans="1:11" ht="12.5" customHeight="1" x14ac:dyDescent="0.25">
      <c r="A239" s="5" t="s">
        <v>911</v>
      </c>
      <c r="B239" s="6" t="s">
        <v>749</v>
      </c>
      <c r="C239" s="6" t="s">
        <v>859</v>
      </c>
      <c r="D239" s="6" t="s">
        <v>912</v>
      </c>
      <c r="E239" s="6" t="s">
        <v>913</v>
      </c>
      <c r="F239" s="6" t="s">
        <v>912</v>
      </c>
      <c r="G239" s="9"/>
      <c r="H239" s="9" t="s">
        <v>18</v>
      </c>
      <c r="I239" s="16" t="str">
        <f>VLOOKUP(F239,[1]完整分类结果!$E:$G,3,0)</f>
        <v>有色金属矿采选业</v>
      </c>
      <c r="J239" s="16">
        <f>VLOOKUP(I239,[2]行业排放因子!$A:$B,2,0)</f>
        <v>2.2025930407929399</v>
      </c>
      <c r="K239" s="9" t="s">
        <v>756</v>
      </c>
    </row>
    <row r="240" spans="1:11" ht="12.5" customHeight="1" x14ac:dyDescent="0.25">
      <c r="A240" s="5" t="s">
        <v>914</v>
      </c>
      <c r="B240" s="6" t="s">
        <v>749</v>
      </c>
      <c r="C240" s="6" t="s">
        <v>859</v>
      </c>
      <c r="D240" s="6" t="s">
        <v>915</v>
      </c>
      <c r="E240" s="6" t="s">
        <v>916</v>
      </c>
      <c r="F240" s="6" t="s">
        <v>915</v>
      </c>
      <c r="G240" s="9"/>
      <c r="H240" s="9" t="s">
        <v>18</v>
      </c>
      <c r="I240" s="16" t="str">
        <f>VLOOKUP(F240,[1]完整分类结果!$E:$G,3,0)</f>
        <v>其他矿采选业</v>
      </c>
      <c r="J240" s="16">
        <f>VLOOKUP(I240,[2]行业排放因子!$A:$B,2,0)</f>
        <v>6.0323112418060303</v>
      </c>
      <c r="K240" s="9" t="s">
        <v>756</v>
      </c>
    </row>
    <row r="241" spans="1:11" ht="12.5" customHeight="1" x14ac:dyDescent="0.25">
      <c r="A241" s="5" t="s">
        <v>917</v>
      </c>
      <c r="B241" s="6" t="s">
        <v>749</v>
      </c>
      <c r="C241" s="6" t="s">
        <v>859</v>
      </c>
      <c r="D241" s="6" t="s">
        <v>918</v>
      </c>
      <c r="E241" s="6" t="s">
        <v>919</v>
      </c>
      <c r="F241" s="6" t="s">
        <v>918</v>
      </c>
      <c r="G241" s="9"/>
      <c r="H241" s="9" t="s">
        <v>18</v>
      </c>
      <c r="I241" s="16" t="str">
        <f>VLOOKUP(F241,[1]完整分类结果!$E:$G,3,0)</f>
        <v>其他矿采选业</v>
      </c>
      <c r="J241" s="16">
        <f>VLOOKUP(I241,[2]行业排放因子!$A:$B,2,0)</f>
        <v>6.0323112418060303</v>
      </c>
      <c r="K241" s="9" t="s">
        <v>756</v>
      </c>
    </row>
    <row r="242" spans="1:11" ht="12.5" customHeight="1" x14ac:dyDescent="0.25">
      <c r="A242" s="5" t="s">
        <v>920</v>
      </c>
      <c r="B242" s="6" t="s">
        <v>749</v>
      </c>
      <c r="C242" s="6" t="s">
        <v>859</v>
      </c>
      <c r="D242" s="6" t="s">
        <v>921</v>
      </c>
      <c r="E242" s="6" t="s">
        <v>922</v>
      </c>
      <c r="F242" s="6" t="s">
        <v>921</v>
      </c>
      <c r="G242" s="9"/>
      <c r="H242" s="9" t="s">
        <v>18</v>
      </c>
      <c r="I242" s="16" t="str">
        <f>VLOOKUP(F242,[1]完整分类结果!$E:$G,3,0)</f>
        <v>有色金属矿采选业</v>
      </c>
      <c r="J242" s="16">
        <f>VLOOKUP(I242,[2]行业排放因子!$A:$B,2,0)</f>
        <v>2.2025930407929399</v>
      </c>
      <c r="K242" s="9" t="s">
        <v>756</v>
      </c>
    </row>
    <row r="243" spans="1:11" ht="12.5" customHeight="1" x14ac:dyDescent="0.25">
      <c r="A243" s="5" t="s">
        <v>923</v>
      </c>
      <c r="B243" s="6" t="s">
        <v>749</v>
      </c>
      <c r="C243" s="6" t="s">
        <v>859</v>
      </c>
      <c r="D243" s="6" t="s">
        <v>924</v>
      </c>
      <c r="E243" s="6" t="s">
        <v>925</v>
      </c>
      <c r="F243" s="6" t="s">
        <v>924</v>
      </c>
      <c r="G243" s="9"/>
      <c r="H243" s="9" t="s">
        <v>18</v>
      </c>
      <c r="I243" s="16" t="str">
        <f>VLOOKUP(F243,[1]完整分类结果!$E:$G,3,0)</f>
        <v>有色金属矿采选业</v>
      </c>
      <c r="J243" s="16">
        <f>VLOOKUP(I243,[2]行业排放因子!$A:$B,2,0)</f>
        <v>2.2025930407929399</v>
      </c>
      <c r="K243" s="9" t="s">
        <v>756</v>
      </c>
    </row>
    <row r="244" spans="1:11" ht="12.5" customHeight="1" x14ac:dyDescent="0.25">
      <c r="A244" s="5" t="s">
        <v>926</v>
      </c>
      <c r="B244" s="6" t="s">
        <v>749</v>
      </c>
      <c r="C244" s="6" t="s">
        <v>859</v>
      </c>
      <c r="D244" s="6" t="s">
        <v>927</v>
      </c>
      <c r="E244" s="6" t="s">
        <v>928</v>
      </c>
      <c r="F244" s="6" t="s">
        <v>927</v>
      </c>
      <c r="G244" s="9"/>
      <c r="H244" s="9" t="s">
        <v>18</v>
      </c>
      <c r="I244" s="16" t="str">
        <f>VLOOKUP(F244,[1]完整分类结果!$E:$G,3,0)</f>
        <v>有色金属矿采选业</v>
      </c>
      <c r="J244" s="16">
        <f>VLOOKUP(I244,[2]行业排放因子!$A:$B,2,0)</f>
        <v>2.2025930407929399</v>
      </c>
      <c r="K244" s="9" t="s">
        <v>756</v>
      </c>
    </row>
    <row r="245" spans="1:11" ht="12.5" customHeight="1" x14ac:dyDescent="0.25">
      <c r="A245" s="5" t="s">
        <v>929</v>
      </c>
      <c r="B245" s="6" t="s">
        <v>749</v>
      </c>
      <c r="C245" s="6" t="s">
        <v>859</v>
      </c>
      <c r="D245" s="6" t="s">
        <v>930</v>
      </c>
      <c r="E245" s="6" t="s">
        <v>931</v>
      </c>
      <c r="F245" s="6" t="s">
        <v>930</v>
      </c>
      <c r="G245" s="9"/>
      <c r="H245" s="9" t="s">
        <v>18</v>
      </c>
      <c r="I245" s="16" t="str">
        <f>VLOOKUP(F245,[1]完整分类结果!$E:$G,3,0)</f>
        <v>有色金属矿采选业</v>
      </c>
      <c r="J245" s="16">
        <f>VLOOKUP(I245,[2]行业排放因子!$A:$B,2,0)</f>
        <v>2.2025930407929399</v>
      </c>
      <c r="K245" s="9" t="s">
        <v>756</v>
      </c>
    </row>
    <row r="246" spans="1:11" ht="12.5" customHeight="1" x14ac:dyDescent="0.25">
      <c r="A246" s="5" t="s">
        <v>932</v>
      </c>
      <c r="B246" s="6" t="s">
        <v>749</v>
      </c>
      <c r="C246" s="6" t="s">
        <v>933</v>
      </c>
      <c r="D246" s="6" t="s">
        <v>934</v>
      </c>
      <c r="E246" s="6" t="s">
        <v>935</v>
      </c>
      <c r="F246" s="6" t="s">
        <v>934</v>
      </c>
      <c r="G246" s="9"/>
      <c r="H246" s="9" t="s">
        <v>18</v>
      </c>
      <c r="I246" s="16" t="str">
        <f>VLOOKUP(F246,[1]完整分类结果!$E:$G,3,0)</f>
        <v>其他矿采选业</v>
      </c>
      <c r="J246" s="16">
        <f>VLOOKUP(I246,[2]行业排放因子!$A:$B,2,0)</f>
        <v>6.0323112418060303</v>
      </c>
      <c r="K246" s="9" t="s">
        <v>756</v>
      </c>
    </row>
    <row r="247" spans="1:11" ht="12.5" customHeight="1" x14ac:dyDescent="0.25">
      <c r="A247" s="5" t="s">
        <v>936</v>
      </c>
      <c r="B247" s="6" t="s">
        <v>749</v>
      </c>
      <c r="C247" s="6" t="s">
        <v>933</v>
      </c>
      <c r="D247" s="6" t="s">
        <v>937</v>
      </c>
      <c r="E247" s="6" t="s">
        <v>938</v>
      </c>
      <c r="F247" s="6" t="s">
        <v>937</v>
      </c>
      <c r="G247" s="9"/>
      <c r="H247" s="9" t="s">
        <v>18</v>
      </c>
      <c r="I247" s="16" t="str">
        <f>VLOOKUP(F247,[1]完整分类结果!$E:$G,3,0)</f>
        <v>其他矿采选业</v>
      </c>
      <c r="J247" s="16">
        <f>VLOOKUP(I247,[2]行业排放因子!$A:$B,2,0)</f>
        <v>6.0323112418060303</v>
      </c>
      <c r="K247" s="9" t="s">
        <v>756</v>
      </c>
    </row>
    <row r="248" spans="1:11" ht="12.5" customHeight="1" x14ac:dyDescent="0.25">
      <c r="A248" s="5" t="s">
        <v>939</v>
      </c>
      <c r="B248" s="6" t="s">
        <v>749</v>
      </c>
      <c r="C248" s="6" t="s">
        <v>940</v>
      </c>
      <c r="D248" s="6" t="s">
        <v>941</v>
      </c>
      <c r="E248" s="6" t="s">
        <v>942</v>
      </c>
      <c r="F248" s="6" t="s">
        <v>941</v>
      </c>
      <c r="G248" s="9"/>
      <c r="H248" s="9" t="s">
        <v>18</v>
      </c>
      <c r="I248" s="16" t="str">
        <f>VLOOKUP(F248,[1]完整分类结果!$E:$G,3,0)</f>
        <v>其他矿采选业</v>
      </c>
      <c r="J248" s="16">
        <f>VLOOKUP(I248,[2]行业排放因子!$A:$B,2,0)</f>
        <v>6.0323112418060303</v>
      </c>
      <c r="K248" s="9" t="s">
        <v>756</v>
      </c>
    </row>
    <row r="249" spans="1:11" ht="12.5" customHeight="1" x14ac:dyDescent="0.25">
      <c r="A249" s="5" t="s">
        <v>943</v>
      </c>
      <c r="B249" s="6" t="s">
        <v>749</v>
      </c>
      <c r="C249" s="6" t="s">
        <v>940</v>
      </c>
      <c r="D249" s="6" t="s">
        <v>944</v>
      </c>
      <c r="E249" s="6" t="s">
        <v>942</v>
      </c>
      <c r="F249" s="6" t="s">
        <v>944</v>
      </c>
      <c r="G249" s="9"/>
      <c r="H249" s="9" t="s">
        <v>18</v>
      </c>
      <c r="I249" s="16" t="str">
        <f>VLOOKUP(F249,[1]完整分类结果!$E:$G,3,0)</f>
        <v>其他矿采选业</v>
      </c>
      <c r="J249" s="16">
        <f>VLOOKUP(I249,[2]行业排放因子!$A:$B,2,0)</f>
        <v>6.0323112418060303</v>
      </c>
      <c r="K249" s="9" t="s">
        <v>756</v>
      </c>
    </row>
    <row r="250" spans="1:11" ht="12.5" customHeight="1" x14ac:dyDescent="0.25">
      <c r="A250" s="5" t="s">
        <v>945</v>
      </c>
      <c r="B250" s="6" t="s">
        <v>749</v>
      </c>
      <c r="C250" s="6" t="s">
        <v>940</v>
      </c>
      <c r="D250" s="6" t="s">
        <v>946</v>
      </c>
      <c r="E250" s="6" t="s">
        <v>947</v>
      </c>
      <c r="F250" s="6" t="s">
        <v>946</v>
      </c>
      <c r="G250" s="9"/>
      <c r="H250" s="9" t="s">
        <v>18</v>
      </c>
      <c r="I250" s="16" t="str">
        <f>VLOOKUP(F250,[1]完整分类结果!$E:$G,3,0)</f>
        <v>其他矿采选业</v>
      </c>
      <c r="J250" s="16">
        <f>VLOOKUP(I250,[2]行业排放因子!$A:$B,2,0)</f>
        <v>6.0323112418060303</v>
      </c>
      <c r="K250" s="9" t="s">
        <v>756</v>
      </c>
    </row>
    <row r="251" spans="1:11" ht="12.5" customHeight="1" x14ac:dyDescent="0.25">
      <c r="A251" s="5" t="s">
        <v>948</v>
      </c>
      <c r="B251" s="6" t="s">
        <v>749</v>
      </c>
      <c r="C251" s="6" t="s">
        <v>940</v>
      </c>
      <c r="D251" s="6" t="s">
        <v>949</v>
      </c>
      <c r="E251" s="6" t="s">
        <v>950</v>
      </c>
      <c r="F251" s="6" t="s">
        <v>949</v>
      </c>
      <c r="G251" s="9"/>
      <c r="H251" s="9" t="s">
        <v>18</v>
      </c>
      <c r="I251" s="16" t="str">
        <f>VLOOKUP(F251,[1]完整分类结果!$E:$G,3,0)</f>
        <v>其他矿采选业</v>
      </c>
      <c r="J251" s="16">
        <f>VLOOKUP(I251,[2]行业排放因子!$A:$B,2,0)</f>
        <v>6.0323112418060303</v>
      </c>
      <c r="K251" s="9" t="s">
        <v>756</v>
      </c>
    </row>
    <row r="252" spans="1:11" ht="12.5" customHeight="1" x14ac:dyDescent="0.25">
      <c r="A252" s="5" t="s">
        <v>951</v>
      </c>
      <c r="B252" s="6" t="s">
        <v>749</v>
      </c>
      <c r="C252" s="6" t="s">
        <v>940</v>
      </c>
      <c r="D252" s="6" t="s">
        <v>952</v>
      </c>
      <c r="E252" s="6" t="s">
        <v>953</v>
      </c>
      <c r="F252" s="6" t="s">
        <v>952</v>
      </c>
      <c r="G252" s="9"/>
      <c r="H252" s="9" t="s">
        <v>18</v>
      </c>
      <c r="I252" s="16" t="str">
        <f>VLOOKUP(F252,[1]完整分类结果!$E:$G,3,0)</f>
        <v>其他矿采选业</v>
      </c>
      <c r="J252" s="16">
        <f>VLOOKUP(I252,[2]行业排放因子!$A:$B,2,0)</f>
        <v>6.0323112418060303</v>
      </c>
      <c r="K252" s="9" t="s">
        <v>756</v>
      </c>
    </row>
    <row r="253" spans="1:11" ht="12.5" customHeight="1" x14ac:dyDescent="0.25">
      <c r="A253" s="5" t="s">
        <v>954</v>
      </c>
      <c r="B253" s="6" t="s">
        <v>749</v>
      </c>
      <c r="C253" s="6" t="s">
        <v>940</v>
      </c>
      <c r="D253" s="6" t="s">
        <v>955</v>
      </c>
      <c r="E253" s="6" t="s">
        <v>956</v>
      </c>
      <c r="F253" s="6" t="s">
        <v>955</v>
      </c>
      <c r="G253" s="9"/>
      <c r="H253" s="9" t="s">
        <v>18</v>
      </c>
      <c r="I253" s="16" t="str">
        <f>VLOOKUP(F253,[1]完整分类结果!$E:$G,3,0)</f>
        <v>其他矿采选业</v>
      </c>
      <c r="J253" s="16">
        <f>VLOOKUP(I253,[2]行业排放因子!$A:$B,2,0)</f>
        <v>6.0323112418060303</v>
      </c>
      <c r="K253" s="9" t="s">
        <v>756</v>
      </c>
    </row>
    <row r="254" spans="1:11" ht="12.5" customHeight="1" x14ac:dyDescent="0.25">
      <c r="A254" s="5" t="s">
        <v>957</v>
      </c>
      <c r="B254" s="6" t="s">
        <v>749</v>
      </c>
      <c r="C254" s="6" t="s">
        <v>958</v>
      </c>
      <c r="D254" s="6" t="s">
        <v>959</v>
      </c>
      <c r="E254" s="6" t="s">
        <v>960</v>
      </c>
      <c r="F254" s="6" t="s">
        <v>959</v>
      </c>
      <c r="G254" s="9"/>
      <c r="H254" s="9" t="s">
        <v>18</v>
      </c>
      <c r="I254" s="16" t="str">
        <f>VLOOKUP(F254,[1]完整分类结果!$E:$G,3,0)</f>
        <v>其他矿采选业</v>
      </c>
      <c r="J254" s="16">
        <f>VLOOKUP(I254,[2]行业排放因子!$A:$B,2,0)</f>
        <v>6.0323112418060303</v>
      </c>
      <c r="K254" s="9" t="s">
        <v>756</v>
      </c>
    </row>
    <row r="255" spans="1:11" ht="12.5" customHeight="1" x14ac:dyDescent="0.25">
      <c r="A255" s="5" t="s">
        <v>961</v>
      </c>
      <c r="B255" s="6" t="s">
        <v>749</v>
      </c>
      <c r="C255" s="6" t="s">
        <v>958</v>
      </c>
      <c r="D255" s="6" t="s">
        <v>962</v>
      </c>
      <c r="E255" s="6" t="s">
        <v>963</v>
      </c>
      <c r="F255" s="6" t="s">
        <v>962</v>
      </c>
      <c r="G255" s="9"/>
      <c r="H255" s="9" t="s">
        <v>18</v>
      </c>
      <c r="I255" s="16" t="str">
        <f>VLOOKUP(F255,[1]完整分类结果!$E:$G,3,0)</f>
        <v>其他矿采选业</v>
      </c>
      <c r="J255" s="16">
        <f>VLOOKUP(I255,[2]行业排放因子!$A:$B,2,0)</f>
        <v>6.0323112418060303</v>
      </c>
      <c r="K255" s="9" t="s">
        <v>756</v>
      </c>
    </row>
    <row r="256" spans="1:11" ht="12.5" customHeight="1" x14ac:dyDescent="0.25">
      <c r="A256" s="5" t="s">
        <v>964</v>
      </c>
      <c r="B256" s="6" t="s">
        <v>749</v>
      </c>
      <c r="C256" s="6" t="s">
        <v>958</v>
      </c>
      <c r="D256" s="6" t="s">
        <v>965</v>
      </c>
      <c r="E256" s="6" t="s">
        <v>966</v>
      </c>
      <c r="F256" s="6" t="s">
        <v>965</v>
      </c>
      <c r="G256" s="9"/>
      <c r="H256" s="9" t="s">
        <v>18</v>
      </c>
      <c r="I256" s="16" t="str">
        <f>VLOOKUP(F256,[1]完整分类结果!$E:$G,3,0)</f>
        <v>其他矿采选业</v>
      </c>
      <c r="J256" s="16">
        <f>VLOOKUP(I256,[2]行业排放因子!$A:$B,2,0)</f>
        <v>6.0323112418060303</v>
      </c>
      <c r="K256" s="9" t="s">
        <v>756</v>
      </c>
    </row>
    <row r="257" spans="1:11" ht="12.5" customHeight="1" x14ac:dyDescent="0.25">
      <c r="A257" s="5" t="s">
        <v>967</v>
      </c>
      <c r="B257" s="6" t="s">
        <v>749</v>
      </c>
      <c r="C257" s="6" t="s">
        <v>958</v>
      </c>
      <c r="D257" s="6" t="s">
        <v>968</v>
      </c>
      <c r="E257" s="6" t="s">
        <v>969</v>
      </c>
      <c r="F257" s="6" t="s">
        <v>968</v>
      </c>
      <c r="G257" s="9"/>
      <c r="H257" s="9" t="s">
        <v>18</v>
      </c>
      <c r="I257" s="16" t="str">
        <f>VLOOKUP(F257,[1]完整分类结果!$E:$G,3,0)</f>
        <v>其他矿采选业</v>
      </c>
      <c r="J257" s="16">
        <f>VLOOKUP(I257,[2]行业排放因子!$A:$B,2,0)</f>
        <v>6.0323112418060303</v>
      </c>
      <c r="K257" s="9" t="s">
        <v>756</v>
      </c>
    </row>
    <row r="258" spans="1:11" ht="12.5" customHeight="1" x14ac:dyDescent="0.25">
      <c r="A258" s="5" t="s">
        <v>970</v>
      </c>
      <c r="B258" s="6" t="s">
        <v>749</v>
      </c>
      <c r="C258" s="6" t="s">
        <v>958</v>
      </c>
      <c r="D258" s="6" t="s">
        <v>971</v>
      </c>
      <c r="E258" s="6" t="s">
        <v>972</v>
      </c>
      <c r="F258" s="6" t="s">
        <v>971</v>
      </c>
      <c r="G258" s="9"/>
      <c r="H258" s="9" t="s">
        <v>18</v>
      </c>
      <c r="I258" s="16" t="str">
        <f>VLOOKUP(F258,[1]完整分类结果!$E:$G,3,0)</f>
        <v>其他矿采选业</v>
      </c>
      <c r="J258" s="16">
        <f>VLOOKUP(I258,[2]行业排放因子!$A:$B,2,0)</f>
        <v>6.0323112418060303</v>
      </c>
      <c r="K258" s="9" t="s">
        <v>756</v>
      </c>
    </row>
    <row r="259" spans="1:11" ht="12.5" customHeight="1" x14ac:dyDescent="0.25">
      <c r="A259" s="5" t="s">
        <v>973</v>
      </c>
      <c r="B259" s="6" t="s">
        <v>749</v>
      </c>
      <c r="C259" s="6" t="s">
        <v>958</v>
      </c>
      <c r="D259" s="6" t="s">
        <v>974</v>
      </c>
      <c r="E259" s="6" t="s">
        <v>975</v>
      </c>
      <c r="F259" s="6" t="s">
        <v>974</v>
      </c>
      <c r="G259" s="9"/>
      <c r="H259" s="9" t="s">
        <v>18</v>
      </c>
      <c r="I259" s="16" t="str">
        <f>VLOOKUP(F259,[1]完整分类结果!$E:$G,3,0)</f>
        <v>其他矿采选业</v>
      </c>
      <c r="J259" s="16">
        <f>VLOOKUP(I259,[2]行业排放因子!$A:$B,2,0)</f>
        <v>6.0323112418060303</v>
      </c>
      <c r="K259" s="9" t="s">
        <v>756</v>
      </c>
    </row>
    <row r="260" spans="1:11" ht="12.5" customHeight="1" x14ac:dyDescent="0.25">
      <c r="A260" s="5" t="s">
        <v>976</v>
      </c>
      <c r="B260" s="6" t="s">
        <v>749</v>
      </c>
      <c r="C260" s="6" t="s">
        <v>958</v>
      </c>
      <c r="D260" s="6" t="s">
        <v>977</v>
      </c>
      <c r="E260" s="6" t="s">
        <v>978</v>
      </c>
      <c r="F260" s="6" t="s">
        <v>977</v>
      </c>
      <c r="G260" s="9"/>
      <c r="H260" s="9" t="s">
        <v>18</v>
      </c>
      <c r="I260" s="16" t="str">
        <f>VLOOKUP(F260,[1]完整分类结果!$E:$G,3,0)</f>
        <v>其他矿采选业</v>
      </c>
      <c r="J260" s="16">
        <f>VLOOKUP(I260,[2]行业排放因子!$A:$B,2,0)</f>
        <v>6.0323112418060303</v>
      </c>
      <c r="K260" s="9" t="s">
        <v>756</v>
      </c>
    </row>
    <row r="261" spans="1:11" ht="12.5" customHeight="1" x14ac:dyDescent="0.25">
      <c r="A261" s="5" t="s">
        <v>979</v>
      </c>
      <c r="B261" s="6" t="s">
        <v>749</v>
      </c>
      <c r="C261" s="6" t="s">
        <v>958</v>
      </c>
      <c r="D261" s="6" t="s">
        <v>980</v>
      </c>
      <c r="E261" s="6" t="s">
        <v>981</v>
      </c>
      <c r="F261" s="6" t="s">
        <v>980</v>
      </c>
      <c r="G261" s="9"/>
      <c r="H261" s="9" t="s">
        <v>18</v>
      </c>
      <c r="I261" s="16" t="str">
        <f>VLOOKUP(F261,[1]完整分类结果!$E:$G,3,0)</f>
        <v>其他矿采选业</v>
      </c>
      <c r="J261" s="16">
        <f>VLOOKUP(I261,[2]行业排放因子!$A:$B,2,0)</f>
        <v>6.0323112418060303</v>
      </c>
      <c r="K261" s="9" t="s">
        <v>756</v>
      </c>
    </row>
    <row r="262" spans="1:11" ht="12.5" customHeight="1" x14ac:dyDescent="0.25">
      <c r="A262" s="5" t="s">
        <v>982</v>
      </c>
      <c r="B262" s="6" t="s">
        <v>749</v>
      </c>
      <c r="C262" s="6" t="s">
        <v>958</v>
      </c>
      <c r="D262" s="6" t="s">
        <v>983</v>
      </c>
      <c r="E262" s="6" t="s">
        <v>984</v>
      </c>
      <c r="F262" s="6" t="s">
        <v>983</v>
      </c>
      <c r="G262" s="9"/>
      <c r="H262" s="9" t="s">
        <v>18</v>
      </c>
      <c r="I262" s="16" t="str">
        <f>VLOOKUP(F262,[1]完整分类结果!$E:$G,3,0)</f>
        <v>其他矿采选业</v>
      </c>
      <c r="J262" s="16">
        <f>VLOOKUP(I262,[2]行业排放因子!$A:$B,2,0)</f>
        <v>6.0323112418060303</v>
      </c>
      <c r="K262" s="9" t="s">
        <v>756</v>
      </c>
    </row>
    <row r="263" spans="1:11" ht="12.5" customHeight="1" x14ac:dyDescent="0.25">
      <c r="A263" s="5" t="s">
        <v>985</v>
      </c>
      <c r="B263" s="6" t="s">
        <v>749</v>
      </c>
      <c r="C263" s="6" t="s">
        <v>958</v>
      </c>
      <c r="D263" s="6" t="s">
        <v>986</v>
      </c>
      <c r="E263" s="6" t="s">
        <v>987</v>
      </c>
      <c r="F263" s="6" t="s">
        <v>986</v>
      </c>
      <c r="G263" s="9"/>
      <c r="H263" s="9" t="s">
        <v>18</v>
      </c>
      <c r="I263" s="16" t="str">
        <f>VLOOKUP(F263,[1]完整分类结果!$E:$G,3,0)</f>
        <v>其他矿采选业</v>
      </c>
      <c r="J263" s="16">
        <f>VLOOKUP(I263,[2]行业排放因子!$A:$B,2,0)</f>
        <v>6.0323112418060303</v>
      </c>
      <c r="K263" s="9" t="s">
        <v>756</v>
      </c>
    </row>
    <row r="264" spans="1:11" ht="12.5" customHeight="1" x14ac:dyDescent="0.25">
      <c r="A264" s="5" t="s">
        <v>988</v>
      </c>
      <c r="B264" s="6" t="s">
        <v>749</v>
      </c>
      <c r="C264" s="6" t="s">
        <v>989</v>
      </c>
      <c r="D264" s="6" t="s">
        <v>990</v>
      </c>
      <c r="E264" s="6" t="s">
        <v>991</v>
      </c>
      <c r="F264" s="6" t="s">
        <v>990</v>
      </c>
      <c r="G264" s="9"/>
      <c r="H264" s="9" t="s">
        <v>18</v>
      </c>
      <c r="I264" s="16" t="str">
        <f>VLOOKUP(F264,[1]完整分类结果!$E:$G,3,0)</f>
        <v>其他矿采选业</v>
      </c>
      <c r="J264" s="16">
        <f>VLOOKUP(I264,[2]行业排放因子!$A:$B,2,0)</f>
        <v>6.0323112418060303</v>
      </c>
      <c r="K264" s="9" t="s">
        <v>756</v>
      </c>
    </row>
    <row r="265" spans="1:11" ht="12.5" customHeight="1" x14ac:dyDescent="0.25">
      <c r="A265" s="5" t="s">
        <v>992</v>
      </c>
      <c r="B265" s="6" t="s">
        <v>749</v>
      </c>
      <c r="C265" s="6" t="s">
        <v>989</v>
      </c>
      <c r="D265" s="6" t="s">
        <v>993</v>
      </c>
      <c r="E265" s="6" t="s">
        <v>994</v>
      </c>
      <c r="F265" s="6" t="s">
        <v>993</v>
      </c>
      <c r="G265" s="9"/>
      <c r="H265" s="9" t="s">
        <v>18</v>
      </c>
      <c r="I265" s="16" t="str">
        <f>VLOOKUP(F265,[1]完整分类结果!$E:$G,3,0)</f>
        <v>其他矿采选业</v>
      </c>
      <c r="J265" s="16">
        <f>VLOOKUP(I265,[2]行业排放因子!$A:$B,2,0)</f>
        <v>6.0323112418060303</v>
      </c>
      <c r="K265" s="9" t="s">
        <v>756</v>
      </c>
    </row>
    <row r="266" spans="1:11" ht="12.5" customHeight="1" x14ac:dyDescent="0.25">
      <c r="A266" s="5" t="s">
        <v>995</v>
      </c>
      <c r="B266" s="6" t="s">
        <v>749</v>
      </c>
      <c r="C266" s="6" t="s">
        <v>989</v>
      </c>
      <c r="D266" s="6" t="s">
        <v>996</v>
      </c>
      <c r="E266" s="6" t="s">
        <v>997</v>
      </c>
      <c r="F266" s="6" t="s">
        <v>996</v>
      </c>
      <c r="G266" s="9"/>
      <c r="H266" s="9" t="s">
        <v>18</v>
      </c>
      <c r="I266" s="16" t="str">
        <f>VLOOKUP(F266,[1]完整分类结果!$E:$G,3,0)</f>
        <v>其他矿采选业</v>
      </c>
      <c r="J266" s="16">
        <f>VLOOKUP(I266,[2]行业排放因子!$A:$B,2,0)</f>
        <v>6.0323112418060303</v>
      </c>
      <c r="K266" s="9" t="s">
        <v>756</v>
      </c>
    </row>
    <row r="267" spans="1:11" ht="12.5" customHeight="1" x14ac:dyDescent="0.25">
      <c r="A267" s="5" t="s">
        <v>998</v>
      </c>
      <c r="B267" s="6" t="s">
        <v>749</v>
      </c>
      <c r="C267" s="6" t="s">
        <v>989</v>
      </c>
      <c r="D267" s="6" t="s">
        <v>999</v>
      </c>
      <c r="E267" s="6" t="s">
        <v>1000</v>
      </c>
      <c r="F267" s="6" t="s">
        <v>999</v>
      </c>
      <c r="G267" s="9"/>
      <c r="H267" s="9" t="s">
        <v>18</v>
      </c>
      <c r="I267" s="16" t="str">
        <f>VLOOKUP(F267,[1]完整分类结果!$E:$G,3,0)</f>
        <v>其他矿采选业</v>
      </c>
      <c r="J267" s="16">
        <f>VLOOKUP(I267,[2]行业排放因子!$A:$B,2,0)</f>
        <v>6.0323112418060303</v>
      </c>
      <c r="K267" s="9" t="s">
        <v>756</v>
      </c>
    </row>
    <row r="268" spans="1:11" ht="12.5" customHeight="1" x14ac:dyDescent="0.25">
      <c r="A268" s="5" t="s">
        <v>1001</v>
      </c>
      <c r="B268" s="6" t="s">
        <v>749</v>
      </c>
      <c r="C268" s="6" t="s">
        <v>989</v>
      </c>
      <c r="D268" s="6" t="s">
        <v>1002</v>
      </c>
      <c r="E268" s="6" t="s">
        <v>1003</v>
      </c>
      <c r="F268" s="6" t="s">
        <v>1002</v>
      </c>
      <c r="G268" s="9"/>
      <c r="H268" s="9" t="s">
        <v>18</v>
      </c>
      <c r="I268" s="16" t="str">
        <f>VLOOKUP(F268,[1]完整分类结果!$E:$G,3,0)</f>
        <v>其他矿采选业</v>
      </c>
      <c r="J268" s="16">
        <f>VLOOKUP(I268,[2]行业排放因子!$A:$B,2,0)</f>
        <v>6.0323112418060303</v>
      </c>
      <c r="K268" s="9" t="s">
        <v>756</v>
      </c>
    </row>
    <row r="269" spans="1:11" ht="12.5" customHeight="1" x14ac:dyDescent="0.25">
      <c r="A269" s="5" t="s">
        <v>1004</v>
      </c>
      <c r="B269" s="6" t="s">
        <v>749</v>
      </c>
      <c r="C269" s="6" t="s">
        <v>989</v>
      </c>
      <c r="D269" s="6" t="s">
        <v>1005</v>
      </c>
      <c r="E269" s="6" t="s">
        <v>1006</v>
      </c>
      <c r="F269" s="6" t="s">
        <v>1005</v>
      </c>
      <c r="G269" s="9"/>
      <c r="H269" s="9" t="s">
        <v>18</v>
      </c>
      <c r="I269" s="16" t="str">
        <f>VLOOKUP(F269,[1]完整分类结果!$E:$G,3,0)</f>
        <v>其他矿采选业</v>
      </c>
      <c r="J269" s="16">
        <f>VLOOKUP(I269,[2]行业排放因子!$A:$B,2,0)</f>
        <v>6.0323112418060303</v>
      </c>
      <c r="K269" s="9" t="s">
        <v>756</v>
      </c>
    </row>
    <row r="270" spans="1:11" ht="12.5" customHeight="1" x14ac:dyDescent="0.25">
      <c r="A270" s="5" t="s">
        <v>1007</v>
      </c>
      <c r="B270" s="6" t="s">
        <v>749</v>
      </c>
      <c r="C270" s="6" t="s">
        <v>989</v>
      </c>
      <c r="D270" s="6" t="s">
        <v>1008</v>
      </c>
      <c r="E270" s="6" t="s">
        <v>1009</v>
      </c>
      <c r="F270" s="6" t="s">
        <v>1008</v>
      </c>
      <c r="G270" s="9"/>
      <c r="H270" s="9" t="s">
        <v>18</v>
      </c>
      <c r="I270" s="16" t="str">
        <f>VLOOKUP(F270,[1]完整分类结果!$E:$G,3,0)</f>
        <v>其他矿采选业</v>
      </c>
      <c r="J270" s="16">
        <f>VLOOKUP(I270,[2]行业排放因子!$A:$B,2,0)</f>
        <v>6.0323112418060303</v>
      </c>
      <c r="K270" s="9" t="s">
        <v>756</v>
      </c>
    </row>
    <row r="271" spans="1:11" ht="12.5" customHeight="1" x14ac:dyDescent="0.25">
      <c r="A271" s="5" t="s">
        <v>1010</v>
      </c>
      <c r="B271" s="6" t="s">
        <v>749</v>
      </c>
      <c r="C271" s="6" t="s">
        <v>989</v>
      </c>
      <c r="D271" s="6" t="s">
        <v>1011</v>
      </c>
      <c r="E271" s="6" t="s">
        <v>1012</v>
      </c>
      <c r="F271" s="6" t="s">
        <v>1011</v>
      </c>
      <c r="G271" s="9"/>
      <c r="H271" s="9" t="s">
        <v>18</v>
      </c>
      <c r="I271" s="16" t="str">
        <f>VLOOKUP(F271,[1]完整分类结果!$E:$G,3,0)</f>
        <v>其他矿采选业</v>
      </c>
      <c r="J271" s="16">
        <f>VLOOKUP(I271,[2]行业排放因子!$A:$B,2,0)</f>
        <v>6.0323112418060303</v>
      </c>
      <c r="K271" s="9" t="s">
        <v>756</v>
      </c>
    </row>
    <row r="272" spans="1:11" ht="12.5" customHeight="1" x14ac:dyDescent="0.25">
      <c r="A272" s="5" t="s">
        <v>1013</v>
      </c>
      <c r="B272" s="6" t="s">
        <v>749</v>
      </c>
      <c r="C272" s="6" t="s">
        <v>989</v>
      </c>
      <c r="D272" s="6" t="s">
        <v>872</v>
      </c>
      <c r="E272" s="6" t="s">
        <v>1014</v>
      </c>
      <c r="F272" s="6" t="s">
        <v>1015</v>
      </c>
      <c r="G272" s="9"/>
      <c r="H272" s="9" t="s">
        <v>18</v>
      </c>
      <c r="I272" s="16" t="str">
        <f>VLOOKUP(F272,[1]完整分类结果!$E:$G,3,0)</f>
        <v>其他矿采选业</v>
      </c>
      <c r="J272" s="16">
        <f>VLOOKUP(I272,[2]行业排放因子!$A:$B,2,0)</f>
        <v>6.0323112418060303</v>
      </c>
      <c r="K272" s="9" t="s">
        <v>756</v>
      </c>
    </row>
    <row r="273" spans="1:11" ht="12.5" customHeight="1" x14ac:dyDescent="0.25">
      <c r="A273" s="5" t="s">
        <v>1016</v>
      </c>
      <c r="B273" s="6" t="s">
        <v>749</v>
      </c>
      <c r="C273" s="6" t="s">
        <v>989</v>
      </c>
      <c r="D273" s="6" t="s">
        <v>1017</v>
      </c>
      <c r="E273" s="6" t="s">
        <v>1018</v>
      </c>
      <c r="F273" s="6" t="s">
        <v>1017</v>
      </c>
      <c r="G273" s="9"/>
      <c r="H273" s="9" t="s">
        <v>18</v>
      </c>
      <c r="I273" s="16" t="str">
        <f>VLOOKUP(F273,[1]完整分类结果!$E:$G,3,0)</f>
        <v>其他矿采选业</v>
      </c>
      <c r="J273" s="16">
        <f>VLOOKUP(I273,[2]行业排放因子!$A:$B,2,0)</f>
        <v>6.0323112418060303</v>
      </c>
      <c r="K273" s="9" t="s">
        <v>756</v>
      </c>
    </row>
    <row r="274" spans="1:11" ht="12.5" customHeight="1" x14ac:dyDescent="0.25">
      <c r="A274" s="5" t="s">
        <v>1019</v>
      </c>
      <c r="B274" s="6" t="s">
        <v>749</v>
      </c>
      <c r="C274" s="6" t="s">
        <v>989</v>
      </c>
      <c r="D274" s="6" t="s">
        <v>1020</v>
      </c>
      <c r="E274" s="6" t="s">
        <v>1021</v>
      </c>
      <c r="F274" s="6" t="s">
        <v>1020</v>
      </c>
      <c r="G274" s="9"/>
      <c r="H274" s="9" t="s">
        <v>18</v>
      </c>
      <c r="I274" s="16" t="str">
        <f>VLOOKUP(F274,[1]完整分类结果!$E:$G,3,0)</f>
        <v>其他矿采选业</v>
      </c>
      <c r="J274" s="16">
        <f>VLOOKUP(I274,[2]行业排放因子!$A:$B,2,0)</f>
        <v>6.0323112418060303</v>
      </c>
      <c r="K274" s="9" t="s">
        <v>756</v>
      </c>
    </row>
    <row r="275" spans="1:11" ht="12.5" customHeight="1" x14ac:dyDescent="0.25">
      <c r="A275" s="5" t="s">
        <v>1022</v>
      </c>
      <c r="B275" s="6" t="s">
        <v>749</v>
      </c>
      <c r="C275" s="6" t="s">
        <v>989</v>
      </c>
      <c r="D275" s="6" t="s">
        <v>1023</v>
      </c>
      <c r="E275" s="6" t="s">
        <v>1024</v>
      </c>
      <c r="F275" s="6" t="s">
        <v>1023</v>
      </c>
      <c r="G275" s="9"/>
      <c r="H275" s="9" t="s">
        <v>18</v>
      </c>
      <c r="I275" s="16" t="str">
        <f>VLOOKUP(F275,[1]完整分类结果!$E:$G,3,0)</f>
        <v>其他矿采选业</v>
      </c>
      <c r="J275" s="16">
        <f>VLOOKUP(I275,[2]行业排放因子!$A:$B,2,0)</f>
        <v>6.0323112418060303</v>
      </c>
      <c r="K275" s="9" t="s">
        <v>756</v>
      </c>
    </row>
    <row r="276" spans="1:11" ht="12.5" customHeight="1" x14ac:dyDescent="0.25">
      <c r="A276" s="5" t="s">
        <v>1025</v>
      </c>
      <c r="B276" s="6" t="s">
        <v>749</v>
      </c>
      <c r="C276" s="6" t="s">
        <v>989</v>
      </c>
      <c r="D276" s="6" t="s">
        <v>1026</v>
      </c>
      <c r="E276" s="6" t="s">
        <v>1027</v>
      </c>
      <c r="F276" s="6" t="s">
        <v>1026</v>
      </c>
      <c r="G276" s="9"/>
      <c r="H276" s="9" t="s">
        <v>18</v>
      </c>
      <c r="I276" s="16" t="str">
        <f>VLOOKUP(F276,[1]完整分类结果!$E:$G,3,0)</f>
        <v>其他矿采选业</v>
      </c>
      <c r="J276" s="16">
        <f>VLOOKUP(I276,[2]行业排放因子!$A:$B,2,0)</f>
        <v>6.0323112418060303</v>
      </c>
      <c r="K276" s="9" t="s">
        <v>756</v>
      </c>
    </row>
    <row r="277" spans="1:11" ht="12.5" customHeight="1" x14ac:dyDescent="0.25">
      <c r="A277" s="5" t="s">
        <v>1028</v>
      </c>
      <c r="B277" s="6" t="s">
        <v>749</v>
      </c>
      <c r="C277" s="6" t="s">
        <v>989</v>
      </c>
      <c r="D277" s="6" t="s">
        <v>1029</v>
      </c>
      <c r="E277" s="6" t="s">
        <v>1030</v>
      </c>
      <c r="F277" s="6" t="s">
        <v>1029</v>
      </c>
      <c r="G277" s="9"/>
      <c r="H277" s="9" t="s">
        <v>18</v>
      </c>
      <c r="I277" s="16" t="str">
        <f>VLOOKUP(F277,[1]完整分类结果!$E:$G,3,0)</f>
        <v>其他矿采选业</v>
      </c>
      <c r="J277" s="16">
        <f>VLOOKUP(I277,[2]行业排放因子!$A:$B,2,0)</f>
        <v>6.0323112418060303</v>
      </c>
      <c r="K277" s="9" t="s">
        <v>756</v>
      </c>
    </row>
    <row r="278" spans="1:11" ht="12.5" customHeight="1" x14ac:dyDescent="0.25">
      <c r="A278" s="5" t="s">
        <v>1031</v>
      </c>
      <c r="B278" s="6" t="s">
        <v>749</v>
      </c>
      <c r="C278" s="6" t="s">
        <v>989</v>
      </c>
      <c r="D278" s="6" t="s">
        <v>1032</v>
      </c>
      <c r="E278" s="6" t="s">
        <v>1033</v>
      </c>
      <c r="F278" s="6" t="s">
        <v>1032</v>
      </c>
      <c r="G278" s="9"/>
      <c r="H278" s="9" t="s">
        <v>18</v>
      </c>
      <c r="I278" s="16" t="str">
        <f>VLOOKUP(F278,[1]完整分类结果!$E:$G,3,0)</f>
        <v>其他矿采选业</v>
      </c>
      <c r="J278" s="16">
        <f>VLOOKUP(I278,[2]行业排放因子!$A:$B,2,0)</f>
        <v>6.0323112418060303</v>
      </c>
      <c r="K278" s="9" t="s">
        <v>756</v>
      </c>
    </row>
    <row r="279" spans="1:11" ht="12.5" customHeight="1" x14ac:dyDescent="0.25">
      <c r="A279" s="5" t="s">
        <v>1034</v>
      </c>
      <c r="B279" s="6" t="s">
        <v>749</v>
      </c>
      <c r="C279" s="6" t="s">
        <v>989</v>
      </c>
      <c r="D279" s="6" t="s">
        <v>1035</v>
      </c>
      <c r="E279" s="6" t="s">
        <v>1036</v>
      </c>
      <c r="F279" s="6" t="s">
        <v>1035</v>
      </c>
      <c r="G279" s="9"/>
      <c r="H279" s="9" t="s">
        <v>18</v>
      </c>
      <c r="I279" s="16" t="str">
        <f>VLOOKUP(F279,[1]完整分类结果!$E:$G,3,0)</f>
        <v>其他矿采选业</v>
      </c>
      <c r="J279" s="16">
        <f>VLOOKUP(I279,[2]行业排放因子!$A:$B,2,0)</f>
        <v>6.0323112418060303</v>
      </c>
      <c r="K279" s="9" t="s">
        <v>756</v>
      </c>
    </row>
    <row r="280" spans="1:11" ht="12.5" customHeight="1" x14ac:dyDescent="0.25">
      <c r="A280" s="5" t="s">
        <v>1037</v>
      </c>
      <c r="B280" s="6" t="s">
        <v>749</v>
      </c>
      <c r="C280" s="6" t="s">
        <v>989</v>
      </c>
      <c r="D280" s="6" t="s">
        <v>1038</v>
      </c>
      <c r="E280" s="6" t="s">
        <v>1039</v>
      </c>
      <c r="F280" s="6" t="s">
        <v>1038</v>
      </c>
      <c r="G280" s="9"/>
      <c r="H280" s="9" t="s">
        <v>18</v>
      </c>
      <c r="I280" s="16" t="str">
        <f>VLOOKUP(F280,[1]完整分类结果!$E:$G,3,0)</f>
        <v>其他矿采选业</v>
      </c>
      <c r="J280" s="16">
        <f>VLOOKUP(I280,[2]行业排放因子!$A:$B,2,0)</f>
        <v>6.0323112418060303</v>
      </c>
      <c r="K280" s="9" t="s">
        <v>756</v>
      </c>
    </row>
    <row r="281" spans="1:11" ht="12.5" customHeight="1" x14ac:dyDescent="0.25">
      <c r="A281" s="5" t="s">
        <v>1040</v>
      </c>
      <c r="B281" s="6" t="s">
        <v>749</v>
      </c>
      <c r="C281" s="6" t="s">
        <v>989</v>
      </c>
      <c r="D281" s="6" t="s">
        <v>1041</v>
      </c>
      <c r="E281" s="6" t="s">
        <v>1042</v>
      </c>
      <c r="F281" s="6" t="s">
        <v>1041</v>
      </c>
      <c r="G281" s="9"/>
      <c r="H281" s="9" t="s">
        <v>18</v>
      </c>
      <c r="I281" s="16" t="str">
        <f>VLOOKUP(F281,[1]完整分类结果!$E:$G,3,0)</f>
        <v>其他矿采选业</v>
      </c>
      <c r="J281" s="16">
        <f>VLOOKUP(I281,[2]行业排放因子!$A:$B,2,0)</f>
        <v>6.0323112418060303</v>
      </c>
      <c r="K281" s="9" t="s">
        <v>756</v>
      </c>
    </row>
    <row r="282" spans="1:11" ht="12.5" customHeight="1" x14ac:dyDescent="0.25">
      <c r="A282" s="5" t="s">
        <v>1043</v>
      </c>
      <c r="B282" s="6" t="s">
        <v>749</v>
      </c>
      <c r="C282" s="6" t="s">
        <v>989</v>
      </c>
      <c r="D282" s="6" t="s">
        <v>1044</v>
      </c>
      <c r="E282" s="6" t="s">
        <v>1045</v>
      </c>
      <c r="F282" s="6" t="s">
        <v>1044</v>
      </c>
      <c r="G282" s="9"/>
      <c r="H282" s="9" t="s">
        <v>18</v>
      </c>
      <c r="I282" s="16" t="str">
        <f>VLOOKUP(F282,[1]完整分类结果!$E:$G,3,0)</f>
        <v>其他矿采选业</v>
      </c>
      <c r="J282" s="16">
        <f>VLOOKUP(I282,[2]行业排放因子!$A:$B,2,0)</f>
        <v>6.0323112418060303</v>
      </c>
      <c r="K282" s="9" t="s">
        <v>756</v>
      </c>
    </row>
    <row r="283" spans="1:11" ht="12.5" customHeight="1" x14ac:dyDescent="0.25">
      <c r="A283" s="5" t="s">
        <v>1046</v>
      </c>
      <c r="B283" s="6" t="s">
        <v>749</v>
      </c>
      <c r="C283" s="6" t="s">
        <v>989</v>
      </c>
      <c r="D283" s="6" t="s">
        <v>1047</v>
      </c>
      <c r="E283" s="6" t="s">
        <v>1048</v>
      </c>
      <c r="F283" s="6" t="s">
        <v>1047</v>
      </c>
      <c r="G283" s="9"/>
      <c r="H283" s="9" t="s">
        <v>18</v>
      </c>
      <c r="I283" s="16" t="str">
        <f>VLOOKUP(F283,[1]完整分类结果!$E:$G,3,0)</f>
        <v>其他矿采选业</v>
      </c>
      <c r="J283" s="16">
        <f>VLOOKUP(I283,[2]行业排放因子!$A:$B,2,0)</f>
        <v>6.0323112418060303</v>
      </c>
      <c r="K283" s="9" t="s">
        <v>756</v>
      </c>
    </row>
    <row r="284" spans="1:11" ht="12.5" customHeight="1" x14ac:dyDescent="0.25">
      <c r="A284" s="5" t="s">
        <v>1049</v>
      </c>
      <c r="B284" s="6" t="s">
        <v>749</v>
      </c>
      <c r="C284" s="6" t="s">
        <v>989</v>
      </c>
      <c r="D284" s="6" t="s">
        <v>1050</v>
      </c>
      <c r="E284" s="6" t="s">
        <v>1051</v>
      </c>
      <c r="F284" s="6" t="s">
        <v>1050</v>
      </c>
      <c r="G284" s="9"/>
      <c r="H284" s="9" t="s">
        <v>18</v>
      </c>
      <c r="I284" s="16" t="str">
        <f>VLOOKUP(F284,[1]完整分类结果!$E:$G,3,0)</f>
        <v>其他矿采选业</v>
      </c>
      <c r="J284" s="16">
        <f>VLOOKUP(I284,[2]行业排放因子!$A:$B,2,0)</f>
        <v>6.0323112418060303</v>
      </c>
      <c r="K284" s="9" t="s">
        <v>756</v>
      </c>
    </row>
    <row r="285" spans="1:11" ht="12.5" customHeight="1" x14ac:dyDescent="0.25">
      <c r="A285" s="5" t="s">
        <v>1052</v>
      </c>
      <c r="B285" s="6" t="s">
        <v>749</v>
      </c>
      <c r="C285" s="6" t="s">
        <v>1053</v>
      </c>
      <c r="D285" s="6" t="s">
        <v>1054</v>
      </c>
      <c r="E285" s="6" t="s">
        <v>1055</v>
      </c>
      <c r="F285" s="6" t="s">
        <v>1054</v>
      </c>
      <c r="G285" s="9"/>
      <c r="H285" s="9" t="s">
        <v>18</v>
      </c>
      <c r="I285" s="16" t="str">
        <f>VLOOKUP(F285,[1]完整分类结果!$E:$G,3,0)</f>
        <v>其他矿采选业</v>
      </c>
      <c r="J285" s="16">
        <f>VLOOKUP(I285,[2]行业排放因子!$A:$B,2,0)</f>
        <v>6.0323112418060303</v>
      </c>
      <c r="K285" s="9" t="s">
        <v>756</v>
      </c>
    </row>
    <row r="286" spans="1:11" ht="12.5" customHeight="1" x14ac:dyDescent="0.25">
      <c r="A286" s="5" t="s">
        <v>1056</v>
      </c>
      <c r="B286" s="6" t="s">
        <v>749</v>
      </c>
      <c r="C286" s="6" t="s">
        <v>1053</v>
      </c>
      <c r="D286" s="6" t="s">
        <v>1057</v>
      </c>
      <c r="E286" s="6" t="s">
        <v>1058</v>
      </c>
      <c r="F286" s="6" t="s">
        <v>1057</v>
      </c>
      <c r="G286" s="9"/>
      <c r="H286" s="9" t="s">
        <v>18</v>
      </c>
      <c r="I286" s="16" t="str">
        <f>VLOOKUP(F286,[1]完整分类结果!$E:$G,3,0)</f>
        <v>其他矿采选业</v>
      </c>
      <c r="J286" s="16">
        <f>VLOOKUP(I286,[2]行业排放因子!$A:$B,2,0)</f>
        <v>6.0323112418060303</v>
      </c>
      <c r="K286" s="9" t="s">
        <v>756</v>
      </c>
    </row>
    <row r="287" spans="1:11" ht="12.5" customHeight="1" x14ac:dyDescent="0.25">
      <c r="A287" s="5" t="s">
        <v>1059</v>
      </c>
      <c r="B287" s="6" t="s">
        <v>749</v>
      </c>
      <c r="C287" s="6" t="s">
        <v>1053</v>
      </c>
      <c r="D287" s="6" t="s">
        <v>1060</v>
      </c>
      <c r="E287" s="6" t="s">
        <v>1061</v>
      </c>
      <c r="F287" s="6" t="s">
        <v>1060</v>
      </c>
      <c r="G287" s="9"/>
      <c r="H287" s="9" t="s">
        <v>18</v>
      </c>
      <c r="I287" s="16" t="str">
        <f>VLOOKUP(F287,[1]完整分类结果!$E:$G,3,0)</f>
        <v>非金属矿采选业</v>
      </c>
      <c r="J287" s="16">
        <f>VLOOKUP(I287,[2]行业排放因子!$A:$B,2,0)</f>
        <v>8.6079385990449406</v>
      </c>
      <c r="K287" s="9" t="s">
        <v>756</v>
      </c>
    </row>
    <row r="288" spans="1:11" ht="12.5" customHeight="1" x14ac:dyDescent="0.25">
      <c r="A288" s="5" t="s">
        <v>1062</v>
      </c>
      <c r="B288" s="6" t="s">
        <v>749</v>
      </c>
      <c r="C288" s="6" t="s">
        <v>1053</v>
      </c>
      <c r="D288" s="6" t="s">
        <v>1053</v>
      </c>
      <c r="E288" s="6" t="s">
        <v>1063</v>
      </c>
      <c r="F288" s="6" t="s">
        <v>1064</v>
      </c>
      <c r="G288" s="9"/>
      <c r="H288" s="9" t="s">
        <v>18</v>
      </c>
      <c r="I288" s="16" t="str">
        <f>VLOOKUP(F288,[1]完整分类结果!$E:$G,3,0)</f>
        <v>其他矿采选业</v>
      </c>
      <c r="J288" s="16">
        <f>VLOOKUP(I288,[2]行业排放因子!$A:$B,2,0)</f>
        <v>6.0323112418060303</v>
      </c>
      <c r="K288" s="9" t="s">
        <v>756</v>
      </c>
    </row>
    <row r="289" spans="1:11" ht="12.5" customHeight="1" x14ac:dyDescent="0.25">
      <c r="A289" s="5" t="s">
        <v>1065</v>
      </c>
      <c r="B289" s="6" t="s">
        <v>749</v>
      </c>
      <c r="C289" s="6" t="s">
        <v>1053</v>
      </c>
      <c r="D289" s="6" t="s">
        <v>1066</v>
      </c>
      <c r="E289" s="6" t="s">
        <v>1067</v>
      </c>
      <c r="F289" s="6" t="s">
        <v>1066</v>
      </c>
      <c r="G289" s="9"/>
      <c r="H289" s="9" t="s">
        <v>18</v>
      </c>
      <c r="I289" s="16" t="str">
        <f>VLOOKUP(F289,[1]完整分类结果!$E:$G,3,0)</f>
        <v>其他矿采选业</v>
      </c>
      <c r="J289" s="16">
        <f>VLOOKUP(I289,[2]行业排放因子!$A:$B,2,0)</f>
        <v>6.0323112418060303</v>
      </c>
      <c r="K289" s="9" t="s">
        <v>756</v>
      </c>
    </row>
    <row r="290" spans="1:11" ht="12.5" customHeight="1" x14ac:dyDescent="0.25">
      <c r="A290" s="5" t="s">
        <v>1068</v>
      </c>
      <c r="B290" s="6" t="s">
        <v>749</v>
      </c>
      <c r="C290" s="6" t="s">
        <v>1053</v>
      </c>
      <c r="D290" s="6" t="s">
        <v>1069</v>
      </c>
      <c r="E290" s="6" t="s">
        <v>1070</v>
      </c>
      <c r="F290" s="6" t="s">
        <v>1069</v>
      </c>
      <c r="G290" s="9"/>
      <c r="H290" s="9" t="s">
        <v>18</v>
      </c>
      <c r="I290" s="16" t="str">
        <f>VLOOKUP(F290,[1]完整分类结果!$E:$G,3,0)</f>
        <v>非金属矿采选业</v>
      </c>
      <c r="J290" s="16">
        <f>VLOOKUP(I290,[2]行业排放因子!$A:$B,2,0)</f>
        <v>8.6079385990449406</v>
      </c>
      <c r="K290" s="9" t="s">
        <v>756</v>
      </c>
    </row>
    <row r="291" spans="1:11" ht="12.5" customHeight="1" x14ac:dyDescent="0.25">
      <c r="A291" s="5" t="s">
        <v>1071</v>
      </c>
      <c r="B291" s="6" t="s">
        <v>749</v>
      </c>
      <c r="C291" s="6" t="s">
        <v>1053</v>
      </c>
      <c r="D291" s="6" t="s">
        <v>1072</v>
      </c>
      <c r="E291" s="6" t="s">
        <v>1073</v>
      </c>
      <c r="F291" s="6" t="s">
        <v>1072</v>
      </c>
      <c r="G291" s="9"/>
      <c r="H291" s="9" t="s">
        <v>18</v>
      </c>
      <c r="I291" s="16" t="str">
        <f>VLOOKUP(F291,[1]完整分类结果!$E:$G,3,0)</f>
        <v>其他矿采选业</v>
      </c>
      <c r="J291" s="16">
        <f>VLOOKUP(I291,[2]行业排放因子!$A:$B,2,0)</f>
        <v>6.0323112418060303</v>
      </c>
      <c r="K291" s="9" t="s">
        <v>756</v>
      </c>
    </row>
    <row r="292" spans="1:11" ht="12.5" customHeight="1" x14ac:dyDescent="0.25">
      <c r="A292" s="5" t="s">
        <v>1074</v>
      </c>
      <c r="B292" s="6" t="s">
        <v>749</v>
      </c>
      <c r="C292" s="6" t="s">
        <v>1053</v>
      </c>
      <c r="D292" s="6" t="s">
        <v>1075</v>
      </c>
      <c r="E292" s="6" t="s">
        <v>1076</v>
      </c>
      <c r="F292" s="6" t="s">
        <v>1075</v>
      </c>
      <c r="G292" s="9"/>
      <c r="H292" s="9" t="s">
        <v>18</v>
      </c>
      <c r="I292" s="16" t="str">
        <f>VLOOKUP(F292,[1]完整分类结果!$E:$G,3,0)</f>
        <v>其他矿采选业</v>
      </c>
      <c r="J292" s="16">
        <f>VLOOKUP(I292,[2]行业排放因子!$A:$B,2,0)</f>
        <v>6.0323112418060303</v>
      </c>
      <c r="K292" s="9" t="s">
        <v>756</v>
      </c>
    </row>
    <row r="293" spans="1:11" ht="12.5" customHeight="1" x14ac:dyDescent="0.25">
      <c r="A293" s="5" t="s">
        <v>1077</v>
      </c>
      <c r="B293" s="6" t="s">
        <v>749</v>
      </c>
      <c r="C293" s="6" t="s">
        <v>1053</v>
      </c>
      <c r="D293" s="6" t="s">
        <v>1078</v>
      </c>
      <c r="E293" s="6" t="s">
        <v>1079</v>
      </c>
      <c r="F293" s="6" t="s">
        <v>1078</v>
      </c>
      <c r="G293" s="9"/>
      <c r="H293" s="9" t="s">
        <v>18</v>
      </c>
      <c r="I293" s="16" t="str">
        <f>VLOOKUP(F293,[1]完整分类结果!$E:$G,3,0)</f>
        <v>其他矿采选业</v>
      </c>
      <c r="J293" s="16">
        <f>VLOOKUP(I293,[2]行业排放因子!$A:$B,2,0)</f>
        <v>6.0323112418060303</v>
      </c>
      <c r="K293" s="9" t="s">
        <v>756</v>
      </c>
    </row>
    <row r="294" spans="1:11" ht="12.5" customHeight="1" x14ac:dyDescent="0.25">
      <c r="A294" s="5" t="s">
        <v>1080</v>
      </c>
      <c r="B294" s="6" t="s">
        <v>749</v>
      </c>
      <c r="C294" s="6" t="s">
        <v>1053</v>
      </c>
      <c r="D294" s="6" t="s">
        <v>1081</v>
      </c>
      <c r="E294" s="6" t="s">
        <v>1082</v>
      </c>
      <c r="F294" s="6" t="s">
        <v>1081</v>
      </c>
      <c r="G294" s="9"/>
      <c r="H294" s="9" t="s">
        <v>18</v>
      </c>
      <c r="I294" s="16" t="str">
        <f>VLOOKUP(F294,[1]完整分类结果!$E:$G,3,0)</f>
        <v>其他矿采选业</v>
      </c>
      <c r="J294" s="16">
        <f>VLOOKUP(I294,[2]行业排放因子!$A:$B,2,0)</f>
        <v>6.0323112418060303</v>
      </c>
      <c r="K294" s="9" t="s">
        <v>756</v>
      </c>
    </row>
    <row r="295" spans="1:11" ht="12.5" customHeight="1" x14ac:dyDescent="0.25">
      <c r="A295" s="5" t="s">
        <v>1083</v>
      </c>
      <c r="B295" s="6" t="s">
        <v>749</v>
      </c>
      <c r="C295" s="6" t="s">
        <v>1053</v>
      </c>
      <c r="D295" s="6" t="s">
        <v>1084</v>
      </c>
      <c r="E295" s="6" t="s">
        <v>1085</v>
      </c>
      <c r="F295" s="6" t="s">
        <v>1084</v>
      </c>
      <c r="G295" s="9"/>
      <c r="H295" s="9" t="s">
        <v>18</v>
      </c>
      <c r="I295" s="16" t="str">
        <f>VLOOKUP(F295,[1]完整分类结果!$E:$G,3,0)</f>
        <v>其他矿采选业</v>
      </c>
      <c r="J295" s="16">
        <f>VLOOKUP(I295,[2]行业排放因子!$A:$B,2,0)</f>
        <v>6.0323112418060303</v>
      </c>
      <c r="K295" s="9" t="s">
        <v>756</v>
      </c>
    </row>
    <row r="296" spans="1:11" ht="12.5" customHeight="1" x14ac:dyDescent="0.25">
      <c r="A296" s="5" t="s">
        <v>1086</v>
      </c>
      <c r="B296" s="6" t="s">
        <v>749</v>
      </c>
      <c r="C296" s="6" t="s">
        <v>1053</v>
      </c>
      <c r="D296" s="6" t="s">
        <v>1087</v>
      </c>
      <c r="E296" s="6" t="s">
        <v>1088</v>
      </c>
      <c r="F296" s="6" t="s">
        <v>1087</v>
      </c>
      <c r="G296" s="9" t="s">
        <v>1089</v>
      </c>
      <c r="H296" s="9" t="s">
        <v>18</v>
      </c>
      <c r="I296" s="16" t="str">
        <f>VLOOKUP(F296,[1]完整分类结果!$E:$G,3,0)</f>
        <v>其他矿采选业</v>
      </c>
      <c r="J296" s="16">
        <f>VLOOKUP(I296,[2]行业排放因子!$A:$B,2,0)</f>
        <v>6.0323112418060303</v>
      </c>
      <c r="K296" s="9" t="s">
        <v>756</v>
      </c>
    </row>
    <row r="297" spans="1:11" ht="12.5" customHeight="1" x14ac:dyDescent="0.25">
      <c r="A297" s="5" t="s">
        <v>1090</v>
      </c>
      <c r="B297" s="6" t="s">
        <v>749</v>
      </c>
      <c r="C297" s="6" t="s">
        <v>1053</v>
      </c>
      <c r="D297" s="6" t="s">
        <v>1091</v>
      </c>
      <c r="E297" s="6" t="s">
        <v>1092</v>
      </c>
      <c r="F297" s="6" t="s">
        <v>1091</v>
      </c>
      <c r="G297" s="9" t="s">
        <v>1093</v>
      </c>
      <c r="H297" s="9" t="s">
        <v>18</v>
      </c>
      <c r="I297" s="16" t="str">
        <f>VLOOKUP(F297,[1]完整分类结果!$E:$G,3,0)</f>
        <v>其他矿采选业</v>
      </c>
      <c r="J297" s="16">
        <f>VLOOKUP(I297,[2]行业排放因子!$A:$B,2,0)</f>
        <v>6.0323112418060303</v>
      </c>
      <c r="K297" s="9" t="s">
        <v>756</v>
      </c>
    </row>
    <row r="298" spans="1:11" ht="12.5" customHeight="1" x14ac:dyDescent="0.25">
      <c r="A298" s="5" t="s">
        <v>1094</v>
      </c>
      <c r="B298" s="6" t="s">
        <v>749</v>
      </c>
      <c r="C298" s="6" t="s">
        <v>1053</v>
      </c>
      <c r="D298" s="6" t="s">
        <v>1095</v>
      </c>
      <c r="E298" s="6" t="s">
        <v>1096</v>
      </c>
      <c r="F298" s="6" t="s">
        <v>1095</v>
      </c>
      <c r="G298" s="9" t="s">
        <v>1097</v>
      </c>
      <c r="H298" s="9" t="s">
        <v>18</v>
      </c>
      <c r="I298" s="16" t="str">
        <f>VLOOKUP(F298,[1]完整分类结果!$E:$G,3,0)</f>
        <v>其他矿采选业</v>
      </c>
      <c r="J298" s="16">
        <f>VLOOKUP(I298,[2]行业排放因子!$A:$B,2,0)</f>
        <v>6.0323112418060303</v>
      </c>
      <c r="K298" s="9" t="s">
        <v>756</v>
      </c>
    </row>
    <row r="299" spans="1:11" ht="12.5" customHeight="1" x14ac:dyDescent="0.25">
      <c r="A299" s="5" t="s">
        <v>1098</v>
      </c>
      <c r="B299" s="6" t="s">
        <v>749</v>
      </c>
      <c r="C299" s="6" t="s">
        <v>1053</v>
      </c>
      <c r="D299" s="6" t="s">
        <v>1099</v>
      </c>
      <c r="E299" s="6" t="s">
        <v>1100</v>
      </c>
      <c r="F299" s="6" t="s">
        <v>1099</v>
      </c>
      <c r="G299" s="9" t="s">
        <v>1101</v>
      </c>
      <c r="H299" s="9" t="s">
        <v>18</v>
      </c>
      <c r="I299" s="16" t="str">
        <f>VLOOKUP(F299,[1]完整分类结果!$E:$G,3,0)</f>
        <v>其他矿采选业</v>
      </c>
      <c r="J299" s="16">
        <f>VLOOKUP(I299,[2]行业排放因子!$A:$B,2,0)</f>
        <v>6.0323112418060303</v>
      </c>
      <c r="K299" s="9" t="s">
        <v>756</v>
      </c>
    </row>
    <row r="300" spans="1:11" ht="12.5" customHeight="1" x14ac:dyDescent="0.25">
      <c r="A300" s="5" t="s">
        <v>1102</v>
      </c>
      <c r="B300" s="6" t="s">
        <v>749</v>
      </c>
      <c r="C300" s="6" t="s">
        <v>1053</v>
      </c>
      <c r="D300" s="6" t="s">
        <v>1103</v>
      </c>
      <c r="E300" s="6" t="s">
        <v>1104</v>
      </c>
      <c r="F300" s="6" t="s">
        <v>1103</v>
      </c>
      <c r="G300" s="9"/>
      <c r="H300" s="9" t="s">
        <v>18</v>
      </c>
      <c r="I300" s="16" t="str">
        <f>VLOOKUP(F300,[1]完整分类结果!$E:$G,3,0)</f>
        <v>其他矿采选业</v>
      </c>
      <c r="J300" s="16">
        <f>VLOOKUP(I300,[2]行业排放因子!$A:$B,2,0)</f>
        <v>6.0323112418060303</v>
      </c>
      <c r="K300" s="9" t="s">
        <v>756</v>
      </c>
    </row>
    <row r="301" spans="1:11" ht="12.5" customHeight="1" x14ac:dyDescent="0.25">
      <c r="A301" s="5" t="s">
        <v>1105</v>
      </c>
      <c r="B301" s="6" t="s">
        <v>749</v>
      </c>
      <c r="C301" s="6" t="s">
        <v>1053</v>
      </c>
      <c r="D301" s="6" t="s">
        <v>1106</v>
      </c>
      <c r="E301" s="6" t="s">
        <v>1107</v>
      </c>
      <c r="F301" s="6" t="s">
        <v>1106</v>
      </c>
      <c r="G301" s="9"/>
      <c r="H301" s="9" t="s">
        <v>18</v>
      </c>
      <c r="I301" s="16" t="str">
        <f>VLOOKUP(F301,[1]完整分类结果!$E:$G,3,0)</f>
        <v>非金属矿采选业</v>
      </c>
      <c r="J301" s="16">
        <f>VLOOKUP(I301,[2]行业排放因子!$A:$B,2,0)</f>
        <v>8.6079385990449406</v>
      </c>
      <c r="K301" s="9" t="s">
        <v>756</v>
      </c>
    </row>
    <row r="302" spans="1:11" ht="12.5" customHeight="1" x14ac:dyDescent="0.25">
      <c r="A302" s="5" t="s">
        <v>1108</v>
      </c>
      <c r="B302" s="6" t="s">
        <v>749</v>
      </c>
      <c r="C302" s="6" t="s">
        <v>1053</v>
      </c>
      <c r="D302" s="6" t="s">
        <v>1109</v>
      </c>
      <c r="E302" s="6" t="s">
        <v>1110</v>
      </c>
      <c r="F302" s="6" t="s">
        <v>1109</v>
      </c>
      <c r="G302" s="9"/>
      <c r="H302" s="9" t="s">
        <v>18</v>
      </c>
      <c r="I302" s="16" t="str">
        <f>VLOOKUP(F302,[1]完整分类结果!$E:$G,3,0)</f>
        <v>非金属矿采选业</v>
      </c>
      <c r="J302" s="16">
        <f>VLOOKUP(I302,[2]行业排放因子!$A:$B,2,0)</f>
        <v>8.6079385990449406</v>
      </c>
      <c r="K302" s="9" t="s">
        <v>756</v>
      </c>
    </row>
    <row r="303" spans="1:11" ht="12.5" customHeight="1" x14ac:dyDescent="0.25">
      <c r="A303" s="5" t="s">
        <v>1111</v>
      </c>
      <c r="B303" s="6" t="s">
        <v>749</v>
      </c>
      <c r="C303" s="6" t="s">
        <v>1053</v>
      </c>
      <c r="D303" s="6" t="s">
        <v>1112</v>
      </c>
      <c r="E303" s="6" t="s">
        <v>1113</v>
      </c>
      <c r="F303" s="6" t="s">
        <v>1112</v>
      </c>
      <c r="G303" s="9"/>
      <c r="H303" s="9" t="s">
        <v>18</v>
      </c>
      <c r="I303" s="16" t="str">
        <f>VLOOKUP(F303,[1]完整分类结果!$E:$G,3,0)</f>
        <v>非金属矿采选业</v>
      </c>
      <c r="J303" s="16">
        <f>VLOOKUP(I303,[2]行业排放因子!$A:$B,2,0)</f>
        <v>8.6079385990449406</v>
      </c>
      <c r="K303" s="9" t="s">
        <v>756</v>
      </c>
    </row>
    <row r="304" spans="1:11" ht="12.5" customHeight="1" x14ac:dyDescent="0.25">
      <c r="A304" s="5" t="s">
        <v>1114</v>
      </c>
      <c r="B304" s="6" t="s">
        <v>749</v>
      </c>
      <c r="C304" s="6" t="s">
        <v>1053</v>
      </c>
      <c r="D304" s="6" t="s">
        <v>1115</v>
      </c>
      <c r="E304" s="6" t="s">
        <v>1116</v>
      </c>
      <c r="F304" s="6" t="s">
        <v>1115</v>
      </c>
      <c r="G304" s="9" t="s">
        <v>1117</v>
      </c>
      <c r="H304" s="9" t="s">
        <v>18</v>
      </c>
      <c r="I304" s="16" t="str">
        <f>VLOOKUP(F304,[1]完整分类结果!$E:$G,3,0)</f>
        <v>其他矿采选业</v>
      </c>
      <c r="J304" s="16">
        <f>VLOOKUP(I304,[2]行业排放因子!$A:$B,2,0)</f>
        <v>6.0323112418060303</v>
      </c>
      <c r="K304" s="9" t="s">
        <v>756</v>
      </c>
    </row>
    <row r="305" spans="1:11" ht="12.5" customHeight="1" x14ac:dyDescent="0.25">
      <c r="A305" s="5" t="s">
        <v>1118</v>
      </c>
      <c r="B305" s="6" t="s">
        <v>749</v>
      </c>
      <c r="C305" s="6" t="s">
        <v>1053</v>
      </c>
      <c r="D305" s="6" t="s">
        <v>1119</v>
      </c>
      <c r="E305" s="6" t="s">
        <v>1120</v>
      </c>
      <c r="F305" s="6" t="s">
        <v>1119</v>
      </c>
      <c r="G305" s="9" t="s">
        <v>1121</v>
      </c>
      <c r="H305" s="9" t="s">
        <v>18</v>
      </c>
      <c r="I305" s="16" t="str">
        <f>VLOOKUP(F305,[1]完整分类结果!$E:$G,3,0)</f>
        <v>其他矿采选业</v>
      </c>
      <c r="J305" s="16">
        <f>VLOOKUP(I305,[2]行业排放因子!$A:$B,2,0)</f>
        <v>6.0323112418060303</v>
      </c>
      <c r="K305" s="9" t="s">
        <v>756</v>
      </c>
    </row>
    <row r="306" spans="1:11" ht="12.5" customHeight="1" x14ac:dyDescent="0.25">
      <c r="A306" s="5" t="s">
        <v>1122</v>
      </c>
      <c r="B306" s="6" t="s">
        <v>749</v>
      </c>
      <c r="C306" s="6" t="s">
        <v>1053</v>
      </c>
      <c r="D306" s="6" t="s">
        <v>1123</v>
      </c>
      <c r="E306" s="6" t="s">
        <v>1124</v>
      </c>
      <c r="F306" s="6" t="s">
        <v>1123</v>
      </c>
      <c r="G306" s="9"/>
      <c r="H306" s="9" t="s">
        <v>18</v>
      </c>
      <c r="I306" s="16" t="str">
        <f>VLOOKUP(F306,[1]完整分类结果!$E:$G,3,0)</f>
        <v>其他矿采选业</v>
      </c>
      <c r="J306" s="16">
        <f>VLOOKUP(I306,[2]行业排放因子!$A:$B,2,0)</f>
        <v>6.0323112418060303</v>
      </c>
      <c r="K306" s="9" t="s">
        <v>756</v>
      </c>
    </row>
    <row r="307" spans="1:11" ht="12.5" customHeight="1" x14ac:dyDescent="0.25">
      <c r="A307" s="5" t="s">
        <v>1125</v>
      </c>
      <c r="B307" s="6" t="s">
        <v>749</v>
      </c>
      <c r="C307" s="6" t="s">
        <v>1053</v>
      </c>
      <c r="D307" s="6" t="s">
        <v>1126</v>
      </c>
      <c r="E307" s="6" t="s">
        <v>1127</v>
      </c>
      <c r="F307" s="6" t="s">
        <v>1126</v>
      </c>
      <c r="G307" s="9" t="s">
        <v>1128</v>
      </c>
      <c r="H307" s="9" t="s">
        <v>18</v>
      </c>
      <c r="I307" s="16" t="str">
        <f>VLOOKUP(F307,[1]完整分类结果!$E:$G,3,0)</f>
        <v>非金属矿采选业</v>
      </c>
      <c r="J307" s="16">
        <f>VLOOKUP(I307,[2]行业排放因子!$A:$B,2,0)</f>
        <v>8.6079385990449406</v>
      </c>
      <c r="K307" s="9" t="s">
        <v>756</v>
      </c>
    </row>
    <row r="308" spans="1:11" ht="12.5" customHeight="1" x14ac:dyDescent="0.25">
      <c r="A308" s="5" t="s">
        <v>1129</v>
      </c>
      <c r="B308" s="6" t="s">
        <v>749</v>
      </c>
      <c r="C308" s="6" t="s">
        <v>1053</v>
      </c>
      <c r="D308" s="6" t="s">
        <v>1130</v>
      </c>
      <c r="E308" s="6" t="s">
        <v>1131</v>
      </c>
      <c r="F308" s="6" t="s">
        <v>1130</v>
      </c>
      <c r="G308" s="9"/>
      <c r="H308" s="9" t="s">
        <v>18</v>
      </c>
      <c r="I308" s="16" t="str">
        <f>VLOOKUP(F308,[1]完整分类结果!$E:$G,3,0)</f>
        <v>非金属矿采选业</v>
      </c>
      <c r="J308" s="16">
        <f>VLOOKUP(I308,[2]行业排放因子!$A:$B,2,0)</f>
        <v>8.6079385990449406</v>
      </c>
      <c r="K308" s="9" t="s">
        <v>756</v>
      </c>
    </row>
    <row r="309" spans="1:11" ht="12.5" customHeight="1" x14ac:dyDescent="0.25">
      <c r="A309" s="5" t="s">
        <v>1132</v>
      </c>
      <c r="B309" s="6" t="s">
        <v>749</v>
      </c>
      <c r="C309" s="6" t="s">
        <v>1053</v>
      </c>
      <c r="D309" s="6" t="s">
        <v>1133</v>
      </c>
      <c r="E309" s="6" t="s">
        <v>1134</v>
      </c>
      <c r="F309" s="6" t="s">
        <v>1133</v>
      </c>
      <c r="G309" s="9" t="s">
        <v>1135</v>
      </c>
      <c r="H309" s="9" t="s">
        <v>18</v>
      </c>
      <c r="I309" s="16" t="str">
        <f>VLOOKUP(F309,[1]完整分类结果!$E:$G,3,0)</f>
        <v>其他矿采选业</v>
      </c>
      <c r="J309" s="16">
        <f>VLOOKUP(I309,[2]行业排放因子!$A:$B,2,0)</f>
        <v>6.0323112418060303</v>
      </c>
      <c r="K309" s="9" t="s">
        <v>756</v>
      </c>
    </row>
    <row r="310" spans="1:11" ht="12.5" customHeight="1" x14ac:dyDescent="0.25">
      <c r="A310" s="5" t="s">
        <v>1136</v>
      </c>
      <c r="B310" s="6" t="s">
        <v>749</v>
      </c>
      <c r="C310" s="6" t="s">
        <v>1053</v>
      </c>
      <c r="D310" s="6" t="s">
        <v>1137</v>
      </c>
      <c r="E310" s="6" t="s">
        <v>1138</v>
      </c>
      <c r="F310" s="6" t="s">
        <v>1137</v>
      </c>
      <c r="G310" s="9" t="s">
        <v>1139</v>
      </c>
      <c r="H310" s="9" t="s">
        <v>18</v>
      </c>
      <c r="I310" s="16" t="str">
        <f>VLOOKUP(F310,[1]完整分类结果!$E:$G,3,0)</f>
        <v>其他矿采选业</v>
      </c>
      <c r="J310" s="16">
        <f>VLOOKUP(I310,[2]行业排放因子!$A:$B,2,0)</f>
        <v>6.0323112418060303</v>
      </c>
      <c r="K310" s="9" t="s">
        <v>756</v>
      </c>
    </row>
    <row r="311" spans="1:11" ht="12.5" customHeight="1" x14ac:dyDescent="0.25">
      <c r="A311" s="5" t="s">
        <v>1140</v>
      </c>
      <c r="B311" s="6" t="s">
        <v>749</v>
      </c>
      <c r="C311" s="6" t="s">
        <v>1053</v>
      </c>
      <c r="D311" s="6" t="s">
        <v>1141</v>
      </c>
      <c r="E311" s="6" t="s">
        <v>1142</v>
      </c>
      <c r="F311" s="6" t="s">
        <v>1141</v>
      </c>
      <c r="G311" s="9" t="s">
        <v>1143</v>
      </c>
      <c r="H311" s="9" t="s">
        <v>18</v>
      </c>
      <c r="I311" s="16" t="str">
        <f>VLOOKUP(F311,[1]完整分类结果!$E:$G,3,0)</f>
        <v>其他矿采选业</v>
      </c>
      <c r="J311" s="16">
        <f>VLOOKUP(I311,[2]行业排放因子!$A:$B,2,0)</f>
        <v>6.0323112418060303</v>
      </c>
      <c r="K311" s="9" t="s">
        <v>756</v>
      </c>
    </row>
    <row r="312" spans="1:11" ht="12.5" customHeight="1" x14ac:dyDescent="0.25">
      <c r="A312" s="5" t="s">
        <v>1144</v>
      </c>
      <c r="B312" s="6" t="s">
        <v>749</v>
      </c>
      <c r="C312" s="6" t="s">
        <v>1053</v>
      </c>
      <c r="D312" s="6" t="s">
        <v>1053</v>
      </c>
      <c r="E312" s="6" t="s">
        <v>1145</v>
      </c>
      <c r="F312" s="6" t="s">
        <v>1146</v>
      </c>
      <c r="G312" s="9"/>
      <c r="H312" s="9" t="s">
        <v>18</v>
      </c>
      <c r="I312" s="16" t="str">
        <f>VLOOKUP(F312,[1]完整分类结果!$E:$G,3,0)</f>
        <v>非金属矿采选业</v>
      </c>
      <c r="J312" s="16">
        <f>VLOOKUP(I312,[2]行业排放因子!$A:$B,2,0)</f>
        <v>8.6079385990449406</v>
      </c>
      <c r="K312" s="9" t="s">
        <v>756</v>
      </c>
    </row>
    <row r="313" spans="1:11" ht="12.5" customHeight="1" x14ac:dyDescent="0.25">
      <c r="A313" s="5" t="s">
        <v>1147</v>
      </c>
      <c r="B313" s="6" t="s">
        <v>749</v>
      </c>
      <c r="C313" s="6" t="s">
        <v>1053</v>
      </c>
      <c r="D313" s="6" t="s">
        <v>1148</v>
      </c>
      <c r="E313" s="6" t="s">
        <v>1149</v>
      </c>
      <c r="F313" s="6" t="s">
        <v>1148</v>
      </c>
      <c r="G313" s="9"/>
      <c r="H313" s="9" t="s">
        <v>18</v>
      </c>
      <c r="I313" s="16" t="str">
        <f>VLOOKUP(F313,[1]完整分类结果!$E:$G,3,0)</f>
        <v>其他矿采选业</v>
      </c>
      <c r="J313" s="16">
        <f>VLOOKUP(I313,[2]行业排放因子!$A:$B,2,0)</f>
        <v>6.0323112418060303</v>
      </c>
      <c r="K313" s="9" t="s">
        <v>756</v>
      </c>
    </row>
    <row r="314" spans="1:11" ht="12.5" customHeight="1" x14ac:dyDescent="0.25">
      <c r="A314" s="5" t="s">
        <v>1150</v>
      </c>
      <c r="B314" s="6" t="s">
        <v>749</v>
      </c>
      <c r="C314" s="6" t="s">
        <v>1053</v>
      </c>
      <c r="D314" s="6" t="s">
        <v>1053</v>
      </c>
      <c r="E314" s="6" t="s">
        <v>1151</v>
      </c>
      <c r="F314" s="6" t="s">
        <v>1152</v>
      </c>
      <c r="G314" s="9"/>
      <c r="H314" s="9" t="s">
        <v>18</v>
      </c>
      <c r="I314" s="16" t="str">
        <f>VLOOKUP(F314,[1]完整分类结果!$E:$G,3,0)</f>
        <v>非金属矿采选业</v>
      </c>
      <c r="J314" s="16">
        <f>VLOOKUP(I314,[2]行业排放因子!$A:$B,2,0)</f>
        <v>8.6079385990449406</v>
      </c>
      <c r="K314" s="9" t="s">
        <v>756</v>
      </c>
    </row>
    <row r="315" spans="1:11" ht="12.5" customHeight="1" x14ac:dyDescent="0.25">
      <c r="A315" s="5" t="s">
        <v>1153</v>
      </c>
      <c r="B315" s="6" t="s">
        <v>749</v>
      </c>
      <c r="C315" s="6" t="s">
        <v>1053</v>
      </c>
      <c r="D315" s="6" t="s">
        <v>1154</v>
      </c>
      <c r="E315" s="6" t="s">
        <v>1155</v>
      </c>
      <c r="F315" s="6" t="s">
        <v>1154</v>
      </c>
      <c r="G315" s="9"/>
      <c r="H315" s="9" t="s">
        <v>18</v>
      </c>
      <c r="I315" s="16" t="str">
        <f>VLOOKUP(F315,[1]完整分类结果!$E:$G,3,0)</f>
        <v>其他矿采选业</v>
      </c>
      <c r="J315" s="16">
        <f>VLOOKUP(I315,[2]行业排放因子!$A:$B,2,0)</f>
        <v>6.0323112418060303</v>
      </c>
      <c r="K315" s="9" t="s">
        <v>756</v>
      </c>
    </row>
    <row r="316" spans="1:11" ht="12.5" customHeight="1" x14ac:dyDescent="0.25">
      <c r="A316" s="5" t="s">
        <v>1156</v>
      </c>
      <c r="B316" s="6" t="s">
        <v>749</v>
      </c>
      <c r="C316" s="6" t="s">
        <v>1053</v>
      </c>
      <c r="D316" s="6" t="s">
        <v>1053</v>
      </c>
      <c r="E316" s="6" t="s">
        <v>1157</v>
      </c>
      <c r="F316" s="6" t="s">
        <v>1158</v>
      </c>
      <c r="G316" s="9"/>
      <c r="H316" s="9" t="s">
        <v>18</v>
      </c>
      <c r="I316" s="16" t="str">
        <f>VLOOKUP(F316,[1]完整分类结果!$E:$G,3,0)</f>
        <v>其他矿采选业</v>
      </c>
      <c r="J316" s="16">
        <f>VLOOKUP(I316,[2]行业排放因子!$A:$B,2,0)</f>
        <v>6.0323112418060303</v>
      </c>
      <c r="K316" s="9" t="s">
        <v>756</v>
      </c>
    </row>
    <row r="317" spans="1:11" ht="12.5" customHeight="1" x14ac:dyDescent="0.25">
      <c r="A317" s="5" t="s">
        <v>1159</v>
      </c>
      <c r="B317" s="6" t="s">
        <v>749</v>
      </c>
      <c r="C317" s="6" t="s">
        <v>1053</v>
      </c>
      <c r="D317" s="6" t="s">
        <v>1160</v>
      </c>
      <c r="E317" s="6" t="s">
        <v>1161</v>
      </c>
      <c r="F317" s="6" t="s">
        <v>1160</v>
      </c>
      <c r="G317" s="9"/>
      <c r="H317" s="9" t="s">
        <v>18</v>
      </c>
      <c r="I317" s="16" t="str">
        <f>VLOOKUP(F317,[1]完整分类结果!$E:$G,3,0)</f>
        <v>其他矿采选业</v>
      </c>
      <c r="J317" s="16">
        <f>VLOOKUP(I317,[2]行业排放因子!$A:$B,2,0)</f>
        <v>6.0323112418060303</v>
      </c>
      <c r="K317" s="9" t="s">
        <v>756</v>
      </c>
    </row>
    <row r="318" spans="1:11" ht="12.5" customHeight="1" x14ac:dyDescent="0.25">
      <c r="A318" s="5" t="s">
        <v>1162</v>
      </c>
      <c r="B318" s="6" t="s">
        <v>749</v>
      </c>
      <c r="C318" s="6" t="s">
        <v>1053</v>
      </c>
      <c r="D318" s="6" t="s">
        <v>1163</v>
      </c>
      <c r="E318" s="6" t="s">
        <v>1164</v>
      </c>
      <c r="F318" s="6" t="s">
        <v>1163</v>
      </c>
      <c r="G318" s="9"/>
      <c r="H318" s="9" t="s">
        <v>18</v>
      </c>
      <c r="I318" s="16" t="str">
        <f>VLOOKUP(F318,[1]完整分类结果!$E:$G,3,0)</f>
        <v>其他矿采选业</v>
      </c>
      <c r="J318" s="16">
        <f>VLOOKUP(I318,[2]行业排放因子!$A:$B,2,0)</f>
        <v>6.0323112418060303</v>
      </c>
      <c r="K318" s="9" t="s">
        <v>756</v>
      </c>
    </row>
    <row r="319" spans="1:11" ht="12.5" customHeight="1" x14ac:dyDescent="0.25">
      <c r="A319" s="5" t="s">
        <v>1165</v>
      </c>
      <c r="B319" s="6" t="s">
        <v>749</v>
      </c>
      <c r="C319" s="6" t="s">
        <v>1053</v>
      </c>
      <c r="D319" s="6" t="s">
        <v>1166</v>
      </c>
      <c r="E319" s="6" t="s">
        <v>1167</v>
      </c>
      <c r="F319" s="6" t="s">
        <v>1166</v>
      </c>
      <c r="G319" s="9"/>
      <c r="H319" s="9" t="s">
        <v>18</v>
      </c>
      <c r="I319" s="16" t="str">
        <f>VLOOKUP(F319,[1]完整分类结果!$E:$G,3,0)</f>
        <v>其他矿采选业</v>
      </c>
      <c r="J319" s="16">
        <f>VLOOKUP(I319,[2]行业排放因子!$A:$B,2,0)</f>
        <v>6.0323112418060303</v>
      </c>
      <c r="K319" s="9" t="s">
        <v>756</v>
      </c>
    </row>
    <row r="320" spans="1:11" ht="12.5" customHeight="1" x14ac:dyDescent="0.25">
      <c r="A320" s="5" t="s">
        <v>1168</v>
      </c>
      <c r="B320" s="6" t="s">
        <v>749</v>
      </c>
      <c r="C320" s="6" t="s">
        <v>1053</v>
      </c>
      <c r="D320" s="6" t="s">
        <v>1169</v>
      </c>
      <c r="E320" s="6" t="s">
        <v>1170</v>
      </c>
      <c r="F320" s="6" t="s">
        <v>1169</v>
      </c>
      <c r="G320" s="9"/>
      <c r="H320" s="9" t="s">
        <v>18</v>
      </c>
      <c r="I320" s="16" t="str">
        <f>VLOOKUP(F320,[1]完整分类结果!$E:$G,3,0)</f>
        <v>其他矿采选业</v>
      </c>
      <c r="J320" s="16">
        <f>VLOOKUP(I320,[2]行业排放因子!$A:$B,2,0)</f>
        <v>6.0323112418060303</v>
      </c>
      <c r="K320" s="9" t="s">
        <v>756</v>
      </c>
    </row>
    <row r="321" spans="1:11" ht="12.5" customHeight="1" x14ac:dyDescent="0.25">
      <c r="A321" s="5" t="s">
        <v>1171</v>
      </c>
      <c r="B321" s="6" t="s">
        <v>749</v>
      </c>
      <c r="C321" s="6" t="s">
        <v>1053</v>
      </c>
      <c r="D321" s="6" t="s">
        <v>1172</v>
      </c>
      <c r="E321" s="6" t="s">
        <v>1173</v>
      </c>
      <c r="F321" s="6" t="s">
        <v>1172</v>
      </c>
      <c r="G321" s="9"/>
      <c r="H321" s="9" t="s">
        <v>18</v>
      </c>
      <c r="I321" s="16" t="str">
        <f>VLOOKUP(F321,[1]完整分类结果!$E:$G,3,0)</f>
        <v>其他矿采选业</v>
      </c>
      <c r="J321" s="16">
        <f>VLOOKUP(I321,[2]行业排放因子!$A:$B,2,0)</f>
        <v>6.0323112418060303</v>
      </c>
      <c r="K321" s="9" t="s">
        <v>756</v>
      </c>
    </row>
    <row r="322" spans="1:11" ht="12.5" customHeight="1" x14ac:dyDescent="0.25">
      <c r="A322" s="5" t="s">
        <v>1174</v>
      </c>
      <c r="B322" s="6" t="s">
        <v>749</v>
      </c>
      <c r="C322" s="6" t="s">
        <v>1053</v>
      </c>
      <c r="D322" s="6" t="s">
        <v>1175</v>
      </c>
      <c r="E322" s="6" t="s">
        <v>1176</v>
      </c>
      <c r="F322" s="6" t="s">
        <v>1175</v>
      </c>
      <c r="G322" s="9"/>
      <c r="H322" s="9" t="s">
        <v>18</v>
      </c>
      <c r="I322" s="16" t="str">
        <f>VLOOKUP(F322,[1]完整分类结果!$E:$G,3,0)</f>
        <v>其他矿采选业</v>
      </c>
      <c r="J322" s="16">
        <f>VLOOKUP(I322,[2]行业排放因子!$A:$B,2,0)</f>
        <v>6.0323112418060303</v>
      </c>
      <c r="K322" s="9" t="s">
        <v>756</v>
      </c>
    </row>
    <row r="323" spans="1:11" ht="12.5" customHeight="1" x14ac:dyDescent="0.25">
      <c r="A323" s="5" t="s">
        <v>1177</v>
      </c>
      <c r="B323" s="6" t="s">
        <v>749</v>
      </c>
      <c r="C323" s="6" t="s">
        <v>1053</v>
      </c>
      <c r="D323" s="6" t="s">
        <v>1178</v>
      </c>
      <c r="E323" s="6" t="s">
        <v>1179</v>
      </c>
      <c r="F323" s="6" t="s">
        <v>1178</v>
      </c>
      <c r="G323" s="9"/>
      <c r="H323" s="9" t="s">
        <v>18</v>
      </c>
      <c r="I323" s="16" t="str">
        <f>VLOOKUP(F323,[1]完整分类结果!$E:$G,3,0)</f>
        <v>其他矿采选业</v>
      </c>
      <c r="J323" s="16">
        <f>VLOOKUP(I323,[2]行业排放因子!$A:$B,2,0)</f>
        <v>6.0323112418060303</v>
      </c>
      <c r="K323" s="9" t="s">
        <v>756</v>
      </c>
    </row>
    <row r="324" spans="1:11" ht="12.5" customHeight="1" x14ac:dyDescent="0.25">
      <c r="A324" s="5" t="s">
        <v>1180</v>
      </c>
      <c r="B324" s="6" t="s">
        <v>749</v>
      </c>
      <c r="C324" s="6" t="s">
        <v>1053</v>
      </c>
      <c r="D324" s="6" t="s">
        <v>1181</v>
      </c>
      <c r="E324" s="6" t="s">
        <v>1182</v>
      </c>
      <c r="F324" s="6" t="s">
        <v>1181</v>
      </c>
      <c r="G324" s="9"/>
      <c r="H324" s="9" t="s">
        <v>18</v>
      </c>
      <c r="I324" s="16" t="str">
        <f>VLOOKUP(F324,[1]完整分类结果!$E:$G,3,0)</f>
        <v>其他矿采选业</v>
      </c>
      <c r="J324" s="16">
        <f>VLOOKUP(I324,[2]行业排放因子!$A:$B,2,0)</f>
        <v>6.0323112418060303</v>
      </c>
      <c r="K324" s="9" t="s">
        <v>756</v>
      </c>
    </row>
    <row r="325" spans="1:11" ht="12.5" customHeight="1" x14ac:dyDescent="0.25">
      <c r="A325" s="5" t="s">
        <v>1183</v>
      </c>
      <c r="B325" s="6" t="s">
        <v>749</v>
      </c>
      <c r="C325" s="6" t="s">
        <v>1053</v>
      </c>
      <c r="D325" s="6" t="s">
        <v>1184</v>
      </c>
      <c r="E325" s="6" t="s">
        <v>1185</v>
      </c>
      <c r="F325" s="6" t="s">
        <v>1184</v>
      </c>
      <c r="G325" s="9"/>
      <c r="H325" s="9" t="s">
        <v>18</v>
      </c>
      <c r="I325" s="16" t="str">
        <f>VLOOKUP(F325,[1]完整分类结果!$E:$G,3,0)</f>
        <v>其他矿采选业</v>
      </c>
      <c r="J325" s="16">
        <f>VLOOKUP(I325,[2]行业排放因子!$A:$B,2,0)</f>
        <v>6.0323112418060303</v>
      </c>
      <c r="K325" s="9" t="s">
        <v>756</v>
      </c>
    </row>
    <row r="326" spans="1:11" ht="12.5" customHeight="1" x14ac:dyDescent="0.25">
      <c r="A326" s="5" t="s">
        <v>1186</v>
      </c>
      <c r="B326" s="6" t="s">
        <v>749</v>
      </c>
      <c r="C326" s="6" t="s">
        <v>1053</v>
      </c>
      <c r="D326" s="6" t="s">
        <v>1187</v>
      </c>
      <c r="E326" s="6" t="s">
        <v>1188</v>
      </c>
      <c r="F326" s="6" t="s">
        <v>1187</v>
      </c>
      <c r="G326" s="9"/>
      <c r="H326" s="9" t="s">
        <v>18</v>
      </c>
      <c r="I326" s="16" t="str">
        <f>VLOOKUP(F326,[1]完整分类结果!$E:$G,3,0)</f>
        <v>其他矿采选业</v>
      </c>
      <c r="J326" s="16">
        <f>VLOOKUP(I326,[2]行业排放因子!$A:$B,2,0)</f>
        <v>6.0323112418060303</v>
      </c>
      <c r="K326" s="9" t="s">
        <v>756</v>
      </c>
    </row>
    <row r="327" spans="1:11" ht="12.5" customHeight="1" x14ac:dyDescent="0.25">
      <c r="A327" s="5" t="s">
        <v>1189</v>
      </c>
      <c r="B327" s="6" t="s">
        <v>749</v>
      </c>
      <c r="C327" s="6" t="s">
        <v>1053</v>
      </c>
      <c r="D327" s="6" t="s">
        <v>1190</v>
      </c>
      <c r="E327" s="6" t="s">
        <v>1191</v>
      </c>
      <c r="F327" s="6" t="s">
        <v>1190</v>
      </c>
      <c r="G327" s="9"/>
      <c r="H327" s="9" t="s">
        <v>18</v>
      </c>
      <c r="I327" s="16" t="str">
        <f>VLOOKUP(F327,[1]完整分类结果!$E:$G,3,0)</f>
        <v>其他矿采选业</v>
      </c>
      <c r="J327" s="16">
        <f>VLOOKUP(I327,[2]行业排放因子!$A:$B,2,0)</f>
        <v>6.0323112418060303</v>
      </c>
      <c r="K327" s="9" t="s">
        <v>756</v>
      </c>
    </row>
    <row r="328" spans="1:11" ht="12.5" customHeight="1" x14ac:dyDescent="0.25">
      <c r="A328" s="5" t="s">
        <v>1192</v>
      </c>
      <c r="B328" s="6" t="s">
        <v>749</v>
      </c>
      <c r="C328" s="6" t="s">
        <v>1053</v>
      </c>
      <c r="D328" s="6" t="s">
        <v>1193</v>
      </c>
      <c r="E328" s="6" t="s">
        <v>1194</v>
      </c>
      <c r="F328" s="6" t="s">
        <v>1193</v>
      </c>
      <c r="G328" s="9"/>
      <c r="H328" s="9" t="s">
        <v>18</v>
      </c>
      <c r="I328" s="16" t="str">
        <f>VLOOKUP(F328,[1]完整分类结果!$E:$G,3,0)</f>
        <v>其他矿采选业</v>
      </c>
      <c r="J328" s="16">
        <f>VLOOKUP(I328,[2]行业排放因子!$A:$B,2,0)</f>
        <v>6.0323112418060303</v>
      </c>
      <c r="K328" s="9" t="s">
        <v>756</v>
      </c>
    </row>
    <row r="329" spans="1:11" ht="12.5" customHeight="1" x14ac:dyDescent="0.25">
      <c r="A329" s="5" t="s">
        <v>1195</v>
      </c>
      <c r="B329" s="6" t="s">
        <v>749</v>
      </c>
      <c r="C329" s="6" t="s">
        <v>1053</v>
      </c>
      <c r="D329" s="6" t="s">
        <v>1196</v>
      </c>
      <c r="E329" s="6" t="s">
        <v>1197</v>
      </c>
      <c r="F329" s="6" t="s">
        <v>1196</v>
      </c>
      <c r="G329" s="9"/>
      <c r="H329" s="9" t="s">
        <v>18</v>
      </c>
      <c r="I329" s="16" t="str">
        <f>VLOOKUP(F329,[1]完整分类结果!$E:$G,3,0)</f>
        <v>其他矿采选业</v>
      </c>
      <c r="J329" s="16">
        <f>VLOOKUP(I329,[2]行业排放因子!$A:$B,2,0)</f>
        <v>6.0323112418060303</v>
      </c>
      <c r="K329" s="9" t="s">
        <v>756</v>
      </c>
    </row>
    <row r="330" spans="1:11" ht="12.5" customHeight="1" x14ac:dyDescent="0.25">
      <c r="A330" s="5" t="s">
        <v>1198</v>
      </c>
      <c r="B330" s="6" t="s">
        <v>749</v>
      </c>
      <c r="C330" s="6" t="s">
        <v>1053</v>
      </c>
      <c r="D330" s="6" t="s">
        <v>1199</v>
      </c>
      <c r="E330" s="6" t="s">
        <v>1200</v>
      </c>
      <c r="F330" s="6" t="s">
        <v>1199</v>
      </c>
      <c r="G330" s="9"/>
      <c r="H330" s="9" t="s">
        <v>18</v>
      </c>
      <c r="I330" s="16" t="str">
        <f>VLOOKUP(F330,[1]完整分类结果!$E:$G,3,0)</f>
        <v>其他矿采选业</v>
      </c>
      <c r="J330" s="16">
        <f>VLOOKUP(I330,[2]行业排放因子!$A:$B,2,0)</f>
        <v>6.0323112418060303</v>
      </c>
      <c r="K330" s="9" t="s">
        <v>756</v>
      </c>
    </row>
    <row r="331" spans="1:11" ht="12.5" customHeight="1" x14ac:dyDescent="0.25">
      <c r="A331" s="5" t="s">
        <v>1201</v>
      </c>
      <c r="B331" s="6" t="s">
        <v>749</v>
      </c>
      <c r="C331" s="6" t="s">
        <v>1053</v>
      </c>
      <c r="D331" s="6" t="s">
        <v>1202</v>
      </c>
      <c r="E331" s="6" t="s">
        <v>1203</v>
      </c>
      <c r="F331" s="6" t="s">
        <v>1202</v>
      </c>
      <c r="G331" s="9"/>
      <c r="H331" s="9" t="s">
        <v>18</v>
      </c>
      <c r="I331" s="16" t="str">
        <f>VLOOKUP(F331,[1]完整分类结果!$E:$G,3,0)</f>
        <v>其他矿采选业</v>
      </c>
      <c r="J331" s="16">
        <f>VLOOKUP(I331,[2]行业排放因子!$A:$B,2,0)</f>
        <v>6.0323112418060303</v>
      </c>
      <c r="K331" s="9" t="s">
        <v>756</v>
      </c>
    </row>
    <row r="332" spans="1:11" ht="12.5" customHeight="1" x14ac:dyDescent="0.25">
      <c r="A332" s="5" t="s">
        <v>1204</v>
      </c>
      <c r="B332" s="6" t="s">
        <v>749</v>
      </c>
      <c r="C332" s="6" t="s">
        <v>1053</v>
      </c>
      <c r="D332" s="6" t="s">
        <v>1205</v>
      </c>
      <c r="E332" s="6" t="s">
        <v>1206</v>
      </c>
      <c r="F332" s="6" t="s">
        <v>1205</v>
      </c>
      <c r="G332" s="9"/>
      <c r="H332" s="9" t="s">
        <v>18</v>
      </c>
      <c r="I332" s="16" t="str">
        <f>VLOOKUP(F332,[1]完整分类结果!$E:$G,3,0)</f>
        <v>其他矿采选业</v>
      </c>
      <c r="J332" s="16">
        <f>VLOOKUP(I332,[2]行业排放因子!$A:$B,2,0)</f>
        <v>6.0323112418060303</v>
      </c>
      <c r="K332" s="9" t="s">
        <v>756</v>
      </c>
    </row>
    <row r="333" spans="1:11" ht="12.5" customHeight="1" x14ac:dyDescent="0.25">
      <c r="A333" s="5" t="s">
        <v>1207</v>
      </c>
      <c r="B333" s="6" t="s">
        <v>749</v>
      </c>
      <c r="C333" s="6" t="s">
        <v>1053</v>
      </c>
      <c r="D333" s="6" t="s">
        <v>1208</v>
      </c>
      <c r="E333" s="6" t="s">
        <v>1209</v>
      </c>
      <c r="F333" s="6" t="s">
        <v>1208</v>
      </c>
      <c r="G333" s="9"/>
      <c r="H333" s="9" t="s">
        <v>18</v>
      </c>
      <c r="I333" s="16" t="str">
        <f>VLOOKUP(F333,[1]完整分类结果!$E:$G,3,0)</f>
        <v>黑色金属矿采选业</v>
      </c>
      <c r="J333" s="16">
        <f>VLOOKUP(I333,[2]行业排放因子!$A:$B,2,0)</f>
        <v>12.6475853646917</v>
      </c>
      <c r="K333" s="9" t="s">
        <v>756</v>
      </c>
    </row>
    <row r="334" spans="1:11" ht="12.5" customHeight="1" x14ac:dyDescent="0.25">
      <c r="A334" s="5" t="s">
        <v>1210</v>
      </c>
      <c r="B334" s="6" t="s">
        <v>749</v>
      </c>
      <c r="C334" s="6" t="s">
        <v>1053</v>
      </c>
      <c r="D334" s="6" t="s">
        <v>1211</v>
      </c>
      <c r="E334" s="6" t="s">
        <v>1212</v>
      </c>
      <c r="F334" s="6" t="s">
        <v>1211</v>
      </c>
      <c r="G334" s="9"/>
      <c r="H334" s="9" t="s">
        <v>18</v>
      </c>
      <c r="I334" s="16" t="str">
        <f>VLOOKUP(F334,[1]完整分类结果!$E:$G,3,0)</f>
        <v>黑色金属矿采选业</v>
      </c>
      <c r="J334" s="16">
        <f>VLOOKUP(I334,[2]行业排放因子!$A:$B,2,0)</f>
        <v>12.6475853646917</v>
      </c>
      <c r="K334" s="9" t="s">
        <v>756</v>
      </c>
    </row>
    <row r="335" spans="1:11" ht="12.5" customHeight="1" x14ac:dyDescent="0.25">
      <c r="A335" s="5" t="s">
        <v>1213</v>
      </c>
      <c r="B335" s="6" t="s">
        <v>749</v>
      </c>
      <c r="C335" s="6" t="s">
        <v>1053</v>
      </c>
      <c r="D335" s="6" t="s">
        <v>1214</v>
      </c>
      <c r="E335" s="6" t="s">
        <v>1215</v>
      </c>
      <c r="F335" s="6" t="s">
        <v>1214</v>
      </c>
      <c r="G335" s="9"/>
      <c r="H335" s="9" t="s">
        <v>18</v>
      </c>
      <c r="I335" s="16" t="str">
        <f>VLOOKUP(F335,[1]完整分类结果!$E:$G,3,0)</f>
        <v>其他矿采选业</v>
      </c>
      <c r="J335" s="16">
        <f>VLOOKUP(I335,[2]行业排放因子!$A:$B,2,0)</f>
        <v>6.0323112418060303</v>
      </c>
      <c r="K335" s="9" t="s">
        <v>756</v>
      </c>
    </row>
    <row r="336" spans="1:11" ht="12.5" customHeight="1" x14ac:dyDescent="0.25">
      <c r="A336" s="5" t="s">
        <v>1216</v>
      </c>
      <c r="B336" s="6" t="s">
        <v>749</v>
      </c>
      <c r="C336" s="6" t="s">
        <v>1053</v>
      </c>
      <c r="D336" s="6" t="s">
        <v>1217</v>
      </c>
      <c r="E336" s="6" t="s">
        <v>1218</v>
      </c>
      <c r="F336" s="6" t="s">
        <v>1217</v>
      </c>
      <c r="G336" s="9"/>
      <c r="H336" s="9" t="s">
        <v>18</v>
      </c>
      <c r="I336" s="16" t="str">
        <f>VLOOKUP(F336,[1]完整分类结果!$E:$G,3,0)</f>
        <v>其他矿采选业</v>
      </c>
      <c r="J336" s="16">
        <f>VLOOKUP(I336,[2]行业排放因子!$A:$B,2,0)</f>
        <v>6.0323112418060303</v>
      </c>
      <c r="K336" s="9" t="s">
        <v>756</v>
      </c>
    </row>
    <row r="337" spans="1:11" ht="12.5" customHeight="1" x14ac:dyDescent="0.25">
      <c r="A337" s="5" t="s">
        <v>1219</v>
      </c>
      <c r="B337" s="6" t="s">
        <v>749</v>
      </c>
      <c r="C337" s="6" t="s">
        <v>1053</v>
      </c>
      <c r="D337" s="6" t="s">
        <v>1220</v>
      </c>
      <c r="E337" s="6" t="s">
        <v>1221</v>
      </c>
      <c r="F337" s="6" t="s">
        <v>1220</v>
      </c>
      <c r="G337" s="9"/>
      <c r="H337" s="9" t="s">
        <v>18</v>
      </c>
      <c r="I337" s="16" t="str">
        <f>VLOOKUP(F337,[1]完整分类结果!$E:$G,3,0)</f>
        <v>其他矿采选业</v>
      </c>
      <c r="J337" s="16">
        <f>VLOOKUP(I337,[2]行业排放因子!$A:$B,2,0)</f>
        <v>6.0323112418060303</v>
      </c>
      <c r="K337" s="9" t="s">
        <v>756</v>
      </c>
    </row>
    <row r="338" spans="1:11" ht="12.5" customHeight="1" x14ac:dyDescent="0.25">
      <c r="A338" s="5" t="s">
        <v>1222</v>
      </c>
      <c r="B338" s="6" t="s">
        <v>749</v>
      </c>
      <c r="C338" s="6" t="s">
        <v>1053</v>
      </c>
      <c r="D338" s="6" t="s">
        <v>1053</v>
      </c>
      <c r="E338" s="6" t="s">
        <v>1223</v>
      </c>
      <c r="F338" s="6" t="s">
        <v>1224</v>
      </c>
      <c r="G338" s="9"/>
      <c r="H338" s="9" t="s">
        <v>18</v>
      </c>
      <c r="I338" s="16" t="str">
        <f>VLOOKUP(F338,[1]完整分类结果!$E:$G,3,0)</f>
        <v>其他矿采选业</v>
      </c>
      <c r="J338" s="16">
        <f>VLOOKUP(I338,[2]行业排放因子!$A:$B,2,0)</f>
        <v>6.0323112418060303</v>
      </c>
      <c r="K338" s="9" t="s">
        <v>756</v>
      </c>
    </row>
    <row r="339" spans="1:11" ht="12.5" customHeight="1" x14ac:dyDescent="0.25">
      <c r="A339" s="5" t="s">
        <v>1225</v>
      </c>
      <c r="B339" s="6" t="s">
        <v>749</v>
      </c>
      <c r="C339" s="6" t="s">
        <v>1053</v>
      </c>
      <c r="D339" s="6" t="s">
        <v>1226</v>
      </c>
      <c r="E339" s="6" t="s">
        <v>1227</v>
      </c>
      <c r="F339" s="6" t="s">
        <v>1226</v>
      </c>
      <c r="G339" s="9"/>
      <c r="H339" s="9" t="s">
        <v>18</v>
      </c>
      <c r="I339" s="16" t="str">
        <f>VLOOKUP(F339,[1]完整分类结果!$E:$G,3,0)</f>
        <v>其他矿采选业</v>
      </c>
      <c r="J339" s="16">
        <f>VLOOKUP(I339,[2]行业排放因子!$A:$B,2,0)</f>
        <v>6.0323112418060303</v>
      </c>
      <c r="K339" s="9" t="s">
        <v>756</v>
      </c>
    </row>
    <row r="340" spans="1:11" ht="12.5" customHeight="1" x14ac:dyDescent="0.25">
      <c r="A340" s="5" t="s">
        <v>1228</v>
      </c>
      <c r="B340" s="6" t="s">
        <v>749</v>
      </c>
      <c r="C340" s="6" t="s">
        <v>1053</v>
      </c>
      <c r="D340" s="6" t="s">
        <v>1229</v>
      </c>
      <c r="E340" s="6" t="s">
        <v>1230</v>
      </c>
      <c r="F340" s="6" t="s">
        <v>1229</v>
      </c>
      <c r="G340" s="9"/>
      <c r="H340" s="9" t="s">
        <v>18</v>
      </c>
      <c r="I340" s="16" t="str">
        <f>VLOOKUP(F340,[1]完整分类结果!$E:$G,3,0)</f>
        <v>其他矿采选业</v>
      </c>
      <c r="J340" s="16">
        <f>VLOOKUP(I340,[2]行业排放因子!$A:$B,2,0)</f>
        <v>6.0323112418060303</v>
      </c>
      <c r="K340" s="9" t="s">
        <v>756</v>
      </c>
    </row>
    <row r="341" spans="1:11" ht="12.5" customHeight="1" x14ac:dyDescent="0.25">
      <c r="A341" s="5" t="s">
        <v>1231</v>
      </c>
      <c r="B341" s="6" t="s">
        <v>749</v>
      </c>
      <c r="C341" s="6" t="s">
        <v>1053</v>
      </c>
      <c r="D341" s="6" t="s">
        <v>1232</v>
      </c>
      <c r="E341" s="6" t="s">
        <v>1233</v>
      </c>
      <c r="F341" s="6" t="s">
        <v>1232</v>
      </c>
      <c r="G341" s="9"/>
      <c r="H341" s="9" t="s">
        <v>18</v>
      </c>
      <c r="I341" s="16" t="str">
        <f>VLOOKUP(F341,[1]完整分类结果!$E:$G,3,0)</f>
        <v>其他矿采选业</v>
      </c>
      <c r="J341" s="16">
        <f>VLOOKUP(I341,[2]行业排放因子!$A:$B,2,0)</f>
        <v>6.0323112418060303</v>
      </c>
      <c r="K341" s="9" t="s">
        <v>756</v>
      </c>
    </row>
    <row r="342" spans="1:11" ht="12.5" customHeight="1" x14ac:dyDescent="0.25">
      <c r="A342" s="5" t="s">
        <v>1234</v>
      </c>
      <c r="B342" s="6" t="s">
        <v>749</v>
      </c>
      <c r="C342" s="6" t="s">
        <v>1053</v>
      </c>
      <c r="D342" s="6" t="s">
        <v>1235</v>
      </c>
      <c r="E342" s="6" t="s">
        <v>1236</v>
      </c>
      <c r="F342" s="6" t="s">
        <v>1235</v>
      </c>
      <c r="G342" s="9"/>
      <c r="H342" s="9" t="s">
        <v>18</v>
      </c>
      <c r="I342" s="16" t="str">
        <f>VLOOKUP(F342,[1]完整分类结果!$E:$G,3,0)</f>
        <v>其他矿采选业</v>
      </c>
      <c r="J342" s="16">
        <f>VLOOKUP(I342,[2]行业排放因子!$A:$B,2,0)</f>
        <v>6.0323112418060303</v>
      </c>
      <c r="K342" s="9" t="s">
        <v>756</v>
      </c>
    </row>
    <row r="343" spans="1:11" ht="12.5" customHeight="1" x14ac:dyDescent="0.25">
      <c r="A343" s="5" t="s">
        <v>1237</v>
      </c>
      <c r="B343" s="6" t="s">
        <v>749</v>
      </c>
      <c r="C343" s="6" t="s">
        <v>1053</v>
      </c>
      <c r="D343" s="6" t="s">
        <v>1238</v>
      </c>
      <c r="E343" s="6" t="s">
        <v>1239</v>
      </c>
      <c r="F343" s="6" t="s">
        <v>1238</v>
      </c>
      <c r="G343" s="9"/>
      <c r="H343" s="9" t="s">
        <v>18</v>
      </c>
      <c r="I343" s="16" t="str">
        <f>VLOOKUP(F343,[1]完整分类结果!$E:$G,3,0)</f>
        <v>其他矿采选业</v>
      </c>
      <c r="J343" s="16">
        <f>VLOOKUP(I343,[2]行业排放因子!$A:$B,2,0)</f>
        <v>6.0323112418060303</v>
      </c>
      <c r="K343" s="9" t="s">
        <v>756</v>
      </c>
    </row>
    <row r="344" spans="1:11" ht="12.5" customHeight="1" x14ac:dyDescent="0.25">
      <c r="A344" s="5" t="s">
        <v>1240</v>
      </c>
      <c r="B344" s="6" t="s">
        <v>749</v>
      </c>
      <c r="C344" s="6" t="s">
        <v>1053</v>
      </c>
      <c r="D344" s="6" t="s">
        <v>1241</v>
      </c>
      <c r="E344" s="6" t="s">
        <v>1242</v>
      </c>
      <c r="F344" s="6" t="s">
        <v>1241</v>
      </c>
      <c r="G344" s="9"/>
      <c r="H344" s="9" t="s">
        <v>18</v>
      </c>
      <c r="I344" s="16" t="str">
        <f>VLOOKUP(F344,[1]完整分类结果!$E:$G,3,0)</f>
        <v>其他矿采选业</v>
      </c>
      <c r="J344" s="16">
        <f>VLOOKUP(I344,[2]行业排放因子!$A:$B,2,0)</f>
        <v>6.0323112418060303</v>
      </c>
      <c r="K344" s="9" t="s">
        <v>756</v>
      </c>
    </row>
    <row r="345" spans="1:11" ht="12.5" customHeight="1" x14ac:dyDescent="0.25">
      <c r="A345" s="5" t="s">
        <v>1243</v>
      </c>
      <c r="B345" s="6" t="s">
        <v>749</v>
      </c>
      <c r="C345" s="6" t="s">
        <v>1053</v>
      </c>
      <c r="D345" s="6" t="s">
        <v>1244</v>
      </c>
      <c r="E345" s="6" t="s">
        <v>1245</v>
      </c>
      <c r="F345" s="6" t="s">
        <v>1244</v>
      </c>
      <c r="G345" s="9"/>
      <c r="H345" s="9" t="s">
        <v>18</v>
      </c>
      <c r="I345" s="16" t="str">
        <f>VLOOKUP(F345,[1]完整分类结果!$E:$G,3,0)</f>
        <v>其他矿采选业</v>
      </c>
      <c r="J345" s="16">
        <f>VLOOKUP(I345,[2]行业排放因子!$A:$B,2,0)</f>
        <v>6.0323112418060303</v>
      </c>
      <c r="K345" s="9" t="s">
        <v>756</v>
      </c>
    </row>
    <row r="346" spans="1:11" ht="12.5" customHeight="1" x14ac:dyDescent="0.25">
      <c r="A346" s="5" t="s">
        <v>1246</v>
      </c>
      <c r="B346" s="6" t="s">
        <v>749</v>
      </c>
      <c r="C346" s="6" t="s">
        <v>1053</v>
      </c>
      <c r="D346" s="6" t="s">
        <v>1247</v>
      </c>
      <c r="E346" s="6" t="s">
        <v>1248</v>
      </c>
      <c r="F346" s="6" t="s">
        <v>1247</v>
      </c>
      <c r="G346" s="9"/>
      <c r="H346" s="9" t="s">
        <v>18</v>
      </c>
      <c r="I346" s="16" t="str">
        <f>VLOOKUP(F346,[1]完整分类结果!$E:$G,3,0)</f>
        <v>非金属矿采选业</v>
      </c>
      <c r="J346" s="16">
        <f>VLOOKUP(I346,[2]行业排放因子!$A:$B,2,0)</f>
        <v>8.6079385990449406</v>
      </c>
      <c r="K346" s="9" t="s">
        <v>756</v>
      </c>
    </row>
    <row r="347" spans="1:11" ht="12.5" customHeight="1" x14ac:dyDescent="0.25">
      <c r="A347" s="5" t="s">
        <v>1249</v>
      </c>
      <c r="B347" s="6" t="s">
        <v>749</v>
      </c>
      <c r="C347" s="6" t="s">
        <v>1053</v>
      </c>
      <c r="D347" s="6" t="s">
        <v>1250</v>
      </c>
      <c r="E347" s="6" t="s">
        <v>1251</v>
      </c>
      <c r="F347" s="6" t="s">
        <v>1250</v>
      </c>
      <c r="G347" s="9"/>
      <c r="H347" s="9" t="s">
        <v>18</v>
      </c>
      <c r="I347" s="16" t="str">
        <f>VLOOKUP(F347,[1]完整分类结果!$E:$G,3,0)</f>
        <v>其他矿采选业</v>
      </c>
      <c r="J347" s="16">
        <f>VLOOKUP(I347,[2]行业排放因子!$A:$B,2,0)</f>
        <v>6.0323112418060303</v>
      </c>
      <c r="K347" s="9" t="s">
        <v>756</v>
      </c>
    </row>
    <row r="348" spans="1:11" ht="12.5" customHeight="1" x14ac:dyDescent="0.25">
      <c r="A348" s="5" t="s">
        <v>1252</v>
      </c>
      <c r="B348" s="6" t="s">
        <v>749</v>
      </c>
      <c r="C348" s="6" t="s">
        <v>1053</v>
      </c>
      <c r="D348" s="6" t="s">
        <v>1053</v>
      </c>
      <c r="E348" s="6" t="s">
        <v>1253</v>
      </c>
      <c r="F348" s="6" t="s">
        <v>1254</v>
      </c>
      <c r="G348" s="9"/>
      <c r="H348" s="9" t="s">
        <v>18</v>
      </c>
      <c r="I348" s="16" t="str">
        <f>VLOOKUP(F348,[1]完整分类结果!$E:$G,3,0)</f>
        <v>其他矿采选业</v>
      </c>
      <c r="J348" s="16">
        <f>VLOOKUP(I348,[2]行业排放因子!$A:$B,2,0)</f>
        <v>6.0323112418060303</v>
      </c>
      <c r="K348" s="9" t="s">
        <v>756</v>
      </c>
    </row>
    <row r="349" spans="1:11" ht="12.5" customHeight="1" x14ac:dyDescent="0.25">
      <c r="A349" s="5" t="s">
        <v>1255</v>
      </c>
      <c r="B349" s="6" t="s">
        <v>749</v>
      </c>
      <c r="C349" s="6" t="s">
        <v>1053</v>
      </c>
      <c r="D349" s="6" t="s">
        <v>1256</v>
      </c>
      <c r="E349" s="6" t="s">
        <v>1257</v>
      </c>
      <c r="F349" s="6" t="s">
        <v>1256</v>
      </c>
      <c r="G349" s="9"/>
      <c r="H349" s="9" t="s">
        <v>18</v>
      </c>
      <c r="I349" s="16" t="str">
        <f>VLOOKUP(F349,[1]完整分类结果!$E:$G,3,0)</f>
        <v>其他矿采选业</v>
      </c>
      <c r="J349" s="16">
        <f>VLOOKUP(I349,[2]行业排放因子!$A:$B,2,0)</f>
        <v>6.0323112418060303</v>
      </c>
      <c r="K349" s="9" t="s">
        <v>756</v>
      </c>
    </row>
    <row r="350" spans="1:11" ht="12.5" customHeight="1" x14ac:dyDescent="0.25">
      <c r="A350" s="5" t="s">
        <v>1258</v>
      </c>
      <c r="B350" s="6" t="s">
        <v>749</v>
      </c>
      <c r="C350" s="6" t="s">
        <v>1053</v>
      </c>
      <c r="D350" s="6" t="s">
        <v>1259</v>
      </c>
      <c r="E350" s="6" t="s">
        <v>1260</v>
      </c>
      <c r="F350" s="6" t="s">
        <v>1259</v>
      </c>
      <c r="G350" s="9"/>
      <c r="H350" s="9" t="s">
        <v>18</v>
      </c>
      <c r="I350" s="16" t="str">
        <f>VLOOKUP(F350,[1]完整分类结果!$E:$G,3,0)</f>
        <v>其他矿采选业</v>
      </c>
      <c r="J350" s="16">
        <f>VLOOKUP(I350,[2]行业排放因子!$A:$B,2,0)</f>
        <v>6.0323112418060303</v>
      </c>
      <c r="K350" s="9" t="s">
        <v>756</v>
      </c>
    </row>
    <row r="351" spans="1:11" ht="12.5" customHeight="1" x14ac:dyDescent="0.25">
      <c r="A351" s="5" t="s">
        <v>1261</v>
      </c>
      <c r="B351" s="6" t="s">
        <v>749</v>
      </c>
      <c r="C351" s="6" t="s">
        <v>1053</v>
      </c>
      <c r="D351" s="6" t="s">
        <v>1262</v>
      </c>
      <c r="E351" s="6" t="s">
        <v>1263</v>
      </c>
      <c r="F351" s="6" t="s">
        <v>1262</v>
      </c>
      <c r="G351" s="9"/>
      <c r="H351" s="9" t="s">
        <v>18</v>
      </c>
      <c r="I351" s="16" t="str">
        <f>VLOOKUP(F351,[1]完整分类结果!$E:$G,3,0)</f>
        <v>其他矿采选业</v>
      </c>
      <c r="J351" s="16">
        <f>VLOOKUP(I351,[2]行业排放因子!$A:$B,2,0)</f>
        <v>6.0323112418060303</v>
      </c>
      <c r="K351" s="9" t="s">
        <v>756</v>
      </c>
    </row>
    <row r="352" spans="1:11" ht="12.5" customHeight="1" x14ac:dyDescent="0.25">
      <c r="A352" s="5" t="s">
        <v>1264</v>
      </c>
      <c r="B352" s="6" t="s">
        <v>749</v>
      </c>
      <c r="C352" s="6" t="s">
        <v>1053</v>
      </c>
      <c r="D352" s="6" t="s">
        <v>1265</v>
      </c>
      <c r="E352" s="6" t="s">
        <v>1266</v>
      </c>
      <c r="F352" s="6" t="s">
        <v>1265</v>
      </c>
      <c r="G352" s="9"/>
      <c r="H352" s="9" t="s">
        <v>18</v>
      </c>
      <c r="I352" s="16" t="str">
        <f>VLOOKUP(F352,[1]完整分类结果!$E:$G,3,0)</f>
        <v>其他矿采选业</v>
      </c>
      <c r="J352" s="16">
        <f>VLOOKUP(I352,[2]行业排放因子!$A:$B,2,0)</f>
        <v>6.0323112418060303</v>
      </c>
      <c r="K352" s="9" t="s">
        <v>756</v>
      </c>
    </row>
    <row r="353" spans="1:11" ht="12.5" customHeight="1" x14ac:dyDescent="0.25">
      <c r="A353" s="5" t="s">
        <v>1267</v>
      </c>
      <c r="B353" s="6" t="s">
        <v>749</v>
      </c>
      <c r="C353" s="6" t="s">
        <v>1053</v>
      </c>
      <c r="D353" s="6" t="s">
        <v>1268</v>
      </c>
      <c r="E353" s="6" t="s">
        <v>1269</v>
      </c>
      <c r="F353" s="6" t="s">
        <v>1268</v>
      </c>
      <c r="G353" s="9"/>
      <c r="H353" s="9" t="s">
        <v>18</v>
      </c>
      <c r="I353" s="16" t="str">
        <f>VLOOKUP(F353,[1]完整分类结果!$E:$G,3,0)</f>
        <v>其他矿采选业</v>
      </c>
      <c r="J353" s="16">
        <f>VLOOKUP(I353,[2]行业排放因子!$A:$B,2,0)</f>
        <v>6.0323112418060303</v>
      </c>
      <c r="K353" s="9" t="s">
        <v>756</v>
      </c>
    </row>
    <row r="354" spans="1:11" ht="12.5" customHeight="1" x14ac:dyDescent="0.25">
      <c r="A354" s="5" t="s">
        <v>1270</v>
      </c>
      <c r="B354" s="6" t="s">
        <v>749</v>
      </c>
      <c r="C354" s="6" t="s">
        <v>1053</v>
      </c>
      <c r="D354" s="6" t="s">
        <v>1271</v>
      </c>
      <c r="E354" s="6" t="s">
        <v>1272</v>
      </c>
      <c r="F354" s="6" t="s">
        <v>1271</v>
      </c>
      <c r="G354" s="9"/>
      <c r="H354" s="9" t="s">
        <v>18</v>
      </c>
      <c r="I354" s="16" t="str">
        <f>VLOOKUP(F354,[1]完整分类结果!$E:$G,3,0)</f>
        <v>其他矿采选业</v>
      </c>
      <c r="J354" s="16">
        <f>VLOOKUP(I354,[2]行业排放因子!$A:$B,2,0)</f>
        <v>6.0323112418060303</v>
      </c>
      <c r="K354" s="9" t="s">
        <v>756</v>
      </c>
    </row>
    <row r="355" spans="1:11" ht="12.5" customHeight="1" x14ac:dyDescent="0.25">
      <c r="A355" s="5" t="s">
        <v>1273</v>
      </c>
      <c r="B355" s="6" t="s">
        <v>749</v>
      </c>
      <c r="C355" s="6" t="s">
        <v>1053</v>
      </c>
      <c r="D355" s="6" t="s">
        <v>1274</v>
      </c>
      <c r="E355" s="6" t="s">
        <v>1275</v>
      </c>
      <c r="F355" s="6" t="s">
        <v>1274</v>
      </c>
      <c r="G355" s="9"/>
      <c r="H355" s="9" t="s">
        <v>18</v>
      </c>
      <c r="I355" s="16" t="str">
        <f>VLOOKUP(F355,[1]完整分类结果!$E:$G,3,0)</f>
        <v>其他矿采选业</v>
      </c>
      <c r="J355" s="16">
        <f>VLOOKUP(I355,[2]行业排放因子!$A:$B,2,0)</f>
        <v>6.0323112418060303</v>
      </c>
      <c r="K355" s="9" t="s">
        <v>756</v>
      </c>
    </row>
    <row r="356" spans="1:11" ht="12.5" customHeight="1" x14ac:dyDescent="0.25">
      <c r="A356" s="5" t="s">
        <v>1276</v>
      </c>
      <c r="B356" s="6" t="s">
        <v>749</v>
      </c>
      <c r="C356" s="6" t="s">
        <v>1053</v>
      </c>
      <c r="D356" s="6" t="s">
        <v>1277</v>
      </c>
      <c r="E356" s="6" t="s">
        <v>1278</v>
      </c>
      <c r="F356" s="6" t="s">
        <v>1277</v>
      </c>
      <c r="G356" s="9"/>
      <c r="H356" s="9" t="s">
        <v>18</v>
      </c>
      <c r="I356" s="16" t="str">
        <f>VLOOKUP(F356,[1]完整分类结果!$E:$G,3,0)</f>
        <v>其他矿采选业</v>
      </c>
      <c r="J356" s="16">
        <f>VLOOKUP(I356,[2]行业排放因子!$A:$B,2,0)</f>
        <v>6.0323112418060303</v>
      </c>
      <c r="K356" s="9" t="s">
        <v>756</v>
      </c>
    </row>
    <row r="357" spans="1:11" ht="12.5" customHeight="1" x14ac:dyDescent="0.25">
      <c r="A357" s="5" t="s">
        <v>1279</v>
      </c>
      <c r="B357" s="6" t="s">
        <v>749</v>
      </c>
      <c r="C357" s="6" t="s">
        <v>1053</v>
      </c>
      <c r="D357" s="6" t="s">
        <v>1280</v>
      </c>
      <c r="E357" s="6" t="s">
        <v>1281</v>
      </c>
      <c r="F357" s="6" t="s">
        <v>1280</v>
      </c>
      <c r="G357" s="9"/>
      <c r="H357" s="9" t="s">
        <v>18</v>
      </c>
      <c r="I357" s="16" t="str">
        <f>VLOOKUP(F357,[1]完整分类结果!$E:$G,3,0)</f>
        <v>其他矿采选业</v>
      </c>
      <c r="J357" s="16">
        <f>VLOOKUP(I357,[2]行业排放因子!$A:$B,2,0)</f>
        <v>6.0323112418060303</v>
      </c>
      <c r="K357" s="9" t="s">
        <v>756</v>
      </c>
    </row>
    <row r="358" spans="1:11" ht="12.5" customHeight="1" x14ac:dyDescent="0.25">
      <c r="A358" s="5" t="s">
        <v>1282</v>
      </c>
      <c r="B358" s="6" t="s">
        <v>749</v>
      </c>
      <c r="C358" s="6" t="s">
        <v>1053</v>
      </c>
      <c r="D358" s="6" t="s">
        <v>1283</v>
      </c>
      <c r="E358" s="6" t="s">
        <v>1284</v>
      </c>
      <c r="F358" s="6" t="s">
        <v>1283</v>
      </c>
      <c r="G358" s="9"/>
      <c r="H358" s="9" t="s">
        <v>18</v>
      </c>
      <c r="I358" s="16" t="str">
        <f>VLOOKUP(F358,[1]完整分类结果!$E:$G,3,0)</f>
        <v>其他矿采选业</v>
      </c>
      <c r="J358" s="16">
        <f>VLOOKUP(I358,[2]行业排放因子!$A:$B,2,0)</f>
        <v>6.0323112418060303</v>
      </c>
      <c r="K358" s="9" t="s">
        <v>756</v>
      </c>
    </row>
    <row r="359" spans="1:11" ht="12.5" customHeight="1" x14ac:dyDescent="0.25">
      <c r="A359" s="5" t="s">
        <v>1285</v>
      </c>
      <c r="B359" s="6" t="s">
        <v>749</v>
      </c>
      <c r="C359" s="6" t="s">
        <v>1053</v>
      </c>
      <c r="D359" s="6" t="s">
        <v>1286</v>
      </c>
      <c r="E359" s="6" t="s">
        <v>1287</v>
      </c>
      <c r="F359" s="6" t="s">
        <v>1286</v>
      </c>
      <c r="G359" s="9"/>
      <c r="H359" s="9" t="s">
        <v>18</v>
      </c>
      <c r="I359" s="16" t="str">
        <f>VLOOKUP(F359,[1]完整分类结果!$E:$G,3,0)</f>
        <v>其他矿采选业</v>
      </c>
      <c r="J359" s="16">
        <f>VLOOKUP(I359,[2]行业排放因子!$A:$B,2,0)</f>
        <v>6.0323112418060303</v>
      </c>
      <c r="K359" s="9" t="s">
        <v>756</v>
      </c>
    </row>
    <row r="360" spans="1:11" ht="12.5" customHeight="1" x14ac:dyDescent="0.25">
      <c r="A360" s="5" t="s">
        <v>1288</v>
      </c>
      <c r="B360" s="6" t="s">
        <v>749</v>
      </c>
      <c r="C360" s="6" t="s">
        <v>1053</v>
      </c>
      <c r="D360" s="6" t="s">
        <v>1289</v>
      </c>
      <c r="E360" s="6" t="s">
        <v>1290</v>
      </c>
      <c r="F360" s="6" t="s">
        <v>1289</v>
      </c>
      <c r="G360" s="9"/>
      <c r="H360" s="9" t="s">
        <v>18</v>
      </c>
      <c r="I360" s="16" t="str">
        <f>VLOOKUP(F360,[1]完整分类结果!$E:$G,3,0)</f>
        <v>其他矿采选业</v>
      </c>
      <c r="J360" s="16">
        <f>VLOOKUP(I360,[2]行业排放因子!$A:$B,2,0)</f>
        <v>6.0323112418060303</v>
      </c>
      <c r="K360" s="9" t="s">
        <v>756</v>
      </c>
    </row>
    <row r="361" spans="1:11" ht="12.5" customHeight="1" x14ac:dyDescent="0.25">
      <c r="A361" s="5" t="s">
        <v>1291</v>
      </c>
      <c r="B361" s="6" t="s">
        <v>749</v>
      </c>
      <c r="C361" s="6" t="s">
        <v>1053</v>
      </c>
      <c r="D361" s="6" t="s">
        <v>1292</v>
      </c>
      <c r="E361" s="6" t="s">
        <v>1293</v>
      </c>
      <c r="F361" s="6" t="s">
        <v>1292</v>
      </c>
      <c r="G361" s="9"/>
      <c r="H361" s="9" t="s">
        <v>18</v>
      </c>
      <c r="I361" s="16" t="str">
        <f>VLOOKUP(F361,[1]完整分类结果!$E:$G,3,0)</f>
        <v>其他矿采选业</v>
      </c>
      <c r="J361" s="16">
        <f>VLOOKUP(I361,[2]行业排放因子!$A:$B,2,0)</f>
        <v>6.0323112418060303</v>
      </c>
      <c r="K361" s="9" t="s">
        <v>756</v>
      </c>
    </row>
    <row r="362" spans="1:11" ht="12.5" customHeight="1" x14ac:dyDescent="0.25">
      <c r="A362" s="5" t="s">
        <v>1294</v>
      </c>
      <c r="B362" s="6" t="s">
        <v>749</v>
      </c>
      <c r="C362" s="6" t="s">
        <v>1053</v>
      </c>
      <c r="D362" s="6" t="s">
        <v>1295</v>
      </c>
      <c r="E362" s="6" t="s">
        <v>1296</v>
      </c>
      <c r="F362" s="6" t="s">
        <v>1295</v>
      </c>
      <c r="G362" s="9"/>
      <c r="H362" s="9" t="s">
        <v>18</v>
      </c>
      <c r="I362" s="16" t="str">
        <f>VLOOKUP(F362,[1]完整分类结果!$E:$G,3,0)</f>
        <v>其他矿采选业</v>
      </c>
      <c r="J362" s="16">
        <f>VLOOKUP(I362,[2]行业排放因子!$A:$B,2,0)</f>
        <v>6.0323112418060303</v>
      </c>
      <c r="K362" s="9" t="s">
        <v>756</v>
      </c>
    </row>
    <row r="363" spans="1:11" ht="12.5" customHeight="1" x14ac:dyDescent="0.25">
      <c r="A363" s="5" t="s">
        <v>1297</v>
      </c>
      <c r="B363" s="6" t="s">
        <v>749</v>
      </c>
      <c r="C363" s="6" t="s">
        <v>1053</v>
      </c>
      <c r="D363" s="6" t="s">
        <v>1298</v>
      </c>
      <c r="E363" s="6" t="s">
        <v>1299</v>
      </c>
      <c r="F363" s="6" t="s">
        <v>1298</v>
      </c>
      <c r="G363" s="9"/>
      <c r="H363" s="9" t="s">
        <v>18</v>
      </c>
      <c r="I363" s="16" t="str">
        <f>VLOOKUP(F363,[1]完整分类结果!$E:$G,3,0)</f>
        <v>其他矿采选业</v>
      </c>
      <c r="J363" s="16">
        <f>VLOOKUP(I363,[2]行业排放因子!$A:$B,2,0)</f>
        <v>6.0323112418060303</v>
      </c>
      <c r="K363" s="9" t="s">
        <v>756</v>
      </c>
    </row>
    <row r="364" spans="1:11" ht="12.5" customHeight="1" x14ac:dyDescent="0.25">
      <c r="A364" s="5" t="s">
        <v>1300</v>
      </c>
      <c r="B364" s="6" t="s">
        <v>749</v>
      </c>
      <c r="C364" s="6" t="s">
        <v>1053</v>
      </c>
      <c r="D364" s="6" t="s">
        <v>1301</v>
      </c>
      <c r="E364" s="6" t="s">
        <v>1302</v>
      </c>
      <c r="F364" s="6" t="s">
        <v>1301</v>
      </c>
      <c r="G364" s="9"/>
      <c r="H364" s="9" t="s">
        <v>18</v>
      </c>
      <c r="I364" s="16" t="str">
        <f>VLOOKUP(F364,[1]完整分类结果!$E:$G,3,0)</f>
        <v>其他矿采选业</v>
      </c>
      <c r="J364" s="16">
        <f>VLOOKUP(I364,[2]行业排放因子!$A:$B,2,0)</f>
        <v>6.0323112418060303</v>
      </c>
      <c r="K364" s="9" t="s">
        <v>756</v>
      </c>
    </row>
    <row r="365" spans="1:11" ht="12.5" customHeight="1" x14ac:dyDescent="0.25">
      <c r="A365" s="5" t="s">
        <v>1303</v>
      </c>
      <c r="B365" s="6" t="s">
        <v>749</v>
      </c>
      <c r="C365" s="6" t="s">
        <v>1053</v>
      </c>
      <c r="D365" s="6" t="s">
        <v>1304</v>
      </c>
      <c r="E365" s="6" t="s">
        <v>1305</v>
      </c>
      <c r="F365" s="6" t="s">
        <v>1304</v>
      </c>
      <c r="G365" s="9"/>
      <c r="H365" s="9" t="s">
        <v>18</v>
      </c>
      <c r="I365" s="16" t="str">
        <f>VLOOKUP(F365,[1]完整分类结果!$E:$G,3,0)</f>
        <v>其他矿采选业</v>
      </c>
      <c r="J365" s="16">
        <f>VLOOKUP(I365,[2]行业排放因子!$A:$B,2,0)</f>
        <v>6.0323112418060303</v>
      </c>
      <c r="K365" s="9" t="s">
        <v>756</v>
      </c>
    </row>
    <row r="366" spans="1:11" ht="12.5" customHeight="1" x14ac:dyDescent="0.25">
      <c r="A366" s="5" t="s">
        <v>1306</v>
      </c>
      <c r="B366" s="6" t="s">
        <v>749</v>
      </c>
      <c r="C366" s="6" t="s">
        <v>1053</v>
      </c>
      <c r="D366" s="6" t="s">
        <v>1307</v>
      </c>
      <c r="E366" s="6" t="s">
        <v>1308</v>
      </c>
      <c r="F366" s="6" t="s">
        <v>1307</v>
      </c>
      <c r="G366" s="9"/>
      <c r="H366" s="9" t="s">
        <v>18</v>
      </c>
      <c r="I366" s="16" t="str">
        <f>VLOOKUP(F366,[1]完整分类结果!$E:$G,3,0)</f>
        <v>其他矿采选业</v>
      </c>
      <c r="J366" s="16">
        <f>VLOOKUP(I366,[2]行业排放因子!$A:$B,2,0)</f>
        <v>6.0323112418060303</v>
      </c>
      <c r="K366" s="9" t="s">
        <v>756</v>
      </c>
    </row>
    <row r="367" spans="1:11" ht="12.5" customHeight="1" x14ac:dyDescent="0.25">
      <c r="A367" s="5" t="s">
        <v>1309</v>
      </c>
      <c r="B367" s="6" t="s">
        <v>749</v>
      </c>
      <c r="C367" s="6" t="s">
        <v>1053</v>
      </c>
      <c r="D367" s="6" t="s">
        <v>1310</v>
      </c>
      <c r="E367" s="6" t="s">
        <v>1311</v>
      </c>
      <c r="F367" s="6" t="s">
        <v>1310</v>
      </c>
      <c r="G367" s="9"/>
      <c r="H367" s="9" t="s">
        <v>18</v>
      </c>
      <c r="I367" s="16" t="str">
        <f>VLOOKUP(F367,[1]完整分类结果!$E:$G,3,0)</f>
        <v>其他矿采选业</v>
      </c>
      <c r="J367" s="16">
        <f>VLOOKUP(I367,[2]行业排放因子!$A:$B,2,0)</f>
        <v>6.0323112418060303</v>
      </c>
      <c r="K367" s="9" t="s">
        <v>756</v>
      </c>
    </row>
    <row r="368" spans="1:11" ht="12.5" customHeight="1" x14ac:dyDescent="0.25">
      <c r="A368" s="5" t="s">
        <v>1312</v>
      </c>
      <c r="B368" s="6" t="s">
        <v>749</v>
      </c>
      <c r="C368" s="6" t="s">
        <v>1053</v>
      </c>
      <c r="D368" s="6" t="s">
        <v>1313</v>
      </c>
      <c r="E368" s="6" t="s">
        <v>1314</v>
      </c>
      <c r="F368" s="6" t="s">
        <v>1313</v>
      </c>
      <c r="G368" s="9"/>
      <c r="H368" s="9" t="s">
        <v>18</v>
      </c>
      <c r="I368" s="16" t="str">
        <f>VLOOKUP(F368,[1]完整分类结果!$E:$G,3,0)</f>
        <v>其他矿采选业</v>
      </c>
      <c r="J368" s="16">
        <f>VLOOKUP(I368,[2]行业排放因子!$A:$B,2,0)</f>
        <v>6.0323112418060303</v>
      </c>
      <c r="K368" s="9" t="s">
        <v>756</v>
      </c>
    </row>
    <row r="369" spans="1:11" ht="12.5" customHeight="1" x14ac:dyDescent="0.25">
      <c r="A369" s="5" t="s">
        <v>1315</v>
      </c>
      <c r="B369" s="6" t="s">
        <v>749</v>
      </c>
      <c r="C369" s="6" t="s">
        <v>1053</v>
      </c>
      <c r="D369" s="6" t="s">
        <v>1316</v>
      </c>
      <c r="E369" s="6" t="s">
        <v>1317</v>
      </c>
      <c r="F369" s="6" t="s">
        <v>1316</v>
      </c>
      <c r="G369" s="9"/>
      <c r="H369" s="9" t="s">
        <v>18</v>
      </c>
      <c r="I369" s="16" t="str">
        <f>VLOOKUP(F369,[1]完整分类结果!$E:$G,3,0)</f>
        <v>其他矿采选业</v>
      </c>
      <c r="J369" s="16">
        <f>VLOOKUP(I369,[2]行业排放因子!$A:$B,2,0)</f>
        <v>6.0323112418060303</v>
      </c>
      <c r="K369" s="9" t="s">
        <v>756</v>
      </c>
    </row>
    <row r="370" spans="1:11" ht="12.5" customHeight="1" x14ac:dyDescent="0.25">
      <c r="A370" s="5" t="s">
        <v>1318</v>
      </c>
      <c r="B370" s="6" t="s">
        <v>749</v>
      </c>
      <c r="C370" s="6" t="s">
        <v>1053</v>
      </c>
      <c r="D370" s="6" t="s">
        <v>1319</v>
      </c>
      <c r="E370" s="6" t="s">
        <v>1320</v>
      </c>
      <c r="F370" s="6" t="s">
        <v>1319</v>
      </c>
      <c r="G370" s="9"/>
      <c r="H370" s="9" t="s">
        <v>18</v>
      </c>
      <c r="I370" s="16" t="str">
        <f>VLOOKUP(F370,[1]完整分类结果!$E:$G,3,0)</f>
        <v>其他矿采选业</v>
      </c>
      <c r="J370" s="16">
        <f>VLOOKUP(I370,[2]行业排放因子!$A:$B,2,0)</f>
        <v>6.0323112418060303</v>
      </c>
      <c r="K370" s="9" t="s">
        <v>756</v>
      </c>
    </row>
    <row r="371" spans="1:11" ht="12.5" customHeight="1" x14ac:dyDescent="0.25">
      <c r="A371" s="5" t="s">
        <v>1321</v>
      </c>
      <c r="B371" s="6" t="s">
        <v>749</v>
      </c>
      <c r="C371" s="6" t="s">
        <v>1053</v>
      </c>
      <c r="D371" s="6" t="s">
        <v>1322</v>
      </c>
      <c r="E371" s="6" t="s">
        <v>1323</v>
      </c>
      <c r="F371" s="6" t="s">
        <v>1322</v>
      </c>
      <c r="G371" s="9"/>
      <c r="H371" s="9" t="s">
        <v>18</v>
      </c>
      <c r="I371" s="16" t="str">
        <f>VLOOKUP(F371,[1]完整分类结果!$E:$G,3,0)</f>
        <v>其他矿采选业</v>
      </c>
      <c r="J371" s="16">
        <f>VLOOKUP(I371,[2]行业排放因子!$A:$B,2,0)</f>
        <v>6.0323112418060303</v>
      </c>
      <c r="K371" s="9" t="s">
        <v>756</v>
      </c>
    </row>
    <row r="372" spans="1:11" ht="12.5" customHeight="1" x14ac:dyDescent="0.25">
      <c r="A372" s="5" t="s">
        <v>1324</v>
      </c>
      <c r="B372" s="6" t="s">
        <v>749</v>
      </c>
      <c r="C372" s="6" t="s">
        <v>1053</v>
      </c>
      <c r="D372" s="6" t="s">
        <v>1325</v>
      </c>
      <c r="E372" s="6" t="s">
        <v>1326</v>
      </c>
      <c r="F372" s="6" t="s">
        <v>1325</v>
      </c>
      <c r="G372" s="9"/>
      <c r="H372" s="9" t="s">
        <v>18</v>
      </c>
      <c r="I372" s="16" t="str">
        <f>VLOOKUP(F372,[1]完整分类结果!$E:$G,3,0)</f>
        <v>其他矿采选业</v>
      </c>
      <c r="J372" s="16">
        <f>VLOOKUP(I372,[2]行业排放因子!$A:$B,2,0)</f>
        <v>6.0323112418060303</v>
      </c>
      <c r="K372" s="9" t="s">
        <v>756</v>
      </c>
    </row>
    <row r="373" spans="1:11" ht="12.5" customHeight="1" x14ac:dyDescent="0.25">
      <c r="A373" s="5" t="s">
        <v>1327</v>
      </c>
      <c r="B373" s="6" t="s">
        <v>749</v>
      </c>
      <c r="C373" s="6" t="s">
        <v>1053</v>
      </c>
      <c r="D373" s="6" t="s">
        <v>1328</v>
      </c>
      <c r="E373" s="6" t="s">
        <v>1329</v>
      </c>
      <c r="F373" s="6" t="s">
        <v>1328</v>
      </c>
      <c r="G373" s="9"/>
      <c r="H373" s="9" t="s">
        <v>18</v>
      </c>
      <c r="I373" s="16" t="str">
        <f>VLOOKUP(F373,[1]完整分类结果!$E:$G,3,0)</f>
        <v>其他矿采选业</v>
      </c>
      <c r="J373" s="16">
        <f>VLOOKUP(I373,[2]行业排放因子!$A:$B,2,0)</f>
        <v>6.0323112418060303</v>
      </c>
      <c r="K373" s="9" t="s">
        <v>756</v>
      </c>
    </row>
    <row r="374" spans="1:11" ht="12.5" customHeight="1" x14ac:dyDescent="0.25">
      <c r="A374" s="5" t="s">
        <v>1330</v>
      </c>
      <c r="B374" s="6" t="s">
        <v>749</v>
      </c>
      <c r="C374" s="6" t="s">
        <v>1053</v>
      </c>
      <c r="D374" s="6" t="s">
        <v>1331</v>
      </c>
      <c r="E374" s="6" t="s">
        <v>1332</v>
      </c>
      <c r="F374" s="6" t="s">
        <v>1331</v>
      </c>
      <c r="G374" s="9"/>
      <c r="H374" s="9" t="s">
        <v>18</v>
      </c>
      <c r="I374" s="16" t="str">
        <f>VLOOKUP(F374,[1]完整分类结果!$E:$G,3,0)</f>
        <v>其他矿采选业</v>
      </c>
      <c r="J374" s="16">
        <f>VLOOKUP(I374,[2]行业排放因子!$A:$B,2,0)</f>
        <v>6.0323112418060303</v>
      </c>
      <c r="K374" s="9" t="s">
        <v>756</v>
      </c>
    </row>
    <row r="375" spans="1:11" ht="12.5" customHeight="1" x14ac:dyDescent="0.25">
      <c r="A375" s="5" t="s">
        <v>1333</v>
      </c>
      <c r="B375" s="6" t="s">
        <v>749</v>
      </c>
      <c r="C375" s="6" t="s">
        <v>1053</v>
      </c>
      <c r="D375" s="6" t="s">
        <v>1334</v>
      </c>
      <c r="E375" s="6" t="s">
        <v>1335</v>
      </c>
      <c r="F375" s="6" t="s">
        <v>1334</v>
      </c>
      <c r="G375" s="9"/>
      <c r="H375" s="9" t="s">
        <v>18</v>
      </c>
      <c r="I375" s="16" t="str">
        <f>VLOOKUP(F375,[1]完整分类结果!$E:$G,3,0)</f>
        <v>其他矿采选业</v>
      </c>
      <c r="J375" s="16">
        <f>VLOOKUP(I375,[2]行业排放因子!$A:$B,2,0)</f>
        <v>6.0323112418060303</v>
      </c>
      <c r="K375" s="9" t="s">
        <v>756</v>
      </c>
    </row>
    <row r="376" spans="1:11" ht="12.5" customHeight="1" x14ac:dyDescent="0.25">
      <c r="A376" s="5" t="s">
        <v>1336</v>
      </c>
      <c r="B376" s="6" t="s">
        <v>749</v>
      </c>
      <c r="C376" s="6" t="s">
        <v>1053</v>
      </c>
      <c r="D376" s="6" t="s">
        <v>1337</v>
      </c>
      <c r="E376" s="6" t="s">
        <v>1338</v>
      </c>
      <c r="F376" s="6" t="s">
        <v>1337</v>
      </c>
      <c r="G376" s="9"/>
      <c r="H376" s="9" t="s">
        <v>18</v>
      </c>
      <c r="I376" s="16" t="str">
        <f>VLOOKUP(F376,[1]完整分类结果!$E:$G,3,0)</f>
        <v>其他矿采选业</v>
      </c>
      <c r="J376" s="16">
        <f>VLOOKUP(I376,[2]行业排放因子!$A:$B,2,0)</f>
        <v>6.0323112418060303</v>
      </c>
      <c r="K376" s="9" t="s">
        <v>756</v>
      </c>
    </row>
    <row r="377" spans="1:11" ht="12.5" customHeight="1" x14ac:dyDescent="0.25">
      <c r="A377" s="5" t="s">
        <v>1339</v>
      </c>
      <c r="B377" s="6" t="s">
        <v>749</v>
      </c>
      <c r="C377" s="6" t="s">
        <v>1053</v>
      </c>
      <c r="D377" s="6" t="s">
        <v>1340</v>
      </c>
      <c r="E377" s="6" t="s">
        <v>1341</v>
      </c>
      <c r="F377" s="6" t="s">
        <v>1340</v>
      </c>
      <c r="G377" s="9"/>
      <c r="H377" s="9" t="s">
        <v>18</v>
      </c>
      <c r="I377" s="16" t="str">
        <f>VLOOKUP(F377,[1]完整分类结果!$E:$G,3,0)</f>
        <v>其他矿采选业</v>
      </c>
      <c r="J377" s="16">
        <f>VLOOKUP(I377,[2]行业排放因子!$A:$B,2,0)</f>
        <v>6.0323112418060303</v>
      </c>
      <c r="K377" s="9" t="s">
        <v>756</v>
      </c>
    </row>
    <row r="378" spans="1:11" ht="12.5" customHeight="1" x14ac:dyDescent="0.25">
      <c r="A378" s="5" t="s">
        <v>1342</v>
      </c>
      <c r="B378" s="6" t="s">
        <v>749</v>
      </c>
      <c r="C378" s="6" t="s">
        <v>1053</v>
      </c>
      <c r="D378" s="6" t="s">
        <v>1343</v>
      </c>
      <c r="E378" s="6" t="s">
        <v>1344</v>
      </c>
      <c r="F378" s="6" t="s">
        <v>1343</v>
      </c>
      <c r="G378" s="9"/>
      <c r="H378" s="9" t="s">
        <v>18</v>
      </c>
      <c r="I378" s="16" t="str">
        <f>VLOOKUP(F378,[1]完整分类结果!$E:$G,3,0)</f>
        <v>其他矿采选业</v>
      </c>
      <c r="J378" s="16">
        <f>VLOOKUP(I378,[2]行业排放因子!$A:$B,2,0)</f>
        <v>6.0323112418060303</v>
      </c>
      <c r="K378" s="9" t="s">
        <v>756</v>
      </c>
    </row>
    <row r="379" spans="1:11" ht="12.5" customHeight="1" x14ac:dyDescent="0.25">
      <c r="A379" s="5" t="s">
        <v>1345</v>
      </c>
      <c r="B379" s="6" t="s">
        <v>749</v>
      </c>
      <c r="C379" s="6" t="s">
        <v>1053</v>
      </c>
      <c r="D379" s="6" t="s">
        <v>1346</v>
      </c>
      <c r="E379" s="6" t="s">
        <v>1347</v>
      </c>
      <c r="F379" s="6" t="s">
        <v>1346</v>
      </c>
      <c r="G379" s="9"/>
      <c r="H379" s="9" t="s">
        <v>18</v>
      </c>
      <c r="I379" s="16" t="str">
        <f>VLOOKUP(F379,[1]完整分类结果!$E:$G,3,0)</f>
        <v>其他矿采选业</v>
      </c>
      <c r="J379" s="16">
        <f>VLOOKUP(I379,[2]行业排放因子!$A:$B,2,0)</f>
        <v>6.0323112418060303</v>
      </c>
      <c r="K379" s="9" t="s">
        <v>756</v>
      </c>
    </row>
    <row r="380" spans="1:11" ht="12.5" customHeight="1" x14ac:dyDescent="0.25">
      <c r="A380" s="5" t="s">
        <v>1348</v>
      </c>
      <c r="B380" s="6" t="s">
        <v>749</v>
      </c>
      <c r="C380" s="6" t="s">
        <v>1053</v>
      </c>
      <c r="D380" s="6" t="s">
        <v>1349</v>
      </c>
      <c r="E380" s="6" t="s">
        <v>1350</v>
      </c>
      <c r="F380" s="6" t="s">
        <v>1349</v>
      </c>
      <c r="G380" s="9"/>
      <c r="H380" s="9" t="s">
        <v>18</v>
      </c>
      <c r="I380" s="16" t="str">
        <f>VLOOKUP(F380,[1]完整分类结果!$E:$G,3,0)</f>
        <v>其他矿采选业</v>
      </c>
      <c r="J380" s="16">
        <f>VLOOKUP(I380,[2]行业排放因子!$A:$B,2,0)</f>
        <v>6.0323112418060303</v>
      </c>
      <c r="K380" s="9" t="s">
        <v>756</v>
      </c>
    </row>
    <row r="381" spans="1:11" ht="12.5" customHeight="1" x14ac:dyDescent="0.25">
      <c r="A381" s="5" t="s">
        <v>1351</v>
      </c>
      <c r="B381" s="6" t="s">
        <v>749</v>
      </c>
      <c r="C381" s="6" t="s">
        <v>1053</v>
      </c>
      <c r="D381" s="6" t="s">
        <v>1352</v>
      </c>
      <c r="E381" s="6" t="s">
        <v>1353</v>
      </c>
      <c r="F381" s="6" t="s">
        <v>1352</v>
      </c>
      <c r="G381" s="9"/>
      <c r="H381" s="9" t="s">
        <v>18</v>
      </c>
      <c r="I381" s="16" t="str">
        <f>VLOOKUP(F381,[1]完整分类结果!$E:$G,3,0)</f>
        <v>其他矿采选业</v>
      </c>
      <c r="J381" s="16">
        <f>VLOOKUP(I381,[2]行业排放因子!$A:$B,2,0)</f>
        <v>6.0323112418060303</v>
      </c>
      <c r="K381" s="9" t="s">
        <v>756</v>
      </c>
    </row>
    <row r="382" spans="1:11" ht="12.5" customHeight="1" x14ac:dyDescent="0.25">
      <c r="A382" s="5" t="s">
        <v>1354</v>
      </c>
      <c r="B382" s="6" t="s">
        <v>749</v>
      </c>
      <c r="C382" s="6" t="s">
        <v>1053</v>
      </c>
      <c r="D382" s="6" t="s">
        <v>1355</v>
      </c>
      <c r="E382" s="6" t="s">
        <v>1356</v>
      </c>
      <c r="F382" s="6" t="s">
        <v>1355</v>
      </c>
      <c r="G382" s="9"/>
      <c r="H382" s="9" t="s">
        <v>18</v>
      </c>
      <c r="I382" s="16" t="str">
        <f>VLOOKUP(F382,[1]完整分类结果!$E:$G,3,0)</f>
        <v>其他矿采选业</v>
      </c>
      <c r="J382" s="16">
        <f>VLOOKUP(I382,[2]行业排放因子!$A:$B,2,0)</f>
        <v>6.0323112418060303</v>
      </c>
      <c r="K382" s="9" t="s">
        <v>756</v>
      </c>
    </row>
    <row r="383" spans="1:11" ht="12.5" customHeight="1" x14ac:dyDescent="0.25">
      <c r="A383" s="5" t="s">
        <v>1357</v>
      </c>
      <c r="B383" s="6" t="s">
        <v>749</v>
      </c>
      <c r="C383" s="6" t="s">
        <v>1053</v>
      </c>
      <c r="D383" s="6" t="s">
        <v>1358</v>
      </c>
      <c r="E383" s="6" t="s">
        <v>1359</v>
      </c>
      <c r="F383" s="6" t="s">
        <v>1358</v>
      </c>
      <c r="G383" s="9"/>
      <c r="H383" s="9" t="s">
        <v>18</v>
      </c>
      <c r="I383" s="16" t="str">
        <f>VLOOKUP(F383,[1]完整分类结果!$E:$G,3,0)</f>
        <v>其他矿采选业</v>
      </c>
      <c r="J383" s="16">
        <f>VLOOKUP(I383,[2]行业排放因子!$A:$B,2,0)</f>
        <v>6.0323112418060303</v>
      </c>
      <c r="K383" s="9" t="s">
        <v>756</v>
      </c>
    </row>
    <row r="384" spans="1:11" ht="12.5" customHeight="1" x14ac:dyDescent="0.25">
      <c r="A384" s="5" t="s">
        <v>1360</v>
      </c>
      <c r="B384" s="6" t="s">
        <v>749</v>
      </c>
      <c r="C384" s="6" t="s">
        <v>1053</v>
      </c>
      <c r="D384" s="6" t="s">
        <v>1361</v>
      </c>
      <c r="E384" s="6" t="s">
        <v>1362</v>
      </c>
      <c r="F384" s="6" t="s">
        <v>1361</v>
      </c>
      <c r="G384" s="9"/>
      <c r="H384" s="9" t="s">
        <v>18</v>
      </c>
      <c r="I384" s="16" t="str">
        <f>VLOOKUP(F384,[1]完整分类结果!$E:$G,3,0)</f>
        <v>其他矿采选业</v>
      </c>
      <c r="J384" s="16">
        <f>VLOOKUP(I384,[2]行业排放因子!$A:$B,2,0)</f>
        <v>6.0323112418060303</v>
      </c>
      <c r="K384" s="9" t="s">
        <v>756</v>
      </c>
    </row>
    <row r="385" spans="1:11" ht="12.5" customHeight="1" x14ac:dyDescent="0.25">
      <c r="A385" s="5" t="s">
        <v>1363</v>
      </c>
      <c r="B385" s="6" t="s">
        <v>749</v>
      </c>
      <c r="C385" s="6" t="s">
        <v>1053</v>
      </c>
      <c r="D385" s="6" t="s">
        <v>1364</v>
      </c>
      <c r="E385" s="6" t="s">
        <v>1365</v>
      </c>
      <c r="F385" s="6" t="s">
        <v>1364</v>
      </c>
      <c r="G385" s="9"/>
      <c r="H385" s="9" t="s">
        <v>18</v>
      </c>
      <c r="I385" s="16" t="str">
        <f>VLOOKUP(F385,[1]完整分类结果!$E:$G,3,0)</f>
        <v>其他矿采选业</v>
      </c>
      <c r="J385" s="16">
        <f>VLOOKUP(I385,[2]行业排放因子!$A:$B,2,0)</f>
        <v>6.0323112418060303</v>
      </c>
      <c r="K385" s="9" t="s">
        <v>756</v>
      </c>
    </row>
    <row r="386" spans="1:11" ht="12.5" customHeight="1" x14ac:dyDescent="0.25">
      <c r="A386" s="5" t="s">
        <v>1366</v>
      </c>
      <c r="B386" s="6" t="s">
        <v>749</v>
      </c>
      <c r="C386" s="6" t="s">
        <v>1053</v>
      </c>
      <c r="D386" s="6" t="s">
        <v>1367</v>
      </c>
      <c r="E386" s="6" t="s">
        <v>1368</v>
      </c>
      <c r="F386" s="6" t="s">
        <v>1367</v>
      </c>
      <c r="G386" s="9"/>
      <c r="H386" s="9" t="s">
        <v>18</v>
      </c>
      <c r="I386" s="16" t="str">
        <f>VLOOKUP(F386,[1]完整分类结果!$E:$G,3,0)</f>
        <v>其他矿采选业</v>
      </c>
      <c r="J386" s="16">
        <f>VLOOKUP(I386,[2]行业排放因子!$A:$B,2,0)</f>
        <v>6.0323112418060303</v>
      </c>
      <c r="K386" s="9" t="s">
        <v>756</v>
      </c>
    </row>
    <row r="387" spans="1:11" ht="12.5" customHeight="1" x14ac:dyDescent="0.25">
      <c r="A387" s="5" t="s">
        <v>1369</v>
      </c>
      <c r="B387" s="6" t="s">
        <v>749</v>
      </c>
      <c r="C387" s="6" t="s">
        <v>1053</v>
      </c>
      <c r="D387" s="6" t="s">
        <v>1370</v>
      </c>
      <c r="E387" s="6" t="s">
        <v>1371</v>
      </c>
      <c r="F387" s="6" t="s">
        <v>1370</v>
      </c>
      <c r="G387" s="9"/>
      <c r="H387" s="9" t="s">
        <v>18</v>
      </c>
      <c r="I387" s="16" t="str">
        <f>VLOOKUP(F387,[1]完整分类结果!$E:$G,3,0)</f>
        <v>其他矿采选业</v>
      </c>
      <c r="J387" s="16">
        <f>VLOOKUP(I387,[2]行业排放因子!$A:$B,2,0)</f>
        <v>6.0323112418060303</v>
      </c>
      <c r="K387" s="9" t="s">
        <v>756</v>
      </c>
    </row>
    <row r="388" spans="1:11" ht="12.5" customHeight="1" x14ac:dyDescent="0.25">
      <c r="A388" s="5" t="s">
        <v>1372</v>
      </c>
      <c r="B388" s="6" t="s">
        <v>749</v>
      </c>
      <c r="C388" s="6" t="s">
        <v>1053</v>
      </c>
      <c r="D388" s="6" t="s">
        <v>1373</v>
      </c>
      <c r="E388" s="6" t="s">
        <v>1374</v>
      </c>
      <c r="F388" s="6" t="s">
        <v>1373</v>
      </c>
      <c r="G388" s="9"/>
      <c r="H388" s="9" t="s">
        <v>18</v>
      </c>
      <c r="I388" s="16" t="str">
        <f>VLOOKUP(F388,[1]完整分类结果!$E:$G,3,0)</f>
        <v>其他矿采选业</v>
      </c>
      <c r="J388" s="16">
        <f>VLOOKUP(I388,[2]行业排放因子!$A:$B,2,0)</f>
        <v>6.0323112418060303</v>
      </c>
      <c r="K388" s="9" t="s">
        <v>756</v>
      </c>
    </row>
    <row r="389" spans="1:11" ht="12.5" customHeight="1" x14ac:dyDescent="0.25">
      <c r="A389" s="5" t="s">
        <v>1375</v>
      </c>
      <c r="B389" s="6" t="s">
        <v>749</v>
      </c>
      <c r="C389" s="6" t="s">
        <v>1053</v>
      </c>
      <c r="D389" s="6" t="s">
        <v>1376</v>
      </c>
      <c r="E389" s="6" t="s">
        <v>1377</v>
      </c>
      <c r="F389" s="6" t="s">
        <v>1376</v>
      </c>
      <c r="G389" s="9"/>
      <c r="H389" s="9" t="s">
        <v>18</v>
      </c>
      <c r="I389" s="16" t="str">
        <f>VLOOKUP(F389,[1]完整分类结果!$E:$G,3,0)</f>
        <v>其他矿采选业</v>
      </c>
      <c r="J389" s="16">
        <f>VLOOKUP(I389,[2]行业排放因子!$A:$B,2,0)</f>
        <v>6.0323112418060303</v>
      </c>
      <c r="K389" s="9" t="s">
        <v>756</v>
      </c>
    </row>
    <row r="390" spans="1:11" ht="12.5" customHeight="1" x14ac:dyDescent="0.25">
      <c r="A390" s="5" t="s">
        <v>1378</v>
      </c>
      <c r="B390" s="6" t="s">
        <v>749</v>
      </c>
      <c r="C390" s="6" t="s">
        <v>1053</v>
      </c>
      <c r="D390" s="6" t="s">
        <v>1379</v>
      </c>
      <c r="E390" s="6" t="s">
        <v>1380</v>
      </c>
      <c r="F390" s="6" t="s">
        <v>1379</v>
      </c>
      <c r="G390" s="9"/>
      <c r="H390" s="9" t="s">
        <v>18</v>
      </c>
      <c r="I390" s="16" t="str">
        <f>VLOOKUP(F390,[1]完整分类结果!$E:$G,3,0)</f>
        <v>其他矿采选业</v>
      </c>
      <c r="J390" s="16">
        <f>VLOOKUP(I390,[2]行业排放因子!$A:$B,2,0)</f>
        <v>6.0323112418060303</v>
      </c>
      <c r="K390" s="9" t="s">
        <v>756</v>
      </c>
    </row>
    <row r="391" spans="1:11" ht="12.5" customHeight="1" x14ac:dyDescent="0.25">
      <c r="A391" s="5" t="s">
        <v>1381</v>
      </c>
      <c r="B391" s="6" t="s">
        <v>749</v>
      </c>
      <c r="C391" s="6" t="s">
        <v>1053</v>
      </c>
      <c r="D391" s="6" t="s">
        <v>1382</v>
      </c>
      <c r="E391" s="6" t="s">
        <v>1383</v>
      </c>
      <c r="F391" s="6" t="s">
        <v>1382</v>
      </c>
      <c r="G391" s="9"/>
      <c r="H391" s="9" t="s">
        <v>18</v>
      </c>
      <c r="I391" s="16" t="str">
        <f>VLOOKUP(F391,[1]完整分类结果!$E:$G,3,0)</f>
        <v>其他矿采选业</v>
      </c>
      <c r="J391" s="16">
        <f>VLOOKUP(I391,[2]行业排放因子!$A:$B,2,0)</f>
        <v>6.0323112418060303</v>
      </c>
      <c r="K391" s="9" t="s">
        <v>756</v>
      </c>
    </row>
    <row r="392" spans="1:11" ht="12.5" customHeight="1" x14ac:dyDescent="0.25">
      <c r="A392" s="5" t="s">
        <v>1384</v>
      </c>
      <c r="B392" s="6" t="s">
        <v>749</v>
      </c>
      <c r="C392" s="6" t="s">
        <v>1053</v>
      </c>
      <c r="D392" s="6" t="s">
        <v>1385</v>
      </c>
      <c r="E392" s="6" t="s">
        <v>1386</v>
      </c>
      <c r="F392" s="6" t="s">
        <v>1385</v>
      </c>
      <c r="G392" s="9"/>
      <c r="H392" s="9" t="s">
        <v>18</v>
      </c>
      <c r="I392" s="16" t="str">
        <f>VLOOKUP(F392,[1]完整分类结果!$E:$G,3,0)</f>
        <v>其他矿采选业</v>
      </c>
      <c r="J392" s="16">
        <f>VLOOKUP(I392,[2]行业排放因子!$A:$B,2,0)</f>
        <v>6.0323112418060303</v>
      </c>
      <c r="K392" s="9" t="s">
        <v>756</v>
      </c>
    </row>
    <row r="393" spans="1:11" ht="12.5" customHeight="1" x14ac:dyDescent="0.25">
      <c r="A393" s="5" t="s">
        <v>1387</v>
      </c>
      <c r="B393" s="6" t="s">
        <v>749</v>
      </c>
      <c r="C393" s="6" t="s">
        <v>1053</v>
      </c>
      <c r="D393" s="6" t="s">
        <v>1388</v>
      </c>
      <c r="E393" s="6" t="s">
        <v>1389</v>
      </c>
      <c r="F393" s="6" t="s">
        <v>1388</v>
      </c>
      <c r="G393" s="9"/>
      <c r="H393" s="9" t="s">
        <v>18</v>
      </c>
      <c r="I393" s="16" t="str">
        <f>VLOOKUP(F393,[1]完整分类结果!$E:$G,3,0)</f>
        <v>其他矿采选业</v>
      </c>
      <c r="J393" s="16">
        <f>VLOOKUP(I393,[2]行业排放因子!$A:$B,2,0)</f>
        <v>6.0323112418060303</v>
      </c>
      <c r="K393" s="9" t="s">
        <v>756</v>
      </c>
    </row>
    <row r="394" spans="1:11" ht="12.5" customHeight="1" x14ac:dyDescent="0.25">
      <c r="A394" s="5" t="s">
        <v>1390</v>
      </c>
      <c r="B394" s="6" t="s">
        <v>749</v>
      </c>
      <c r="C394" s="6" t="s">
        <v>1053</v>
      </c>
      <c r="D394" s="6" t="s">
        <v>1391</v>
      </c>
      <c r="E394" s="6" t="s">
        <v>1392</v>
      </c>
      <c r="F394" s="6" t="s">
        <v>1391</v>
      </c>
      <c r="G394" s="9"/>
      <c r="H394" s="9" t="s">
        <v>18</v>
      </c>
      <c r="I394" s="16" t="str">
        <f>VLOOKUP(F394,[1]完整分类结果!$E:$G,3,0)</f>
        <v>其他矿采选业</v>
      </c>
      <c r="J394" s="16">
        <f>VLOOKUP(I394,[2]行业排放因子!$A:$B,2,0)</f>
        <v>6.0323112418060303</v>
      </c>
      <c r="K394" s="9" t="s">
        <v>756</v>
      </c>
    </row>
    <row r="395" spans="1:11" ht="12.5" customHeight="1" x14ac:dyDescent="0.25">
      <c r="A395" s="5" t="s">
        <v>1393</v>
      </c>
      <c r="B395" s="6" t="s">
        <v>749</v>
      </c>
      <c r="C395" s="6" t="s">
        <v>1053</v>
      </c>
      <c r="D395" s="6" t="s">
        <v>1394</v>
      </c>
      <c r="E395" s="6" t="s">
        <v>1395</v>
      </c>
      <c r="F395" s="6" t="s">
        <v>1394</v>
      </c>
      <c r="G395" s="9"/>
      <c r="H395" s="9" t="s">
        <v>18</v>
      </c>
      <c r="I395" s="16" t="str">
        <f>VLOOKUP(F395,[1]完整分类结果!$E:$G,3,0)</f>
        <v>其他矿采选业</v>
      </c>
      <c r="J395" s="16">
        <f>VLOOKUP(I395,[2]行业排放因子!$A:$B,2,0)</f>
        <v>6.0323112418060303</v>
      </c>
      <c r="K395" s="9" t="s">
        <v>756</v>
      </c>
    </row>
    <row r="396" spans="1:11" ht="12.5" customHeight="1" x14ac:dyDescent="0.25">
      <c r="A396" s="5" t="s">
        <v>1396</v>
      </c>
      <c r="B396" s="6" t="s">
        <v>749</v>
      </c>
      <c r="C396" s="6" t="s">
        <v>1053</v>
      </c>
      <c r="D396" s="6" t="s">
        <v>1397</v>
      </c>
      <c r="E396" s="6" t="s">
        <v>1398</v>
      </c>
      <c r="F396" s="6" t="s">
        <v>1397</v>
      </c>
      <c r="G396" s="9"/>
      <c r="H396" s="9" t="s">
        <v>18</v>
      </c>
      <c r="I396" s="16" t="str">
        <f>VLOOKUP(F396,[1]完整分类结果!$E:$G,3,0)</f>
        <v>其他矿采选业</v>
      </c>
      <c r="J396" s="16">
        <f>VLOOKUP(I396,[2]行业排放因子!$A:$B,2,0)</f>
        <v>6.0323112418060303</v>
      </c>
      <c r="K396" s="9" t="s">
        <v>756</v>
      </c>
    </row>
    <row r="397" spans="1:11" ht="12.5" customHeight="1" x14ac:dyDescent="0.25">
      <c r="A397" s="5" t="s">
        <v>1399</v>
      </c>
      <c r="B397" s="6" t="s">
        <v>749</v>
      </c>
      <c r="C397" s="6" t="s">
        <v>1053</v>
      </c>
      <c r="D397" s="6" t="s">
        <v>1400</v>
      </c>
      <c r="E397" s="6" t="s">
        <v>1401</v>
      </c>
      <c r="F397" s="6" t="s">
        <v>1400</v>
      </c>
      <c r="G397" s="9"/>
      <c r="H397" s="9" t="s">
        <v>18</v>
      </c>
      <c r="I397" s="16" t="str">
        <f>VLOOKUP(F397,[1]完整分类结果!$E:$G,3,0)</f>
        <v>其他矿采选业</v>
      </c>
      <c r="J397" s="16">
        <f>VLOOKUP(I397,[2]行业排放因子!$A:$B,2,0)</f>
        <v>6.0323112418060303</v>
      </c>
      <c r="K397" s="9" t="s">
        <v>756</v>
      </c>
    </row>
    <row r="398" spans="1:11" ht="12.5" customHeight="1" x14ac:dyDescent="0.25">
      <c r="A398" s="5" t="s">
        <v>1402</v>
      </c>
      <c r="B398" s="6" t="s">
        <v>749</v>
      </c>
      <c r="C398" s="6" t="s">
        <v>1053</v>
      </c>
      <c r="D398" s="6" t="s">
        <v>1403</v>
      </c>
      <c r="E398" s="6" t="s">
        <v>1404</v>
      </c>
      <c r="F398" s="6" t="s">
        <v>1403</v>
      </c>
      <c r="G398" s="9"/>
      <c r="H398" s="9" t="s">
        <v>18</v>
      </c>
      <c r="I398" s="16" t="str">
        <f>VLOOKUP(F398,[1]完整分类结果!$E:$G,3,0)</f>
        <v>其他矿采选业</v>
      </c>
      <c r="J398" s="16">
        <f>VLOOKUP(I398,[2]行业排放因子!$A:$B,2,0)</f>
        <v>6.0323112418060303</v>
      </c>
      <c r="K398" s="9" t="s">
        <v>756</v>
      </c>
    </row>
    <row r="399" spans="1:11" ht="12.5" customHeight="1" x14ac:dyDescent="0.25">
      <c r="A399" s="5" t="s">
        <v>1405</v>
      </c>
      <c r="B399" s="6" t="s">
        <v>749</v>
      </c>
      <c r="C399" s="6" t="s">
        <v>1053</v>
      </c>
      <c r="D399" s="6" t="s">
        <v>1406</v>
      </c>
      <c r="E399" s="6" t="s">
        <v>1407</v>
      </c>
      <c r="F399" s="6" t="s">
        <v>1406</v>
      </c>
      <c r="G399" s="9"/>
      <c r="H399" s="9" t="s">
        <v>18</v>
      </c>
      <c r="I399" s="16" t="str">
        <f>VLOOKUP(F399,[1]完整分类结果!$E:$G,3,0)</f>
        <v>其他矿采选业</v>
      </c>
      <c r="J399" s="16">
        <f>VLOOKUP(I399,[2]行业排放因子!$A:$B,2,0)</f>
        <v>6.0323112418060303</v>
      </c>
      <c r="K399" s="9" t="s">
        <v>756</v>
      </c>
    </row>
    <row r="400" spans="1:11" ht="12.5" customHeight="1" x14ac:dyDescent="0.25">
      <c r="A400" s="5" t="s">
        <v>1408</v>
      </c>
      <c r="B400" s="6" t="s">
        <v>749</v>
      </c>
      <c r="C400" s="6" t="s">
        <v>1053</v>
      </c>
      <c r="D400" s="6" t="s">
        <v>1409</v>
      </c>
      <c r="E400" s="6" t="s">
        <v>1410</v>
      </c>
      <c r="F400" s="6" t="s">
        <v>1409</v>
      </c>
      <c r="G400" s="9"/>
      <c r="H400" s="9" t="s">
        <v>18</v>
      </c>
      <c r="I400" s="16" t="str">
        <f>VLOOKUP(F400,[1]完整分类结果!$E:$G,3,0)</f>
        <v>其他矿采选业</v>
      </c>
      <c r="J400" s="16">
        <f>VLOOKUP(I400,[2]行业排放因子!$A:$B,2,0)</f>
        <v>6.0323112418060303</v>
      </c>
      <c r="K400" s="9" t="s">
        <v>756</v>
      </c>
    </row>
    <row r="401" spans="1:11" ht="12.5" customHeight="1" x14ac:dyDescent="0.25">
      <c r="A401" s="5" t="s">
        <v>1411</v>
      </c>
      <c r="B401" s="6" t="s">
        <v>749</v>
      </c>
      <c r="C401" s="6" t="s">
        <v>1053</v>
      </c>
      <c r="D401" s="6" t="s">
        <v>1412</v>
      </c>
      <c r="E401" s="6" t="s">
        <v>1413</v>
      </c>
      <c r="F401" s="6" t="s">
        <v>1412</v>
      </c>
      <c r="G401" s="9"/>
      <c r="H401" s="9" t="s">
        <v>18</v>
      </c>
      <c r="I401" s="16" t="str">
        <f>VLOOKUP(F401,[1]完整分类结果!$E:$G,3,0)</f>
        <v>其他矿采选业</v>
      </c>
      <c r="J401" s="16">
        <f>VLOOKUP(I401,[2]行业排放因子!$A:$B,2,0)</f>
        <v>6.0323112418060303</v>
      </c>
      <c r="K401" s="9" t="s">
        <v>756</v>
      </c>
    </row>
    <row r="402" spans="1:11" ht="12.5" customHeight="1" x14ac:dyDescent="0.25">
      <c r="A402" s="5" t="s">
        <v>1414</v>
      </c>
      <c r="B402" s="6" t="s">
        <v>749</v>
      </c>
      <c r="C402" s="6" t="s">
        <v>1053</v>
      </c>
      <c r="D402" s="6" t="s">
        <v>1415</v>
      </c>
      <c r="E402" s="6" t="s">
        <v>1416</v>
      </c>
      <c r="F402" s="6" t="s">
        <v>1415</v>
      </c>
      <c r="G402" s="9"/>
      <c r="H402" s="9" t="s">
        <v>18</v>
      </c>
      <c r="I402" s="16" t="str">
        <f>VLOOKUP(F402,[1]完整分类结果!$E:$G,3,0)</f>
        <v>其他矿采选业</v>
      </c>
      <c r="J402" s="16">
        <f>VLOOKUP(I402,[2]行业排放因子!$A:$B,2,0)</f>
        <v>6.0323112418060303</v>
      </c>
      <c r="K402" s="9" t="s">
        <v>756</v>
      </c>
    </row>
    <row r="403" spans="1:11" ht="12.5" customHeight="1" x14ac:dyDescent="0.25">
      <c r="A403" s="5" t="s">
        <v>1417</v>
      </c>
      <c r="B403" s="6" t="s">
        <v>749</v>
      </c>
      <c r="C403" s="6" t="s">
        <v>1053</v>
      </c>
      <c r="D403" s="6" t="s">
        <v>1418</v>
      </c>
      <c r="E403" s="6" t="s">
        <v>1419</v>
      </c>
      <c r="F403" s="6" t="s">
        <v>1418</v>
      </c>
      <c r="G403" s="9"/>
      <c r="H403" s="9" t="s">
        <v>18</v>
      </c>
      <c r="I403" s="16" t="str">
        <f>VLOOKUP(F403,[1]完整分类结果!$E:$G,3,0)</f>
        <v>其他矿采选业</v>
      </c>
      <c r="J403" s="16">
        <f>VLOOKUP(I403,[2]行业排放因子!$A:$B,2,0)</f>
        <v>6.0323112418060303</v>
      </c>
      <c r="K403" s="9" t="s">
        <v>756</v>
      </c>
    </row>
    <row r="404" spans="1:11" ht="12.5" customHeight="1" x14ac:dyDescent="0.25">
      <c r="A404" s="5" t="s">
        <v>1420</v>
      </c>
      <c r="B404" s="6" t="s">
        <v>749</v>
      </c>
      <c r="C404" s="6" t="s">
        <v>1053</v>
      </c>
      <c r="D404" s="6" t="s">
        <v>1421</v>
      </c>
      <c r="E404" s="6" t="s">
        <v>1422</v>
      </c>
      <c r="F404" s="6" t="s">
        <v>1421</v>
      </c>
      <c r="G404" s="9"/>
      <c r="H404" s="9" t="s">
        <v>18</v>
      </c>
      <c r="I404" s="16" t="str">
        <f>VLOOKUP(F404,[1]完整分类结果!$E:$G,3,0)</f>
        <v>其他矿采选业</v>
      </c>
      <c r="J404" s="16">
        <f>VLOOKUP(I404,[2]行业排放因子!$A:$B,2,0)</f>
        <v>6.0323112418060303</v>
      </c>
      <c r="K404" s="9" t="s">
        <v>756</v>
      </c>
    </row>
    <row r="405" spans="1:11" ht="12.5" customHeight="1" x14ac:dyDescent="0.25">
      <c r="A405" s="5" t="s">
        <v>1423</v>
      </c>
      <c r="B405" s="6" t="s">
        <v>749</v>
      </c>
      <c r="C405" s="6" t="s">
        <v>1053</v>
      </c>
      <c r="D405" s="6" t="s">
        <v>1424</v>
      </c>
      <c r="E405" s="6" t="s">
        <v>1425</v>
      </c>
      <c r="F405" s="6" t="s">
        <v>1424</v>
      </c>
      <c r="G405" s="9"/>
      <c r="H405" s="9" t="s">
        <v>18</v>
      </c>
      <c r="I405" s="16" t="str">
        <f>VLOOKUP(F405,[1]完整分类结果!$E:$G,3,0)</f>
        <v>其他矿采选业</v>
      </c>
      <c r="J405" s="16">
        <f>VLOOKUP(I405,[2]行业排放因子!$A:$B,2,0)</f>
        <v>6.0323112418060303</v>
      </c>
      <c r="K405" s="9" t="s">
        <v>756</v>
      </c>
    </row>
    <row r="406" spans="1:11" ht="12.5" customHeight="1" x14ac:dyDescent="0.25">
      <c r="A406" s="5" t="s">
        <v>1426</v>
      </c>
      <c r="B406" s="6" t="s">
        <v>749</v>
      </c>
      <c r="C406" s="6" t="s">
        <v>1053</v>
      </c>
      <c r="D406" s="6" t="s">
        <v>1427</v>
      </c>
      <c r="E406" s="6" t="s">
        <v>1428</v>
      </c>
      <c r="F406" s="6" t="s">
        <v>1427</v>
      </c>
      <c r="G406" s="9"/>
      <c r="H406" s="9" t="s">
        <v>18</v>
      </c>
      <c r="I406" s="16" t="str">
        <f>VLOOKUP(F406,[1]完整分类结果!$E:$G,3,0)</f>
        <v>其他矿采选业</v>
      </c>
      <c r="J406" s="16">
        <f>VLOOKUP(I406,[2]行业排放因子!$A:$B,2,0)</f>
        <v>6.0323112418060303</v>
      </c>
      <c r="K406" s="9" t="s">
        <v>756</v>
      </c>
    </row>
    <row r="407" spans="1:11" ht="12.5" customHeight="1" x14ac:dyDescent="0.25">
      <c r="A407" s="5" t="s">
        <v>1429</v>
      </c>
      <c r="B407" s="6" t="s">
        <v>749</v>
      </c>
      <c r="C407" s="6" t="s">
        <v>1053</v>
      </c>
      <c r="D407" s="6" t="s">
        <v>1430</v>
      </c>
      <c r="E407" s="6" t="s">
        <v>1431</v>
      </c>
      <c r="F407" s="6" t="s">
        <v>1430</v>
      </c>
      <c r="G407" s="9"/>
      <c r="H407" s="9" t="s">
        <v>18</v>
      </c>
      <c r="I407" s="16" t="str">
        <f>VLOOKUP(F407,[1]完整分类结果!$E:$G,3,0)</f>
        <v>其他矿采选业</v>
      </c>
      <c r="J407" s="16">
        <f>VLOOKUP(I407,[2]行业排放因子!$A:$B,2,0)</f>
        <v>6.0323112418060303</v>
      </c>
      <c r="K407" s="9" t="s">
        <v>756</v>
      </c>
    </row>
    <row r="408" spans="1:11" ht="12.5" customHeight="1" x14ac:dyDescent="0.25">
      <c r="A408" s="5" t="s">
        <v>1432</v>
      </c>
      <c r="B408" s="6" t="s">
        <v>749</v>
      </c>
      <c r="C408" s="6" t="s">
        <v>1053</v>
      </c>
      <c r="D408" s="6" t="s">
        <v>1433</v>
      </c>
      <c r="E408" s="6" t="s">
        <v>1434</v>
      </c>
      <c r="F408" s="6" t="s">
        <v>1433</v>
      </c>
      <c r="G408" s="9"/>
      <c r="H408" s="9" t="s">
        <v>18</v>
      </c>
      <c r="I408" s="16" t="str">
        <f>VLOOKUP(F408,[1]完整分类结果!$E:$G,3,0)</f>
        <v>其他矿采选业</v>
      </c>
      <c r="J408" s="16">
        <f>VLOOKUP(I408,[2]行业排放因子!$A:$B,2,0)</f>
        <v>6.0323112418060303</v>
      </c>
      <c r="K408" s="9" t="s">
        <v>756</v>
      </c>
    </row>
    <row r="409" spans="1:11" ht="12.5" customHeight="1" x14ac:dyDescent="0.25">
      <c r="A409" s="5" t="s">
        <v>1435</v>
      </c>
      <c r="B409" s="6" t="s">
        <v>749</v>
      </c>
      <c r="C409" s="6" t="s">
        <v>1053</v>
      </c>
      <c r="D409" s="6" t="s">
        <v>1436</v>
      </c>
      <c r="E409" s="6" t="s">
        <v>1437</v>
      </c>
      <c r="F409" s="6" t="s">
        <v>1436</v>
      </c>
      <c r="G409" s="9"/>
      <c r="H409" s="9" t="s">
        <v>18</v>
      </c>
      <c r="I409" s="16" t="str">
        <f>VLOOKUP(F409,[1]完整分类结果!$E:$G,3,0)</f>
        <v>其他矿采选业</v>
      </c>
      <c r="J409" s="16">
        <f>VLOOKUP(I409,[2]行业排放因子!$A:$B,2,0)</f>
        <v>6.0323112418060303</v>
      </c>
      <c r="K409" s="9" t="s">
        <v>756</v>
      </c>
    </row>
    <row r="410" spans="1:11" ht="12.5" customHeight="1" x14ac:dyDescent="0.25">
      <c r="A410" s="5" t="s">
        <v>1438</v>
      </c>
      <c r="B410" s="6" t="s">
        <v>749</v>
      </c>
      <c r="C410" s="6" t="s">
        <v>1053</v>
      </c>
      <c r="D410" s="6" t="s">
        <v>1439</v>
      </c>
      <c r="E410" s="6" t="s">
        <v>1440</v>
      </c>
      <c r="F410" s="6" t="s">
        <v>1441</v>
      </c>
      <c r="G410" s="9"/>
      <c r="H410" s="9" t="s">
        <v>18</v>
      </c>
      <c r="I410" s="16" t="str">
        <f>VLOOKUP(F410,[1]完整分类结果!$E:$G,3,0)</f>
        <v>其他矿采选业</v>
      </c>
      <c r="J410" s="16">
        <f>VLOOKUP(I410,[2]行业排放因子!$A:$B,2,0)</f>
        <v>6.0323112418060303</v>
      </c>
      <c r="K410" s="9" t="s">
        <v>756</v>
      </c>
    </row>
    <row r="411" spans="1:11" ht="12.5" customHeight="1" x14ac:dyDescent="0.25">
      <c r="A411" s="5" t="s">
        <v>1442</v>
      </c>
      <c r="B411" s="6" t="s">
        <v>749</v>
      </c>
      <c r="C411" s="6" t="s">
        <v>1053</v>
      </c>
      <c r="D411" s="6" t="s">
        <v>1443</v>
      </c>
      <c r="E411" s="6" t="s">
        <v>1444</v>
      </c>
      <c r="F411" s="6" t="s">
        <v>1443</v>
      </c>
      <c r="G411" s="9"/>
      <c r="H411" s="9" t="s">
        <v>18</v>
      </c>
      <c r="I411" s="16" t="str">
        <f>VLOOKUP(F411,[1]完整分类结果!$E:$G,3,0)</f>
        <v>其他矿采选业</v>
      </c>
      <c r="J411" s="16">
        <f>VLOOKUP(I411,[2]行业排放因子!$A:$B,2,0)</f>
        <v>6.0323112418060303</v>
      </c>
      <c r="K411" s="9" t="s">
        <v>756</v>
      </c>
    </row>
    <row r="412" spans="1:11" ht="12.5" customHeight="1" x14ac:dyDescent="0.25">
      <c r="A412" s="5" t="s">
        <v>1445</v>
      </c>
      <c r="B412" s="6" t="s">
        <v>749</v>
      </c>
      <c r="C412" s="6" t="s">
        <v>1053</v>
      </c>
      <c r="D412" s="6" t="s">
        <v>1446</v>
      </c>
      <c r="E412" s="6" t="s">
        <v>1447</v>
      </c>
      <c r="F412" s="6" t="s">
        <v>1446</v>
      </c>
      <c r="G412" s="9"/>
      <c r="H412" s="9" t="s">
        <v>18</v>
      </c>
      <c r="I412" s="16" t="str">
        <f>VLOOKUP(F412,[1]完整分类结果!$E:$G,3,0)</f>
        <v>其他矿采选业</v>
      </c>
      <c r="J412" s="16">
        <f>VLOOKUP(I412,[2]行业排放因子!$A:$B,2,0)</f>
        <v>6.0323112418060303</v>
      </c>
      <c r="K412" s="9" t="s">
        <v>756</v>
      </c>
    </row>
    <row r="413" spans="1:11" ht="12.5" customHeight="1" x14ac:dyDescent="0.25">
      <c r="A413" s="5" t="s">
        <v>1448</v>
      </c>
      <c r="B413" s="6" t="s">
        <v>749</v>
      </c>
      <c r="C413" s="6" t="s">
        <v>1053</v>
      </c>
      <c r="D413" s="6" t="s">
        <v>1449</v>
      </c>
      <c r="E413" s="6" t="s">
        <v>1450</v>
      </c>
      <c r="F413" s="6" t="s">
        <v>1449</v>
      </c>
      <c r="G413" s="9"/>
      <c r="H413" s="9" t="s">
        <v>18</v>
      </c>
      <c r="I413" s="16" t="str">
        <f>VLOOKUP(F413,[1]完整分类结果!$E:$G,3,0)</f>
        <v>其他矿采选业</v>
      </c>
      <c r="J413" s="16">
        <f>VLOOKUP(I413,[2]行业排放因子!$A:$B,2,0)</f>
        <v>6.0323112418060303</v>
      </c>
      <c r="K413" s="9" t="s">
        <v>756</v>
      </c>
    </row>
    <row r="414" spans="1:11" ht="12.5" customHeight="1" x14ac:dyDescent="0.25">
      <c r="A414" s="5" t="s">
        <v>1451</v>
      </c>
      <c r="B414" s="6" t="s">
        <v>749</v>
      </c>
      <c r="C414" s="6" t="s">
        <v>1053</v>
      </c>
      <c r="D414" s="6" t="s">
        <v>1452</v>
      </c>
      <c r="E414" s="6" t="s">
        <v>1453</v>
      </c>
      <c r="F414" s="6" t="s">
        <v>1452</v>
      </c>
      <c r="G414" s="9"/>
      <c r="H414" s="9" t="s">
        <v>18</v>
      </c>
      <c r="I414" s="16" t="str">
        <f>VLOOKUP(F414,[1]完整分类结果!$E:$G,3,0)</f>
        <v>其他矿采选业</v>
      </c>
      <c r="J414" s="16">
        <f>VLOOKUP(I414,[2]行业排放因子!$A:$B,2,0)</f>
        <v>6.0323112418060303</v>
      </c>
      <c r="K414" s="9" t="s">
        <v>756</v>
      </c>
    </row>
    <row r="415" spans="1:11" ht="12.5" customHeight="1" x14ac:dyDescent="0.25">
      <c r="A415" s="5" t="s">
        <v>1454</v>
      </c>
      <c r="B415" s="6" t="s">
        <v>749</v>
      </c>
      <c r="C415" s="6" t="s">
        <v>1053</v>
      </c>
      <c r="D415" s="6" t="s">
        <v>1455</v>
      </c>
      <c r="E415" s="6" t="s">
        <v>1456</v>
      </c>
      <c r="F415" s="6" t="s">
        <v>1455</v>
      </c>
      <c r="G415" s="9"/>
      <c r="H415" s="9" t="s">
        <v>18</v>
      </c>
      <c r="I415" s="16" t="str">
        <f>VLOOKUP(F415,[1]完整分类结果!$E:$G,3,0)</f>
        <v>其他矿采选业</v>
      </c>
      <c r="J415" s="16">
        <f>VLOOKUP(I415,[2]行业排放因子!$A:$B,2,0)</f>
        <v>6.0323112418060303</v>
      </c>
      <c r="K415" s="9" t="s">
        <v>756</v>
      </c>
    </row>
    <row r="416" spans="1:11" ht="12.5" customHeight="1" x14ac:dyDescent="0.25">
      <c r="A416" s="5" t="s">
        <v>1457</v>
      </c>
      <c r="B416" s="6" t="s">
        <v>749</v>
      </c>
      <c r="C416" s="6" t="s">
        <v>1053</v>
      </c>
      <c r="D416" s="6" t="s">
        <v>1458</v>
      </c>
      <c r="E416" s="6" t="s">
        <v>1459</v>
      </c>
      <c r="F416" s="6" t="s">
        <v>1458</v>
      </c>
      <c r="G416" s="9"/>
      <c r="H416" s="9" t="s">
        <v>18</v>
      </c>
      <c r="I416" s="16" t="str">
        <f>VLOOKUP(F416,[1]完整分类结果!$E:$G,3,0)</f>
        <v>其他矿采选业</v>
      </c>
      <c r="J416" s="16">
        <f>VLOOKUP(I416,[2]行业排放因子!$A:$B,2,0)</f>
        <v>6.0323112418060303</v>
      </c>
      <c r="K416" s="9" t="s">
        <v>756</v>
      </c>
    </row>
    <row r="417" spans="1:11" ht="12.5" customHeight="1" x14ac:dyDescent="0.25">
      <c r="A417" s="5" t="s">
        <v>1460</v>
      </c>
      <c r="B417" s="6" t="s">
        <v>749</v>
      </c>
      <c r="C417" s="6" t="s">
        <v>1053</v>
      </c>
      <c r="D417" s="6" t="s">
        <v>1461</v>
      </c>
      <c r="E417" s="6" t="s">
        <v>1462</v>
      </c>
      <c r="F417" s="6" t="s">
        <v>1461</v>
      </c>
      <c r="G417" s="9"/>
      <c r="H417" s="9" t="s">
        <v>18</v>
      </c>
      <c r="I417" s="16" t="str">
        <f>VLOOKUP(F417,[1]完整分类结果!$E:$G,3,0)</f>
        <v>其他矿采选业</v>
      </c>
      <c r="J417" s="16">
        <f>VLOOKUP(I417,[2]行业排放因子!$A:$B,2,0)</f>
        <v>6.0323112418060303</v>
      </c>
      <c r="K417" s="9" t="s">
        <v>756</v>
      </c>
    </row>
    <row r="418" spans="1:11" ht="12.5" customHeight="1" x14ac:dyDescent="0.25">
      <c r="A418" s="5" t="s">
        <v>1463</v>
      </c>
      <c r="B418" s="6" t="s">
        <v>749</v>
      </c>
      <c r="C418" s="6" t="s">
        <v>1464</v>
      </c>
      <c r="D418" s="6" t="s">
        <v>1465</v>
      </c>
      <c r="E418" s="6" t="s">
        <v>1466</v>
      </c>
      <c r="F418" s="6" t="s">
        <v>1465</v>
      </c>
      <c r="G418" s="9"/>
      <c r="H418" s="9" t="s">
        <v>18</v>
      </c>
      <c r="I418" s="16" t="str">
        <f>VLOOKUP(F418,[1]完整分类结果!$E:$G,3,0)</f>
        <v>其他矿采选业</v>
      </c>
      <c r="J418" s="16">
        <f>VLOOKUP(I418,[2]行业排放因子!$A:$B,2,0)</f>
        <v>6.0323112418060303</v>
      </c>
      <c r="K418" s="9" t="s">
        <v>756</v>
      </c>
    </row>
    <row r="419" spans="1:11" ht="12.5" customHeight="1" x14ac:dyDescent="0.25">
      <c r="A419" s="5" t="s">
        <v>1467</v>
      </c>
      <c r="B419" s="6" t="s">
        <v>749</v>
      </c>
      <c r="C419" s="6" t="s">
        <v>1464</v>
      </c>
      <c r="D419" s="6" t="s">
        <v>1468</v>
      </c>
      <c r="E419" s="6" t="s">
        <v>1469</v>
      </c>
      <c r="F419" s="6" t="s">
        <v>1468</v>
      </c>
      <c r="G419" s="9"/>
      <c r="H419" s="9" t="s">
        <v>18</v>
      </c>
      <c r="I419" s="16" t="str">
        <f>VLOOKUP(F419,[1]完整分类结果!$E:$G,3,0)</f>
        <v>其他矿采选业</v>
      </c>
      <c r="J419" s="16">
        <f>VLOOKUP(I419,[2]行业排放因子!$A:$B,2,0)</f>
        <v>6.0323112418060303</v>
      </c>
      <c r="K419" s="9" t="s">
        <v>756</v>
      </c>
    </row>
    <row r="420" spans="1:11" ht="12.5" customHeight="1" x14ac:dyDescent="0.25">
      <c r="A420" s="5" t="s">
        <v>1470</v>
      </c>
      <c r="B420" s="6" t="s">
        <v>749</v>
      </c>
      <c r="C420" s="6" t="s">
        <v>1464</v>
      </c>
      <c r="D420" s="6" t="s">
        <v>1471</v>
      </c>
      <c r="E420" s="6" t="s">
        <v>1472</v>
      </c>
      <c r="F420" s="6" t="s">
        <v>1471</v>
      </c>
      <c r="G420" s="9"/>
      <c r="H420" s="9" t="s">
        <v>18</v>
      </c>
      <c r="I420" s="16" t="str">
        <f>VLOOKUP(F420,[1]完整分类结果!$E:$G,3,0)</f>
        <v>其他矿采选业</v>
      </c>
      <c r="J420" s="16">
        <f>VLOOKUP(I420,[2]行业排放因子!$A:$B,2,0)</f>
        <v>6.0323112418060303</v>
      </c>
      <c r="K420" s="9" t="s">
        <v>756</v>
      </c>
    </row>
    <row r="421" spans="1:11" ht="12.5" customHeight="1" x14ac:dyDescent="0.25">
      <c r="A421" s="5" t="s">
        <v>1473</v>
      </c>
      <c r="B421" s="6" t="s">
        <v>749</v>
      </c>
      <c r="C421" s="6" t="s">
        <v>1464</v>
      </c>
      <c r="D421" s="6" t="s">
        <v>1474</v>
      </c>
      <c r="E421" s="6" t="s">
        <v>1475</v>
      </c>
      <c r="F421" s="6" t="s">
        <v>1474</v>
      </c>
      <c r="G421" s="9" t="s">
        <v>1476</v>
      </c>
      <c r="H421" s="9" t="s">
        <v>18</v>
      </c>
      <c r="I421" s="16" t="str">
        <f>VLOOKUP(F421,[1]完整分类结果!$E:$G,3,0)</f>
        <v>其他矿采选业</v>
      </c>
      <c r="J421" s="16">
        <f>VLOOKUP(I421,[2]行业排放因子!$A:$B,2,0)</f>
        <v>6.0323112418060303</v>
      </c>
      <c r="K421" s="9" t="s">
        <v>756</v>
      </c>
    </row>
    <row r="422" spans="1:11" ht="12.5" customHeight="1" x14ac:dyDescent="0.25">
      <c r="A422" s="5" t="s">
        <v>1477</v>
      </c>
      <c r="B422" s="6" t="s">
        <v>749</v>
      </c>
      <c r="C422" s="6" t="s">
        <v>1464</v>
      </c>
      <c r="D422" s="6" t="s">
        <v>1478</v>
      </c>
      <c r="E422" s="6" t="s">
        <v>1479</v>
      </c>
      <c r="F422" s="6" t="s">
        <v>1478</v>
      </c>
      <c r="G422" s="9"/>
      <c r="H422" s="9" t="s">
        <v>18</v>
      </c>
      <c r="I422" s="16" t="str">
        <f>VLOOKUP(F422,[1]完整分类结果!$E:$G,3,0)</f>
        <v>其他矿采选业</v>
      </c>
      <c r="J422" s="16">
        <f>VLOOKUP(I422,[2]行业排放因子!$A:$B,2,0)</f>
        <v>6.0323112418060303</v>
      </c>
      <c r="K422" s="9" t="s">
        <v>756</v>
      </c>
    </row>
    <row r="423" spans="1:11" ht="12.5" customHeight="1" x14ac:dyDescent="0.25">
      <c r="A423" s="5" t="s">
        <v>1480</v>
      </c>
      <c r="B423" s="6" t="s">
        <v>749</v>
      </c>
      <c r="C423" s="6" t="s">
        <v>1464</v>
      </c>
      <c r="D423" s="6" t="s">
        <v>1481</v>
      </c>
      <c r="E423" s="6" t="s">
        <v>1482</v>
      </c>
      <c r="F423" s="6" t="s">
        <v>1481</v>
      </c>
      <c r="G423" s="9"/>
      <c r="H423" s="9" t="s">
        <v>18</v>
      </c>
      <c r="I423" s="16" t="str">
        <f>VLOOKUP(F423,[1]完整分类结果!$E:$G,3,0)</f>
        <v>其他矿采选业</v>
      </c>
      <c r="J423" s="16">
        <f>VLOOKUP(I423,[2]行业排放因子!$A:$B,2,0)</f>
        <v>6.0323112418060303</v>
      </c>
      <c r="K423" s="9" t="s">
        <v>756</v>
      </c>
    </row>
    <row r="424" spans="1:11" ht="12.5" customHeight="1" x14ac:dyDescent="0.25">
      <c r="A424" s="5" t="s">
        <v>1483</v>
      </c>
      <c r="B424" s="6" t="s">
        <v>1484</v>
      </c>
      <c r="C424" s="6" t="s">
        <v>1485</v>
      </c>
      <c r="D424" s="6" t="s">
        <v>1486</v>
      </c>
      <c r="E424" s="6" t="s">
        <v>1487</v>
      </c>
      <c r="F424" s="6" t="s">
        <v>1488</v>
      </c>
      <c r="G424" s="9"/>
      <c r="H424" s="9" t="s">
        <v>18</v>
      </c>
      <c r="I424" s="16" t="str">
        <f>VLOOKUP(F424,[1]完整分类结果!$E:$G,3,0)</f>
        <v>食品加工业</v>
      </c>
      <c r="J424" s="16">
        <f>VLOOKUP(I424,[2]行业排放因子!$A:$B,2,0)</f>
        <v>8.9338914683308701</v>
      </c>
      <c r="K424" s="9" t="s">
        <v>1489</v>
      </c>
    </row>
    <row r="425" spans="1:11" ht="12.5" customHeight="1" x14ac:dyDescent="0.25">
      <c r="A425" s="5" t="s">
        <v>1490</v>
      </c>
      <c r="B425" s="6" t="s">
        <v>1484</v>
      </c>
      <c r="C425" s="6" t="s">
        <v>1485</v>
      </c>
      <c r="D425" s="6" t="s">
        <v>1486</v>
      </c>
      <c r="E425" s="6" t="s">
        <v>1491</v>
      </c>
      <c r="F425" s="6" t="s">
        <v>1492</v>
      </c>
      <c r="G425" s="9"/>
      <c r="H425" s="9" t="s">
        <v>18</v>
      </c>
      <c r="I425" s="16" t="str">
        <f>VLOOKUP(F425,[1]完整分类结果!$E:$G,3,0)</f>
        <v>食品加工业</v>
      </c>
      <c r="J425" s="16">
        <f>VLOOKUP(I425,[2]行业排放因子!$A:$B,2,0)</f>
        <v>8.9338914683308701</v>
      </c>
      <c r="K425" s="9" t="s">
        <v>1489</v>
      </c>
    </row>
    <row r="426" spans="1:11" ht="12.5" customHeight="1" x14ac:dyDescent="0.25">
      <c r="A426" s="5" t="s">
        <v>1493</v>
      </c>
      <c r="B426" s="6" t="s">
        <v>1484</v>
      </c>
      <c r="C426" s="6" t="s">
        <v>1485</v>
      </c>
      <c r="D426" s="6" t="s">
        <v>1486</v>
      </c>
      <c r="E426" s="6" t="s">
        <v>1494</v>
      </c>
      <c r="F426" s="6" t="s">
        <v>1495</v>
      </c>
      <c r="G426" s="9"/>
      <c r="H426" s="9" t="s">
        <v>18</v>
      </c>
      <c r="I426" s="16" t="str">
        <f>VLOOKUP(F426,[1]完整分类结果!$E:$G,3,0)</f>
        <v>食品加工业</v>
      </c>
      <c r="J426" s="16">
        <f>VLOOKUP(I426,[2]行业排放因子!$A:$B,2,0)</f>
        <v>8.9338914683308701</v>
      </c>
      <c r="K426" s="9" t="s">
        <v>1489</v>
      </c>
    </row>
    <row r="427" spans="1:11" ht="12.5" customHeight="1" x14ac:dyDescent="0.25">
      <c r="A427" s="5" t="s">
        <v>1496</v>
      </c>
      <c r="B427" s="6" t="s">
        <v>1484</v>
      </c>
      <c r="C427" s="6" t="s">
        <v>1485</v>
      </c>
      <c r="D427" s="6" t="s">
        <v>1497</v>
      </c>
      <c r="E427" s="6" t="s">
        <v>1498</v>
      </c>
      <c r="F427" s="6" t="s">
        <v>1499</v>
      </c>
      <c r="G427" s="9"/>
      <c r="H427" s="9" t="s">
        <v>18</v>
      </c>
      <c r="I427" s="16" t="str">
        <f>VLOOKUP(F427,[1]完整分类结果!$E:$G,3,0)</f>
        <v>食品加工业</v>
      </c>
      <c r="J427" s="16">
        <f>VLOOKUP(I427,[2]行业排放因子!$A:$B,2,0)</f>
        <v>8.9338914683308701</v>
      </c>
      <c r="K427" s="9" t="s">
        <v>1489</v>
      </c>
    </row>
    <row r="428" spans="1:11" ht="12.5" customHeight="1" x14ac:dyDescent="0.25">
      <c r="A428" s="5" t="s">
        <v>1500</v>
      </c>
      <c r="B428" s="6" t="s">
        <v>1484</v>
      </c>
      <c r="C428" s="6" t="s">
        <v>1485</v>
      </c>
      <c r="D428" s="6" t="s">
        <v>1497</v>
      </c>
      <c r="E428" s="6" t="s">
        <v>1501</v>
      </c>
      <c r="F428" s="6" t="s">
        <v>1502</v>
      </c>
      <c r="G428" s="9"/>
      <c r="H428" s="9" t="s">
        <v>18</v>
      </c>
      <c r="I428" s="16" t="str">
        <f>VLOOKUP(F428,[1]完整分类结果!$E:$G,3,0)</f>
        <v>食品加工业</v>
      </c>
      <c r="J428" s="16">
        <f>VLOOKUP(I428,[2]行业排放因子!$A:$B,2,0)</f>
        <v>8.9338914683308701</v>
      </c>
      <c r="K428" s="9" t="s">
        <v>1489</v>
      </c>
    </row>
    <row r="429" spans="1:11" ht="12.5" customHeight="1" x14ac:dyDescent="0.25">
      <c r="A429" s="5" t="s">
        <v>1503</v>
      </c>
      <c r="B429" s="6" t="s">
        <v>1484</v>
      </c>
      <c r="C429" s="6" t="s">
        <v>1485</v>
      </c>
      <c r="D429" s="6" t="s">
        <v>1497</v>
      </c>
      <c r="E429" s="6" t="s">
        <v>1504</v>
      </c>
      <c r="F429" s="6" t="s">
        <v>1505</v>
      </c>
      <c r="G429" s="9"/>
      <c r="H429" s="9" t="s">
        <v>18</v>
      </c>
      <c r="I429" s="16" t="str">
        <f>VLOOKUP(F429,[1]完整分类结果!$E:$G,3,0)</f>
        <v>食品加工业</v>
      </c>
      <c r="J429" s="16">
        <f>VLOOKUP(I429,[2]行业排放因子!$A:$B,2,0)</f>
        <v>8.9338914683308701</v>
      </c>
      <c r="K429" s="9" t="s">
        <v>1489</v>
      </c>
    </row>
    <row r="430" spans="1:11" ht="12.5" customHeight="1" x14ac:dyDescent="0.25">
      <c r="A430" s="5" t="s">
        <v>1506</v>
      </c>
      <c r="B430" s="6" t="s">
        <v>1484</v>
      </c>
      <c r="C430" s="6" t="s">
        <v>1485</v>
      </c>
      <c r="D430" s="6" t="s">
        <v>1497</v>
      </c>
      <c r="E430" s="6" t="s">
        <v>1507</v>
      </c>
      <c r="F430" s="6" t="s">
        <v>1508</v>
      </c>
      <c r="G430" s="9"/>
      <c r="H430" s="9" t="s">
        <v>18</v>
      </c>
      <c r="I430" s="16" t="str">
        <f>VLOOKUP(F430,[1]完整分类结果!$E:$G,3,0)</f>
        <v>食品加工业</v>
      </c>
      <c r="J430" s="16">
        <f>VLOOKUP(I430,[2]行业排放因子!$A:$B,2,0)</f>
        <v>8.9338914683308701</v>
      </c>
      <c r="K430" s="9" t="s">
        <v>1489</v>
      </c>
    </row>
    <row r="431" spans="1:11" ht="12.5" customHeight="1" x14ac:dyDescent="0.25">
      <c r="A431" s="5" t="s">
        <v>1509</v>
      </c>
      <c r="B431" s="6" t="s">
        <v>1484</v>
      </c>
      <c r="C431" s="6" t="s">
        <v>1485</v>
      </c>
      <c r="D431" s="6" t="s">
        <v>1497</v>
      </c>
      <c r="E431" s="6" t="s">
        <v>1510</v>
      </c>
      <c r="F431" s="6" t="s">
        <v>1511</v>
      </c>
      <c r="G431" s="9" t="s">
        <v>1512</v>
      </c>
      <c r="H431" s="9" t="s">
        <v>18</v>
      </c>
      <c r="I431" s="16" t="str">
        <f>VLOOKUP(F431,[1]完整分类结果!$E:$G,3,0)</f>
        <v>食品加工业</v>
      </c>
      <c r="J431" s="16">
        <f>VLOOKUP(I431,[2]行业排放因子!$A:$B,2,0)</f>
        <v>8.9338914683308701</v>
      </c>
      <c r="K431" s="9" t="s">
        <v>1489</v>
      </c>
    </row>
    <row r="432" spans="1:11" ht="12.5" customHeight="1" x14ac:dyDescent="0.25">
      <c r="A432" s="5" t="s">
        <v>1513</v>
      </c>
      <c r="B432" s="6" t="s">
        <v>1484</v>
      </c>
      <c r="C432" s="6" t="s">
        <v>1485</v>
      </c>
      <c r="D432" s="6" t="s">
        <v>1497</v>
      </c>
      <c r="E432" s="6" t="s">
        <v>1514</v>
      </c>
      <c r="F432" s="6" t="s">
        <v>1515</v>
      </c>
      <c r="G432" s="9"/>
      <c r="H432" s="9" t="s">
        <v>18</v>
      </c>
      <c r="I432" s="16" t="str">
        <f>VLOOKUP(F432,[1]完整分类结果!$E:$G,3,0)</f>
        <v>食品加工业</v>
      </c>
      <c r="J432" s="16">
        <f>VLOOKUP(I432,[2]行业排放因子!$A:$B,2,0)</f>
        <v>8.9338914683308701</v>
      </c>
      <c r="K432" s="9" t="s">
        <v>1489</v>
      </c>
    </row>
    <row r="433" spans="1:11" ht="12.5" customHeight="1" x14ac:dyDescent="0.25">
      <c r="A433" s="5" t="s">
        <v>1516</v>
      </c>
      <c r="B433" s="6" t="s">
        <v>1484</v>
      </c>
      <c r="C433" s="6" t="s">
        <v>1485</v>
      </c>
      <c r="D433" s="6" t="s">
        <v>1497</v>
      </c>
      <c r="E433" s="6" t="s">
        <v>1517</v>
      </c>
      <c r="F433" s="6" t="s">
        <v>1518</v>
      </c>
      <c r="G433" s="9"/>
      <c r="H433" s="9" t="s">
        <v>18</v>
      </c>
      <c r="I433" s="16" t="str">
        <f>VLOOKUP(F433,[1]完整分类结果!$E:$G,3,0)</f>
        <v>食品加工业</v>
      </c>
      <c r="J433" s="16">
        <f>VLOOKUP(I433,[2]行业排放因子!$A:$B,2,0)</f>
        <v>8.9338914683308701</v>
      </c>
      <c r="K433" s="9" t="s">
        <v>1489</v>
      </c>
    </row>
    <row r="434" spans="1:11" ht="12.5" customHeight="1" x14ac:dyDescent="0.25">
      <c r="A434" s="5" t="s">
        <v>1519</v>
      </c>
      <c r="B434" s="6" t="s">
        <v>1484</v>
      </c>
      <c r="C434" s="6" t="s">
        <v>1485</v>
      </c>
      <c r="D434" s="6" t="s">
        <v>1497</v>
      </c>
      <c r="E434" s="6" t="s">
        <v>1520</v>
      </c>
      <c r="F434" s="6" t="s">
        <v>1521</v>
      </c>
      <c r="G434" s="9"/>
      <c r="H434" s="9" t="s">
        <v>18</v>
      </c>
      <c r="I434" s="16" t="str">
        <f>VLOOKUP(F434,[1]完整分类结果!$E:$G,3,0)</f>
        <v>食品加工业</v>
      </c>
      <c r="J434" s="16">
        <f>VLOOKUP(I434,[2]行业排放因子!$A:$B,2,0)</f>
        <v>8.9338914683308701</v>
      </c>
      <c r="K434" s="9" t="s">
        <v>1489</v>
      </c>
    </row>
    <row r="435" spans="1:11" ht="12.5" customHeight="1" x14ac:dyDescent="0.25">
      <c r="A435" s="5" t="s">
        <v>1522</v>
      </c>
      <c r="B435" s="6" t="s">
        <v>1484</v>
      </c>
      <c r="C435" s="6" t="s">
        <v>1485</v>
      </c>
      <c r="D435" s="6" t="s">
        <v>1497</v>
      </c>
      <c r="E435" s="6" t="s">
        <v>1523</v>
      </c>
      <c r="F435" s="6" t="s">
        <v>1524</v>
      </c>
      <c r="G435" s="9" t="s">
        <v>1525</v>
      </c>
      <c r="H435" s="9" t="s">
        <v>18</v>
      </c>
      <c r="I435" s="16" t="str">
        <f>VLOOKUP(F435,[1]完整分类结果!$E:$G,3,0)</f>
        <v>食品加工业</v>
      </c>
      <c r="J435" s="16">
        <f>VLOOKUP(I435,[2]行业排放因子!$A:$B,2,0)</f>
        <v>8.9338914683308701</v>
      </c>
      <c r="K435" s="9" t="s">
        <v>1489</v>
      </c>
    </row>
    <row r="436" spans="1:11" ht="12.5" customHeight="1" x14ac:dyDescent="0.25">
      <c r="A436" s="5" t="s">
        <v>1526</v>
      </c>
      <c r="B436" s="6" t="s">
        <v>1484</v>
      </c>
      <c r="C436" s="6" t="s">
        <v>1485</v>
      </c>
      <c r="D436" s="6" t="s">
        <v>1497</v>
      </c>
      <c r="E436" s="6" t="s">
        <v>1527</v>
      </c>
      <c r="F436" s="6" t="s">
        <v>1528</v>
      </c>
      <c r="G436" s="9" t="s">
        <v>1529</v>
      </c>
      <c r="H436" s="9" t="s">
        <v>18</v>
      </c>
      <c r="I436" s="16" t="str">
        <f>VLOOKUP(F436,[1]完整分类结果!$E:$G,3,0)</f>
        <v>食品加工业</v>
      </c>
      <c r="J436" s="16">
        <f>VLOOKUP(I436,[2]行业排放因子!$A:$B,2,0)</f>
        <v>8.9338914683308701</v>
      </c>
      <c r="K436" s="9" t="s">
        <v>1489</v>
      </c>
    </row>
    <row r="437" spans="1:11" ht="12.5" customHeight="1" x14ac:dyDescent="0.25">
      <c r="A437" s="5" t="s">
        <v>1530</v>
      </c>
      <c r="B437" s="6" t="s">
        <v>1484</v>
      </c>
      <c r="C437" s="6" t="s">
        <v>1485</v>
      </c>
      <c r="D437" s="6" t="s">
        <v>1531</v>
      </c>
      <c r="E437" s="6" t="s">
        <v>1532</v>
      </c>
      <c r="F437" s="6" t="s">
        <v>1533</v>
      </c>
      <c r="G437" s="9" t="s">
        <v>1534</v>
      </c>
      <c r="H437" s="9" t="s">
        <v>18</v>
      </c>
      <c r="I437" s="16" t="str">
        <f>VLOOKUP(F437,[1]完整分类结果!$E:$G,3,0)</f>
        <v>食品加工业</v>
      </c>
      <c r="J437" s="16">
        <f>VLOOKUP(I437,[2]行业排放因子!$A:$B,2,0)</f>
        <v>8.9338914683308701</v>
      </c>
      <c r="K437" s="9" t="s">
        <v>1489</v>
      </c>
    </row>
    <row r="438" spans="1:11" ht="12.5" customHeight="1" x14ac:dyDescent="0.25">
      <c r="A438" s="5" t="s">
        <v>1535</v>
      </c>
      <c r="B438" s="6" t="s">
        <v>1484</v>
      </c>
      <c r="C438" s="6" t="s">
        <v>1485</v>
      </c>
      <c r="D438" s="6" t="s">
        <v>1531</v>
      </c>
      <c r="E438" s="6" t="s">
        <v>1536</v>
      </c>
      <c r="F438" s="6" t="s">
        <v>1537</v>
      </c>
      <c r="G438" s="9" t="s">
        <v>1538</v>
      </c>
      <c r="H438" s="9" t="s">
        <v>18</v>
      </c>
      <c r="I438" s="16" t="str">
        <f>VLOOKUP(F438,[1]完整分类结果!$E:$G,3,0)</f>
        <v>食品加工业</v>
      </c>
      <c r="J438" s="16">
        <f>VLOOKUP(I438,[2]行业排放因子!$A:$B,2,0)</f>
        <v>8.9338914683308701</v>
      </c>
      <c r="K438" s="9" t="s">
        <v>1489</v>
      </c>
    </row>
    <row r="439" spans="1:11" ht="12.5" customHeight="1" x14ac:dyDescent="0.25">
      <c r="A439" s="5" t="s">
        <v>1539</v>
      </c>
      <c r="B439" s="6" t="s">
        <v>1484</v>
      </c>
      <c r="C439" s="6" t="s">
        <v>1485</v>
      </c>
      <c r="D439" s="6" t="s">
        <v>1540</v>
      </c>
      <c r="E439" s="6" t="s">
        <v>1541</v>
      </c>
      <c r="F439" s="6" t="s">
        <v>1542</v>
      </c>
      <c r="G439" s="9"/>
      <c r="H439" s="9" t="s">
        <v>18</v>
      </c>
      <c r="I439" s="16" t="str">
        <f>VLOOKUP(F439,[1]完整分类结果!$E:$G,3,0)</f>
        <v>食品加工业</v>
      </c>
      <c r="J439" s="16">
        <f>VLOOKUP(I439,[2]行业排放因子!$A:$B,2,0)</f>
        <v>8.9338914683308701</v>
      </c>
      <c r="K439" s="9" t="s">
        <v>1489</v>
      </c>
    </row>
    <row r="440" spans="1:11" ht="12.5" customHeight="1" x14ac:dyDescent="0.25">
      <c r="A440" s="5" t="s">
        <v>1543</v>
      </c>
      <c r="B440" s="6" t="s">
        <v>1484</v>
      </c>
      <c r="C440" s="6" t="s">
        <v>1485</v>
      </c>
      <c r="D440" s="6" t="s">
        <v>1540</v>
      </c>
      <c r="E440" s="6" t="s">
        <v>1544</v>
      </c>
      <c r="F440" s="6" t="s">
        <v>1545</v>
      </c>
      <c r="G440" s="9" t="s">
        <v>1546</v>
      </c>
      <c r="H440" s="9" t="s">
        <v>18</v>
      </c>
      <c r="I440" s="16" t="str">
        <f>VLOOKUP(F440,[1]完整分类结果!$E:$G,3,0)</f>
        <v>食品加工业</v>
      </c>
      <c r="J440" s="16">
        <f>VLOOKUP(I440,[2]行业排放因子!$A:$B,2,0)</f>
        <v>8.9338914683308701</v>
      </c>
      <c r="K440" s="9" t="s">
        <v>1489</v>
      </c>
    </row>
    <row r="441" spans="1:11" ht="12.5" customHeight="1" x14ac:dyDescent="0.25">
      <c r="A441" s="5" t="s">
        <v>1547</v>
      </c>
      <c r="B441" s="6" t="s">
        <v>1484</v>
      </c>
      <c r="C441" s="6" t="s">
        <v>1485</v>
      </c>
      <c r="D441" s="6" t="s">
        <v>1548</v>
      </c>
      <c r="E441" s="6" t="s">
        <v>1549</v>
      </c>
      <c r="F441" s="6" t="s">
        <v>1548</v>
      </c>
      <c r="G441" s="9" t="s">
        <v>1550</v>
      </c>
      <c r="H441" s="9" t="s">
        <v>18</v>
      </c>
      <c r="I441" s="16" t="str">
        <f>VLOOKUP(F441,[1]完整分类结果!$E:$G,3,0)</f>
        <v>食品加工业</v>
      </c>
      <c r="J441" s="16">
        <f>VLOOKUP(I441,[2]行业排放因子!$A:$B,2,0)</f>
        <v>8.9338914683308701</v>
      </c>
      <c r="K441" s="9" t="s">
        <v>1489</v>
      </c>
    </row>
    <row r="442" spans="1:11" ht="12.5" customHeight="1" x14ac:dyDescent="0.25">
      <c r="A442" s="5" t="s">
        <v>1551</v>
      </c>
      <c r="B442" s="6" t="s">
        <v>1484</v>
      </c>
      <c r="C442" s="6" t="s">
        <v>1485</v>
      </c>
      <c r="D442" s="6" t="s">
        <v>1548</v>
      </c>
      <c r="E442" s="6" t="s">
        <v>1552</v>
      </c>
      <c r="F442" s="6" t="s">
        <v>1553</v>
      </c>
      <c r="G442" s="9" t="s">
        <v>1554</v>
      </c>
      <c r="H442" s="9" t="s">
        <v>18</v>
      </c>
      <c r="I442" s="16" t="str">
        <f>VLOOKUP(F442,[1]完整分类结果!$E:$G,3,0)</f>
        <v>食品加工业</v>
      </c>
      <c r="J442" s="16">
        <f>VLOOKUP(I442,[2]行业排放因子!$A:$B,2,0)</f>
        <v>8.9338914683308701</v>
      </c>
      <c r="K442" s="9" t="s">
        <v>1489</v>
      </c>
    </row>
    <row r="443" spans="1:11" ht="12.5" customHeight="1" x14ac:dyDescent="0.25">
      <c r="A443" s="5" t="s">
        <v>1555</v>
      </c>
      <c r="B443" s="6" t="s">
        <v>1484</v>
      </c>
      <c r="C443" s="6" t="s">
        <v>1485</v>
      </c>
      <c r="D443" s="6" t="s">
        <v>1548</v>
      </c>
      <c r="E443" s="6" t="s">
        <v>1556</v>
      </c>
      <c r="F443" s="6" t="s">
        <v>1557</v>
      </c>
      <c r="G443" s="9" t="s">
        <v>1558</v>
      </c>
      <c r="H443" s="9" t="s">
        <v>18</v>
      </c>
      <c r="I443" s="16" t="str">
        <f>VLOOKUP(F443,[1]完整分类结果!$E:$G,3,0)</f>
        <v>食品加工业</v>
      </c>
      <c r="J443" s="16">
        <f>VLOOKUP(I443,[2]行业排放因子!$A:$B,2,0)</f>
        <v>8.9338914683308701</v>
      </c>
      <c r="K443" s="9" t="s">
        <v>1489</v>
      </c>
    </row>
    <row r="444" spans="1:11" ht="12.5" customHeight="1" x14ac:dyDescent="0.25">
      <c r="A444" s="5" t="s">
        <v>1559</v>
      </c>
      <c r="B444" s="6" t="s">
        <v>1484</v>
      </c>
      <c r="C444" s="6" t="s">
        <v>1485</v>
      </c>
      <c r="D444" s="6" t="s">
        <v>1548</v>
      </c>
      <c r="E444" s="6" t="s">
        <v>1560</v>
      </c>
      <c r="F444" s="6" t="s">
        <v>1561</v>
      </c>
      <c r="G444" s="9" t="s">
        <v>1562</v>
      </c>
      <c r="H444" s="9" t="s">
        <v>18</v>
      </c>
      <c r="I444" s="16" t="str">
        <f>VLOOKUP(F444,[1]完整分类结果!$E:$G,3,0)</f>
        <v>食品加工业</v>
      </c>
      <c r="J444" s="16">
        <f>VLOOKUP(I444,[2]行业排放因子!$A:$B,2,0)</f>
        <v>8.9338914683308701</v>
      </c>
      <c r="K444" s="9" t="s">
        <v>1489</v>
      </c>
    </row>
    <row r="445" spans="1:11" ht="12.5" customHeight="1" x14ac:dyDescent="0.25">
      <c r="A445" s="5" t="s">
        <v>1563</v>
      </c>
      <c r="B445" s="6" t="s">
        <v>1484</v>
      </c>
      <c r="C445" s="6" t="s">
        <v>1485</v>
      </c>
      <c r="D445" s="6" t="s">
        <v>1548</v>
      </c>
      <c r="E445" s="6" t="s">
        <v>1564</v>
      </c>
      <c r="F445" s="6" t="s">
        <v>1565</v>
      </c>
      <c r="G445" s="9" t="s">
        <v>1566</v>
      </c>
      <c r="H445" s="9" t="s">
        <v>18</v>
      </c>
      <c r="I445" s="16" t="str">
        <f>VLOOKUP(F445,[1]完整分类结果!$E:$G,3,0)</f>
        <v>食品加工业</v>
      </c>
      <c r="J445" s="16">
        <f>VLOOKUP(I445,[2]行业排放因子!$A:$B,2,0)</f>
        <v>8.9338914683308701</v>
      </c>
      <c r="K445" s="9" t="s">
        <v>1489</v>
      </c>
    </row>
    <row r="446" spans="1:11" ht="12.5" customHeight="1" x14ac:dyDescent="0.25">
      <c r="A446" s="5" t="s">
        <v>1567</v>
      </c>
      <c r="B446" s="6" t="s">
        <v>1484</v>
      </c>
      <c r="C446" s="6" t="s">
        <v>1485</v>
      </c>
      <c r="D446" s="6" t="s">
        <v>1548</v>
      </c>
      <c r="E446" s="6" t="s">
        <v>1568</v>
      </c>
      <c r="F446" s="6" t="s">
        <v>1569</v>
      </c>
      <c r="G446" s="9" t="s">
        <v>1570</v>
      </c>
      <c r="H446" s="9" t="s">
        <v>18</v>
      </c>
      <c r="I446" s="16" t="str">
        <f>VLOOKUP(F446,[1]完整分类结果!$E:$G,3,0)</f>
        <v>食品加工业</v>
      </c>
      <c r="J446" s="16">
        <f>VLOOKUP(I446,[2]行业排放因子!$A:$B,2,0)</f>
        <v>8.9338914683308701</v>
      </c>
      <c r="K446" s="9" t="s">
        <v>1489</v>
      </c>
    </row>
    <row r="447" spans="1:11" ht="12.5" customHeight="1" x14ac:dyDescent="0.25">
      <c r="A447" s="5" t="s">
        <v>1571</v>
      </c>
      <c r="B447" s="6" t="s">
        <v>1484</v>
      </c>
      <c r="C447" s="6" t="s">
        <v>1485</v>
      </c>
      <c r="D447" s="6" t="s">
        <v>1572</v>
      </c>
      <c r="E447" s="6" t="s">
        <v>1573</v>
      </c>
      <c r="F447" s="6" t="s">
        <v>1574</v>
      </c>
      <c r="G447" s="9"/>
      <c r="H447" s="9" t="s">
        <v>18</v>
      </c>
      <c r="I447" s="16" t="str">
        <f>VLOOKUP(F447,[1]完整分类结果!$E:$G,3,0)</f>
        <v>食品加工业</v>
      </c>
      <c r="J447" s="16">
        <f>VLOOKUP(I447,[2]行业排放因子!$A:$B,2,0)</f>
        <v>8.9338914683308701</v>
      </c>
      <c r="K447" s="9" t="s">
        <v>1489</v>
      </c>
    </row>
    <row r="448" spans="1:11" ht="12.5" customHeight="1" x14ac:dyDescent="0.25">
      <c r="A448" s="5" t="s">
        <v>1575</v>
      </c>
      <c r="B448" s="6" t="s">
        <v>1484</v>
      </c>
      <c r="C448" s="6" t="s">
        <v>1485</v>
      </c>
      <c r="D448" s="6" t="s">
        <v>1572</v>
      </c>
      <c r="E448" s="6" t="s">
        <v>1576</v>
      </c>
      <c r="F448" s="6" t="s">
        <v>1577</v>
      </c>
      <c r="G448" s="9"/>
      <c r="H448" s="9" t="s">
        <v>18</v>
      </c>
      <c r="I448" s="16" t="str">
        <f>VLOOKUP(F448,[1]完整分类结果!$E:$G,3,0)</f>
        <v>食品加工业</v>
      </c>
      <c r="J448" s="16">
        <f>VLOOKUP(I448,[2]行业排放因子!$A:$B,2,0)</f>
        <v>8.9338914683308701</v>
      </c>
      <c r="K448" s="9" t="s">
        <v>1489</v>
      </c>
    </row>
    <row r="449" spans="1:11" ht="12.5" customHeight="1" x14ac:dyDescent="0.25">
      <c r="A449" s="5" t="s">
        <v>1578</v>
      </c>
      <c r="B449" s="6" t="s">
        <v>1484</v>
      </c>
      <c r="C449" s="6" t="s">
        <v>1485</v>
      </c>
      <c r="D449" s="6" t="s">
        <v>1572</v>
      </c>
      <c r="E449" s="6" t="s">
        <v>1579</v>
      </c>
      <c r="F449" s="6" t="s">
        <v>1580</v>
      </c>
      <c r="G449" s="9"/>
      <c r="H449" s="9" t="s">
        <v>18</v>
      </c>
      <c r="I449" s="16" t="str">
        <f>VLOOKUP(F449,[1]完整分类结果!$E:$G,3,0)</f>
        <v>食品加工业</v>
      </c>
      <c r="J449" s="16">
        <f>VLOOKUP(I449,[2]行业排放因子!$A:$B,2,0)</f>
        <v>8.9338914683308701</v>
      </c>
      <c r="K449" s="9" t="s">
        <v>1489</v>
      </c>
    </row>
    <row r="450" spans="1:11" ht="12.5" customHeight="1" x14ac:dyDescent="0.25">
      <c r="A450" s="5" t="s">
        <v>1581</v>
      </c>
      <c r="B450" s="6" t="s">
        <v>1484</v>
      </c>
      <c r="C450" s="6" t="s">
        <v>1485</v>
      </c>
      <c r="D450" s="6" t="s">
        <v>1572</v>
      </c>
      <c r="E450" s="6" t="s">
        <v>1582</v>
      </c>
      <c r="F450" s="6" t="s">
        <v>1583</v>
      </c>
      <c r="G450" s="9" t="s">
        <v>1584</v>
      </c>
      <c r="H450" s="9" t="s">
        <v>18</v>
      </c>
      <c r="I450" s="16" t="str">
        <f>VLOOKUP(F450,[1]完整分类结果!$E:$G,3,0)</f>
        <v>食品加工业</v>
      </c>
      <c r="J450" s="16">
        <f>VLOOKUP(I450,[2]行业排放因子!$A:$B,2,0)</f>
        <v>8.9338914683308701</v>
      </c>
      <c r="K450" s="9" t="s">
        <v>1489</v>
      </c>
    </row>
    <row r="451" spans="1:11" ht="12.5" customHeight="1" x14ac:dyDescent="0.25">
      <c r="A451" s="5" t="s">
        <v>1585</v>
      </c>
      <c r="B451" s="6" t="s">
        <v>1484</v>
      </c>
      <c r="C451" s="6" t="s">
        <v>1485</v>
      </c>
      <c r="D451" s="6" t="s">
        <v>1572</v>
      </c>
      <c r="E451" s="6" t="s">
        <v>1586</v>
      </c>
      <c r="F451" s="6" t="s">
        <v>1587</v>
      </c>
      <c r="G451" s="9"/>
      <c r="H451" s="9" t="s">
        <v>18</v>
      </c>
      <c r="I451" s="16" t="str">
        <f>VLOOKUP(F451,[1]完整分类结果!$E:$G,3,0)</f>
        <v>食品加工业</v>
      </c>
      <c r="J451" s="16">
        <f>VLOOKUP(I451,[2]行业排放因子!$A:$B,2,0)</f>
        <v>8.9338914683308701</v>
      </c>
      <c r="K451" s="9" t="s">
        <v>1489</v>
      </c>
    </row>
    <row r="452" spans="1:11" ht="12.5" customHeight="1" x14ac:dyDescent="0.25">
      <c r="A452" s="5" t="s">
        <v>1588</v>
      </c>
      <c r="B452" s="6" t="s">
        <v>1484</v>
      </c>
      <c r="C452" s="6" t="s">
        <v>1485</v>
      </c>
      <c r="D452" s="6" t="s">
        <v>1572</v>
      </c>
      <c r="E452" s="6" t="s">
        <v>1589</v>
      </c>
      <c r="F452" s="6" t="s">
        <v>1590</v>
      </c>
      <c r="G452" s="9"/>
      <c r="H452" s="9" t="s">
        <v>18</v>
      </c>
      <c r="I452" s="16" t="str">
        <f>VLOOKUP(F452,[1]完整分类结果!$E:$G,3,0)</f>
        <v>食品加工业</v>
      </c>
      <c r="J452" s="16">
        <f>VLOOKUP(I452,[2]行业排放因子!$A:$B,2,0)</f>
        <v>8.9338914683308701</v>
      </c>
      <c r="K452" s="9" t="s">
        <v>1489</v>
      </c>
    </row>
    <row r="453" spans="1:11" ht="12.5" customHeight="1" x14ac:dyDescent="0.25">
      <c r="A453" s="5" t="s">
        <v>1591</v>
      </c>
      <c r="B453" s="6" t="s">
        <v>1484</v>
      </c>
      <c r="C453" s="6" t="s">
        <v>1485</v>
      </c>
      <c r="D453" s="6" t="s">
        <v>1572</v>
      </c>
      <c r="E453" s="6" t="s">
        <v>1592</v>
      </c>
      <c r="F453" s="6" t="s">
        <v>1593</v>
      </c>
      <c r="G453" s="9"/>
      <c r="H453" s="9" t="s">
        <v>18</v>
      </c>
      <c r="I453" s="16" t="str">
        <f>VLOOKUP(F453,[1]完整分类结果!$E:$G,3,0)</f>
        <v>食品加工业</v>
      </c>
      <c r="J453" s="16">
        <f>VLOOKUP(I453,[2]行业排放因子!$A:$B,2,0)</f>
        <v>8.9338914683308701</v>
      </c>
      <c r="K453" s="9" t="s">
        <v>1489</v>
      </c>
    </row>
    <row r="454" spans="1:11" ht="12.5" customHeight="1" x14ac:dyDescent="0.25">
      <c r="A454" s="5" t="s">
        <v>1594</v>
      </c>
      <c r="B454" s="6" t="s">
        <v>1484</v>
      </c>
      <c r="C454" s="6" t="s">
        <v>1485</v>
      </c>
      <c r="D454" s="6" t="s">
        <v>1572</v>
      </c>
      <c r="E454" s="6" t="s">
        <v>1595</v>
      </c>
      <c r="F454" s="6" t="s">
        <v>1596</v>
      </c>
      <c r="G454" s="9"/>
      <c r="H454" s="9" t="s">
        <v>18</v>
      </c>
      <c r="I454" s="16" t="str">
        <f>VLOOKUP(F454,[1]完整分类结果!$E:$G,3,0)</f>
        <v>食品加工业</v>
      </c>
      <c r="J454" s="16">
        <f>VLOOKUP(I454,[2]行业排放因子!$A:$B,2,0)</f>
        <v>8.9338914683308701</v>
      </c>
      <c r="K454" s="9" t="s">
        <v>1489</v>
      </c>
    </row>
    <row r="455" spans="1:11" ht="12.5" customHeight="1" x14ac:dyDescent="0.25">
      <c r="A455" s="5" t="s">
        <v>1597</v>
      </c>
      <c r="B455" s="6" t="s">
        <v>1484</v>
      </c>
      <c r="C455" s="6" t="s">
        <v>1485</v>
      </c>
      <c r="D455" s="6" t="s">
        <v>1572</v>
      </c>
      <c r="E455" s="6" t="s">
        <v>1598</v>
      </c>
      <c r="F455" s="6" t="s">
        <v>1599</v>
      </c>
      <c r="G455" s="9"/>
      <c r="H455" s="9" t="s">
        <v>18</v>
      </c>
      <c r="I455" s="16" t="str">
        <f>VLOOKUP(F455,[1]完整分类结果!$E:$G,3,0)</f>
        <v>食品加工业</v>
      </c>
      <c r="J455" s="16">
        <f>VLOOKUP(I455,[2]行业排放因子!$A:$B,2,0)</f>
        <v>8.9338914683308701</v>
      </c>
      <c r="K455" s="9" t="s">
        <v>1489</v>
      </c>
    </row>
    <row r="456" spans="1:11" ht="12.5" customHeight="1" x14ac:dyDescent="0.25">
      <c r="A456" s="5" t="s">
        <v>1600</v>
      </c>
      <c r="B456" s="6" t="s">
        <v>1484</v>
      </c>
      <c r="C456" s="6" t="s">
        <v>1485</v>
      </c>
      <c r="D456" s="6" t="s">
        <v>1601</v>
      </c>
      <c r="E456" s="6" t="s">
        <v>1602</v>
      </c>
      <c r="F456" s="6" t="s">
        <v>1603</v>
      </c>
      <c r="G456" s="9" t="s">
        <v>1604</v>
      </c>
      <c r="H456" s="9" t="s">
        <v>18</v>
      </c>
      <c r="I456" s="16" t="str">
        <f>VLOOKUP(F456,[1]完整分类结果!$E:$G,3,0)</f>
        <v>食品加工业</v>
      </c>
      <c r="J456" s="16">
        <f>VLOOKUP(I456,[2]行业排放因子!$A:$B,2,0)</f>
        <v>8.9338914683308701</v>
      </c>
      <c r="K456" s="9" t="s">
        <v>1489</v>
      </c>
    </row>
    <row r="457" spans="1:11" ht="12.5" customHeight="1" x14ac:dyDescent="0.25">
      <c r="A457" s="5" t="s">
        <v>1605</v>
      </c>
      <c r="B457" s="6" t="s">
        <v>1484</v>
      </c>
      <c r="C457" s="6" t="s">
        <v>1485</v>
      </c>
      <c r="D457" s="6" t="s">
        <v>1601</v>
      </c>
      <c r="E457" s="6" t="s">
        <v>1606</v>
      </c>
      <c r="F457" s="6" t="s">
        <v>1607</v>
      </c>
      <c r="G457" s="9"/>
      <c r="H457" s="9" t="s">
        <v>18</v>
      </c>
      <c r="I457" s="16" t="str">
        <f>VLOOKUP(F457,[1]完整分类结果!$E:$G,3,0)</f>
        <v>食品加工业</v>
      </c>
      <c r="J457" s="16">
        <f>VLOOKUP(I457,[2]行业排放因子!$A:$B,2,0)</f>
        <v>8.9338914683308701</v>
      </c>
      <c r="K457" s="9" t="s">
        <v>1489</v>
      </c>
    </row>
    <row r="458" spans="1:11" ht="12.5" customHeight="1" x14ac:dyDescent="0.25">
      <c r="A458" s="5" t="s">
        <v>1608</v>
      </c>
      <c r="B458" s="6" t="s">
        <v>1484</v>
      </c>
      <c r="C458" s="6" t="s">
        <v>1485</v>
      </c>
      <c r="D458" s="6" t="s">
        <v>1601</v>
      </c>
      <c r="E458" s="6" t="s">
        <v>1609</v>
      </c>
      <c r="F458" s="6" t="s">
        <v>1610</v>
      </c>
      <c r="G458" s="9"/>
      <c r="H458" s="9" t="s">
        <v>18</v>
      </c>
      <c r="I458" s="16" t="str">
        <f>VLOOKUP(F458,[1]完整分类结果!$E:$G,3,0)</f>
        <v>食品加工业</v>
      </c>
      <c r="J458" s="16">
        <f>VLOOKUP(I458,[2]行业排放因子!$A:$B,2,0)</f>
        <v>8.9338914683308701</v>
      </c>
      <c r="K458" s="9" t="s">
        <v>1489</v>
      </c>
    </row>
    <row r="459" spans="1:11" ht="12.5" customHeight="1" x14ac:dyDescent="0.25">
      <c r="A459" s="5" t="s">
        <v>1611</v>
      </c>
      <c r="B459" s="6" t="s">
        <v>1484</v>
      </c>
      <c r="C459" s="6" t="s">
        <v>1485</v>
      </c>
      <c r="D459" s="6" t="s">
        <v>1601</v>
      </c>
      <c r="E459" s="6" t="s">
        <v>1612</v>
      </c>
      <c r="F459" s="6" t="s">
        <v>1613</v>
      </c>
      <c r="G459" s="9"/>
      <c r="H459" s="9" t="s">
        <v>18</v>
      </c>
      <c r="I459" s="16" t="str">
        <f>VLOOKUP(F459,[1]完整分类结果!$E:$G,3,0)</f>
        <v>食品加工业</v>
      </c>
      <c r="J459" s="16">
        <f>VLOOKUP(I459,[2]行业排放因子!$A:$B,2,0)</f>
        <v>8.9338914683308701</v>
      </c>
      <c r="K459" s="9" t="s">
        <v>1489</v>
      </c>
    </row>
    <row r="460" spans="1:11" ht="12.5" customHeight="1" x14ac:dyDescent="0.25">
      <c r="A460" s="5" t="s">
        <v>1614</v>
      </c>
      <c r="B460" s="6" t="s">
        <v>1484</v>
      </c>
      <c r="C460" s="6" t="s">
        <v>1485</v>
      </c>
      <c r="D460" s="6" t="s">
        <v>1615</v>
      </c>
      <c r="E460" s="6" t="s">
        <v>1616</v>
      </c>
      <c r="F460" s="6" t="s">
        <v>1617</v>
      </c>
      <c r="G460" s="9"/>
      <c r="H460" s="9" t="s">
        <v>18</v>
      </c>
      <c r="I460" s="16" t="str">
        <f>VLOOKUP(F460,[1]完整分类结果!$E:$G,3,0)</f>
        <v>食品加工业</v>
      </c>
      <c r="J460" s="16">
        <f>VLOOKUP(I460,[2]行业排放因子!$A:$B,2,0)</f>
        <v>8.9338914683308701</v>
      </c>
      <c r="K460" s="9" t="s">
        <v>1489</v>
      </c>
    </row>
    <row r="461" spans="1:11" ht="12.5" customHeight="1" x14ac:dyDescent="0.25">
      <c r="A461" s="5" t="s">
        <v>1618</v>
      </c>
      <c r="B461" s="6" t="s">
        <v>1484</v>
      </c>
      <c r="C461" s="6" t="s">
        <v>1485</v>
      </c>
      <c r="D461" s="6" t="s">
        <v>1615</v>
      </c>
      <c r="E461" s="6" t="s">
        <v>1619</v>
      </c>
      <c r="F461" s="6" t="s">
        <v>1620</v>
      </c>
      <c r="G461" s="9"/>
      <c r="H461" s="9" t="s">
        <v>18</v>
      </c>
      <c r="I461" s="16" t="str">
        <f>VLOOKUP(F461,[1]完整分类结果!$E:$G,3,0)</f>
        <v>食品加工业</v>
      </c>
      <c r="J461" s="16">
        <f>VLOOKUP(I461,[2]行业排放因子!$A:$B,2,0)</f>
        <v>8.9338914683308701</v>
      </c>
      <c r="K461" s="9" t="s">
        <v>1489</v>
      </c>
    </row>
    <row r="462" spans="1:11" ht="12.5" customHeight="1" x14ac:dyDescent="0.25">
      <c r="A462" s="5" t="s">
        <v>1621</v>
      </c>
      <c r="B462" s="6" t="s">
        <v>1484</v>
      </c>
      <c r="C462" s="6" t="s">
        <v>1485</v>
      </c>
      <c r="D462" s="6" t="s">
        <v>1615</v>
      </c>
      <c r="E462" s="6" t="s">
        <v>1622</v>
      </c>
      <c r="F462" s="6" t="s">
        <v>1623</v>
      </c>
      <c r="G462" s="9" t="s">
        <v>1624</v>
      </c>
      <c r="H462" s="9" t="s">
        <v>18</v>
      </c>
      <c r="I462" s="16" t="str">
        <f>VLOOKUP(F462,[1]完整分类结果!$E:$G,3,0)</f>
        <v>食品加工业</v>
      </c>
      <c r="J462" s="16">
        <f>VLOOKUP(I462,[2]行业排放因子!$A:$B,2,0)</f>
        <v>8.9338914683308701</v>
      </c>
      <c r="K462" s="9" t="s">
        <v>1489</v>
      </c>
    </row>
    <row r="463" spans="1:11" ht="12.5" customHeight="1" x14ac:dyDescent="0.25">
      <c r="A463" s="5" t="s">
        <v>1625</v>
      </c>
      <c r="B463" s="6" t="s">
        <v>1484</v>
      </c>
      <c r="C463" s="6" t="s">
        <v>1485</v>
      </c>
      <c r="D463" s="6" t="s">
        <v>1615</v>
      </c>
      <c r="E463" s="6" t="s">
        <v>1626</v>
      </c>
      <c r="F463" s="6" t="s">
        <v>1627</v>
      </c>
      <c r="G463" s="9"/>
      <c r="H463" s="9" t="s">
        <v>18</v>
      </c>
      <c r="I463" s="16" t="str">
        <f>VLOOKUP(F463,[1]完整分类结果!$E:$G,3,0)</f>
        <v>食品加工业</v>
      </c>
      <c r="J463" s="16">
        <f>VLOOKUP(I463,[2]行业排放因子!$A:$B,2,0)</f>
        <v>8.9338914683308701</v>
      </c>
      <c r="K463" s="9" t="s">
        <v>1489</v>
      </c>
    </row>
    <row r="464" spans="1:11" ht="12.5" customHeight="1" x14ac:dyDescent="0.25">
      <c r="A464" s="5" t="s">
        <v>1628</v>
      </c>
      <c r="B464" s="6" t="s">
        <v>1484</v>
      </c>
      <c r="C464" s="6" t="s">
        <v>1485</v>
      </c>
      <c r="D464" s="6" t="s">
        <v>1615</v>
      </c>
      <c r="E464" s="6" t="s">
        <v>1629</v>
      </c>
      <c r="F464" s="6" t="s">
        <v>1630</v>
      </c>
      <c r="G464" s="9"/>
      <c r="H464" s="9" t="s">
        <v>18</v>
      </c>
      <c r="I464" s="16" t="str">
        <f>VLOOKUP(F464,[1]完整分类结果!$E:$G,3,0)</f>
        <v>食品加工业</v>
      </c>
      <c r="J464" s="16">
        <f>VLOOKUP(I464,[2]行业排放因子!$A:$B,2,0)</f>
        <v>8.9338914683308701</v>
      </c>
      <c r="K464" s="9" t="s">
        <v>1489</v>
      </c>
    </row>
    <row r="465" spans="1:11" ht="12.5" customHeight="1" x14ac:dyDescent="0.25">
      <c r="A465" s="5" t="s">
        <v>1631</v>
      </c>
      <c r="B465" s="6" t="s">
        <v>1484</v>
      </c>
      <c r="C465" s="6" t="s">
        <v>1485</v>
      </c>
      <c r="D465" s="6" t="s">
        <v>1615</v>
      </c>
      <c r="E465" s="6" t="s">
        <v>1632</v>
      </c>
      <c r="F465" s="6" t="s">
        <v>1633</v>
      </c>
      <c r="G465" s="9" t="s">
        <v>1634</v>
      </c>
      <c r="H465" s="9" t="s">
        <v>18</v>
      </c>
      <c r="I465" s="16" t="str">
        <f>VLOOKUP(F465,[1]完整分类结果!$E:$G,3,0)</f>
        <v>食品加工业</v>
      </c>
      <c r="J465" s="16">
        <f>VLOOKUP(I465,[2]行业排放因子!$A:$B,2,0)</f>
        <v>8.9338914683308701</v>
      </c>
      <c r="K465" s="9" t="s">
        <v>1489</v>
      </c>
    </row>
    <row r="466" spans="1:11" ht="12.5" customHeight="1" x14ac:dyDescent="0.25">
      <c r="A466" s="5" t="s">
        <v>1635</v>
      </c>
      <c r="B466" s="6" t="s">
        <v>1484</v>
      </c>
      <c r="C466" s="6" t="s">
        <v>1485</v>
      </c>
      <c r="D466" s="6" t="s">
        <v>1636</v>
      </c>
      <c r="E466" s="6" t="s">
        <v>1637</v>
      </c>
      <c r="F466" s="6" t="s">
        <v>1638</v>
      </c>
      <c r="G466" s="9" t="s">
        <v>1639</v>
      </c>
      <c r="H466" s="9" t="s">
        <v>18</v>
      </c>
      <c r="I466" s="16" t="str">
        <f>VLOOKUP(F466,[1]完整分类结果!$E:$G,3,0)</f>
        <v>食品加工业</v>
      </c>
      <c r="J466" s="16">
        <f>VLOOKUP(I466,[2]行业排放因子!$A:$B,2,0)</f>
        <v>8.9338914683308701</v>
      </c>
      <c r="K466" s="9" t="s">
        <v>1489</v>
      </c>
    </row>
    <row r="467" spans="1:11" ht="12.5" customHeight="1" x14ac:dyDescent="0.25">
      <c r="A467" s="5" t="s">
        <v>1640</v>
      </c>
      <c r="B467" s="6" t="s">
        <v>1484</v>
      </c>
      <c r="C467" s="6" t="s">
        <v>1485</v>
      </c>
      <c r="D467" s="6" t="s">
        <v>1636</v>
      </c>
      <c r="E467" s="6" t="s">
        <v>1641</v>
      </c>
      <c r="F467" s="6" t="s">
        <v>1642</v>
      </c>
      <c r="G467" s="9"/>
      <c r="H467" s="9" t="s">
        <v>18</v>
      </c>
      <c r="I467" s="16" t="str">
        <f>VLOOKUP(F467,[1]完整分类结果!$E:$G,3,0)</f>
        <v>食品加工业</v>
      </c>
      <c r="J467" s="16">
        <f>VLOOKUP(I467,[2]行业排放因子!$A:$B,2,0)</f>
        <v>8.9338914683308701</v>
      </c>
      <c r="K467" s="9" t="s">
        <v>1489</v>
      </c>
    </row>
    <row r="468" spans="1:11" ht="12.5" customHeight="1" x14ac:dyDescent="0.25">
      <c r="A468" s="5" t="s">
        <v>1643</v>
      </c>
      <c r="B468" s="6" t="s">
        <v>1484</v>
      </c>
      <c r="C468" s="6" t="s">
        <v>1485</v>
      </c>
      <c r="D468" s="6" t="s">
        <v>1636</v>
      </c>
      <c r="E468" s="6" t="s">
        <v>1644</v>
      </c>
      <c r="F468" s="6" t="s">
        <v>1645</v>
      </c>
      <c r="G468" s="9" t="s">
        <v>1646</v>
      </c>
      <c r="H468" s="9" t="s">
        <v>18</v>
      </c>
      <c r="I468" s="16" t="str">
        <f>VLOOKUP(F468,[1]完整分类结果!$E:$G,3,0)</f>
        <v>食品加工业</v>
      </c>
      <c r="J468" s="16">
        <f>VLOOKUP(I468,[2]行业排放因子!$A:$B,2,0)</f>
        <v>8.9338914683308701</v>
      </c>
      <c r="K468" s="9" t="s">
        <v>1489</v>
      </c>
    </row>
    <row r="469" spans="1:11" ht="12.5" customHeight="1" x14ac:dyDescent="0.25">
      <c r="A469" s="5" t="s">
        <v>1647</v>
      </c>
      <c r="B469" s="6" t="s">
        <v>1484</v>
      </c>
      <c r="C469" s="6" t="s">
        <v>1485</v>
      </c>
      <c r="D469" s="6" t="s">
        <v>1636</v>
      </c>
      <c r="E469" s="6" t="s">
        <v>1648</v>
      </c>
      <c r="F469" s="6" t="s">
        <v>1649</v>
      </c>
      <c r="G469" s="9" t="s">
        <v>1650</v>
      </c>
      <c r="H469" s="9" t="s">
        <v>18</v>
      </c>
      <c r="I469" s="16" t="str">
        <f>VLOOKUP(F469,[1]完整分类结果!$E:$G,3,0)</f>
        <v>食品加工业</v>
      </c>
      <c r="J469" s="16">
        <f>VLOOKUP(I469,[2]行业排放因子!$A:$B,2,0)</f>
        <v>8.9338914683308701</v>
      </c>
      <c r="K469" s="9" t="s">
        <v>1489</v>
      </c>
    </row>
    <row r="470" spans="1:11" ht="12.5" customHeight="1" x14ac:dyDescent="0.25">
      <c r="A470" s="5" t="s">
        <v>1651</v>
      </c>
      <c r="B470" s="6" t="s">
        <v>1484</v>
      </c>
      <c r="C470" s="6" t="s">
        <v>1485</v>
      </c>
      <c r="D470" s="6" t="s">
        <v>1636</v>
      </c>
      <c r="E470" s="6" t="s">
        <v>1652</v>
      </c>
      <c r="F470" s="6" t="s">
        <v>1653</v>
      </c>
      <c r="G470" s="9" t="s">
        <v>1654</v>
      </c>
      <c r="H470" s="9" t="s">
        <v>18</v>
      </c>
      <c r="I470" s="16" t="str">
        <f>VLOOKUP(F470,[1]完整分类结果!$E:$G,3,0)</f>
        <v>食品加工业</v>
      </c>
      <c r="J470" s="16">
        <f>VLOOKUP(I470,[2]行业排放因子!$A:$B,2,0)</f>
        <v>8.9338914683308701</v>
      </c>
      <c r="K470" s="9" t="s">
        <v>1489</v>
      </c>
    </row>
    <row r="471" spans="1:11" ht="12.5" customHeight="1" x14ac:dyDescent="0.25">
      <c r="A471" s="5" t="s">
        <v>1655</v>
      </c>
      <c r="B471" s="6" t="s">
        <v>1484</v>
      </c>
      <c r="C471" s="6" t="s">
        <v>1485</v>
      </c>
      <c r="D471" s="6" t="s">
        <v>1636</v>
      </c>
      <c r="E471" s="6" t="s">
        <v>1656</v>
      </c>
      <c r="F471" s="6" t="s">
        <v>1657</v>
      </c>
      <c r="G471" s="9" t="s">
        <v>1658</v>
      </c>
      <c r="H471" s="9" t="s">
        <v>18</v>
      </c>
      <c r="I471" s="16" t="str">
        <f>VLOOKUP(F471,[1]完整分类结果!$E:$G,3,0)</f>
        <v>食品加工业</v>
      </c>
      <c r="J471" s="16">
        <f>VLOOKUP(I471,[2]行业排放因子!$A:$B,2,0)</f>
        <v>8.9338914683308701</v>
      </c>
      <c r="K471" s="9" t="s">
        <v>1489</v>
      </c>
    </row>
    <row r="472" spans="1:11" ht="12.5" customHeight="1" x14ac:dyDescent="0.25">
      <c r="A472" s="5" t="s">
        <v>1659</v>
      </c>
      <c r="B472" s="6" t="s">
        <v>1484</v>
      </c>
      <c r="C472" s="6" t="s">
        <v>1485</v>
      </c>
      <c r="D472" s="6" t="s">
        <v>1660</v>
      </c>
      <c r="E472" s="6" t="s">
        <v>1661</v>
      </c>
      <c r="F472" s="6" t="s">
        <v>1662</v>
      </c>
      <c r="G472" s="9"/>
      <c r="H472" s="9" t="s">
        <v>18</v>
      </c>
      <c r="I472" s="16" t="str">
        <f>VLOOKUP(F472,[1]完整分类结果!$E:$G,3,0)</f>
        <v>食品加工业</v>
      </c>
      <c r="J472" s="16">
        <f>VLOOKUP(I472,[2]行业排放因子!$A:$B,2,0)</f>
        <v>8.9338914683308701</v>
      </c>
      <c r="K472" s="9" t="s">
        <v>1489</v>
      </c>
    </row>
    <row r="473" spans="1:11" ht="12.5" customHeight="1" x14ac:dyDescent="0.25">
      <c r="A473" s="5" t="s">
        <v>1663</v>
      </c>
      <c r="B473" s="6" t="s">
        <v>1484</v>
      </c>
      <c r="C473" s="6" t="s">
        <v>1485</v>
      </c>
      <c r="D473" s="6" t="s">
        <v>1660</v>
      </c>
      <c r="E473" s="6" t="s">
        <v>1664</v>
      </c>
      <c r="F473" s="6" t="s">
        <v>1665</v>
      </c>
      <c r="G473" s="9"/>
      <c r="H473" s="9" t="s">
        <v>18</v>
      </c>
      <c r="I473" s="16" t="str">
        <f>VLOOKUP(F473,[1]完整分类结果!$E:$G,3,0)</f>
        <v>食品加工业</v>
      </c>
      <c r="J473" s="16">
        <f>VLOOKUP(I473,[2]行业排放因子!$A:$B,2,0)</f>
        <v>8.9338914683308701</v>
      </c>
      <c r="K473" s="9" t="s">
        <v>1489</v>
      </c>
    </row>
    <row r="474" spans="1:11" ht="12.5" customHeight="1" x14ac:dyDescent="0.25">
      <c r="A474" s="5" t="s">
        <v>1666</v>
      </c>
      <c r="B474" s="6" t="s">
        <v>1484</v>
      </c>
      <c r="C474" s="6" t="s">
        <v>1485</v>
      </c>
      <c r="D474" s="6" t="s">
        <v>1660</v>
      </c>
      <c r="E474" s="6" t="s">
        <v>1667</v>
      </c>
      <c r="F474" s="6" t="s">
        <v>1668</v>
      </c>
      <c r="G474" s="9" t="s">
        <v>1669</v>
      </c>
      <c r="H474" s="9" t="s">
        <v>18</v>
      </c>
      <c r="I474" s="16" t="str">
        <f>VLOOKUP(F474,[1]完整分类结果!$E:$G,3,0)</f>
        <v>食品加工业</v>
      </c>
      <c r="J474" s="16">
        <f>VLOOKUP(I474,[2]行业排放因子!$A:$B,2,0)</f>
        <v>8.9338914683308701</v>
      </c>
      <c r="K474" s="9" t="s">
        <v>1489</v>
      </c>
    </row>
    <row r="475" spans="1:11" ht="12.5" customHeight="1" x14ac:dyDescent="0.25">
      <c r="A475" s="5" t="s">
        <v>1670</v>
      </c>
      <c r="B475" s="6" t="s">
        <v>1484</v>
      </c>
      <c r="C475" s="6" t="s">
        <v>1485</v>
      </c>
      <c r="D475" s="6" t="s">
        <v>1660</v>
      </c>
      <c r="E475" s="6" t="s">
        <v>1671</v>
      </c>
      <c r="F475" s="6" t="s">
        <v>1672</v>
      </c>
      <c r="G475" s="9"/>
      <c r="H475" s="9" t="s">
        <v>18</v>
      </c>
      <c r="I475" s="16" t="str">
        <f>VLOOKUP(F475,[1]完整分类结果!$E:$G,3,0)</f>
        <v>食品加工业</v>
      </c>
      <c r="J475" s="16">
        <f>VLOOKUP(I475,[2]行业排放因子!$A:$B,2,0)</f>
        <v>8.9338914683308701</v>
      </c>
      <c r="K475" s="9" t="s">
        <v>1489</v>
      </c>
    </row>
    <row r="476" spans="1:11" ht="12.5" customHeight="1" x14ac:dyDescent="0.25">
      <c r="A476" s="5" t="s">
        <v>1673</v>
      </c>
      <c r="B476" s="6" t="s">
        <v>1484</v>
      </c>
      <c r="C476" s="6" t="s">
        <v>1485</v>
      </c>
      <c r="D476" s="6" t="s">
        <v>1660</v>
      </c>
      <c r="E476" s="6" t="s">
        <v>1674</v>
      </c>
      <c r="F476" s="6" t="s">
        <v>1675</v>
      </c>
      <c r="G476" s="9" t="s">
        <v>1676</v>
      </c>
      <c r="H476" s="9" t="s">
        <v>18</v>
      </c>
      <c r="I476" s="16" t="str">
        <f>VLOOKUP(F476,[1]完整分类结果!$E:$G,3,0)</f>
        <v>食品加工业</v>
      </c>
      <c r="J476" s="16">
        <f>VLOOKUP(I476,[2]行业排放因子!$A:$B,2,0)</f>
        <v>8.9338914683308701</v>
      </c>
      <c r="K476" s="9" t="s">
        <v>1489</v>
      </c>
    </row>
    <row r="477" spans="1:11" ht="12.5" customHeight="1" x14ac:dyDescent="0.25">
      <c r="A477" s="5" t="s">
        <v>1677</v>
      </c>
      <c r="B477" s="6" t="s">
        <v>1484</v>
      </c>
      <c r="C477" s="6" t="s">
        <v>1485</v>
      </c>
      <c r="D477" s="6" t="s">
        <v>1660</v>
      </c>
      <c r="E477" s="6" t="s">
        <v>1678</v>
      </c>
      <c r="F477" s="6" t="s">
        <v>1679</v>
      </c>
      <c r="G477" s="9" t="s">
        <v>1680</v>
      </c>
      <c r="H477" s="9" t="s">
        <v>18</v>
      </c>
      <c r="I477" s="16" t="str">
        <f>VLOOKUP(F477,[1]完整分类结果!$E:$G,3,0)</f>
        <v>食品加工业</v>
      </c>
      <c r="J477" s="16">
        <f>VLOOKUP(I477,[2]行业排放因子!$A:$B,2,0)</f>
        <v>8.9338914683308701</v>
      </c>
      <c r="K477" s="9" t="s">
        <v>1489</v>
      </c>
    </row>
    <row r="478" spans="1:11" ht="12.5" customHeight="1" x14ac:dyDescent="0.25">
      <c r="A478" s="5" t="s">
        <v>1681</v>
      </c>
      <c r="B478" s="6" t="s">
        <v>1484</v>
      </c>
      <c r="C478" s="6" t="s">
        <v>1485</v>
      </c>
      <c r="D478" s="6" t="s">
        <v>1660</v>
      </c>
      <c r="E478" s="6" t="s">
        <v>1682</v>
      </c>
      <c r="F478" s="6" t="s">
        <v>1683</v>
      </c>
      <c r="G478" s="9"/>
      <c r="H478" s="9" t="s">
        <v>18</v>
      </c>
      <c r="I478" s="16" t="str">
        <f>VLOOKUP(F478,[1]完整分类结果!$E:$G,3,0)</f>
        <v>食品加工业</v>
      </c>
      <c r="J478" s="16">
        <f>VLOOKUP(I478,[2]行业排放因子!$A:$B,2,0)</f>
        <v>8.9338914683308701</v>
      </c>
      <c r="K478" s="9" t="s">
        <v>1489</v>
      </c>
    </row>
    <row r="479" spans="1:11" ht="12.5" customHeight="1" x14ac:dyDescent="0.25">
      <c r="A479" s="5" t="s">
        <v>1684</v>
      </c>
      <c r="B479" s="6" t="s">
        <v>1484</v>
      </c>
      <c r="C479" s="6" t="s">
        <v>1485</v>
      </c>
      <c r="D479" s="6" t="s">
        <v>1660</v>
      </c>
      <c r="E479" s="6" t="s">
        <v>1685</v>
      </c>
      <c r="F479" s="6" t="s">
        <v>1686</v>
      </c>
      <c r="G479" s="9" t="s">
        <v>1687</v>
      </c>
      <c r="H479" s="9" t="s">
        <v>18</v>
      </c>
      <c r="I479" s="16" t="str">
        <f>VLOOKUP(F479,[1]完整分类结果!$E:$G,3,0)</f>
        <v>食品加工业</v>
      </c>
      <c r="J479" s="16">
        <f>VLOOKUP(I479,[2]行业排放因子!$A:$B,2,0)</f>
        <v>8.9338914683308701</v>
      </c>
      <c r="K479" s="9" t="s">
        <v>1489</v>
      </c>
    </row>
    <row r="480" spans="1:11" ht="12.5" customHeight="1" x14ac:dyDescent="0.25">
      <c r="A480" s="5" t="s">
        <v>1688</v>
      </c>
      <c r="B480" s="6" t="s">
        <v>1484</v>
      </c>
      <c r="C480" s="6" t="s">
        <v>1485</v>
      </c>
      <c r="D480" s="6" t="s">
        <v>1660</v>
      </c>
      <c r="E480" s="6" t="s">
        <v>1689</v>
      </c>
      <c r="F480" s="6" t="s">
        <v>1690</v>
      </c>
      <c r="G480" s="9"/>
      <c r="H480" s="9" t="s">
        <v>18</v>
      </c>
      <c r="I480" s="16" t="str">
        <f>VLOOKUP(F480,[1]完整分类结果!$E:$G,3,0)</f>
        <v>食品加工业</v>
      </c>
      <c r="J480" s="16">
        <f>VLOOKUP(I480,[2]行业排放因子!$A:$B,2,0)</f>
        <v>8.9338914683308701</v>
      </c>
      <c r="K480" s="9" t="s">
        <v>1489</v>
      </c>
    </row>
    <row r="481" spans="1:11" ht="12.5" customHeight="1" x14ac:dyDescent="0.25">
      <c r="A481" s="5" t="s">
        <v>1691</v>
      </c>
      <c r="B481" s="6" t="s">
        <v>1484</v>
      </c>
      <c r="C481" s="6" t="s">
        <v>1485</v>
      </c>
      <c r="D481" s="6" t="s">
        <v>1692</v>
      </c>
      <c r="E481" s="6" t="s">
        <v>1693</v>
      </c>
      <c r="F481" s="6" t="s">
        <v>1694</v>
      </c>
      <c r="G481" s="9" t="s">
        <v>1695</v>
      </c>
      <c r="H481" s="9" t="s">
        <v>18</v>
      </c>
      <c r="I481" s="16" t="str">
        <f>VLOOKUP(F481,[1]完整分类结果!$E:$G,3,0)</f>
        <v>食品加工业</v>
      </c>
      <c r="J481" s="16">
        <f>VLOOKUP(I481,[2]行业排放因子!$A:$B,2,0)</f>
        <v>8.9338914683308701</v>
      </c>
      <c r="K481" s="9" t="s">
        <v>1489</v>
      </c>
    </row>
    <row r="482" spans="1:11" ht="12.5" customHeight="1" x14ac:dyDescent="0.25">
      <c r="A482" s="5" t="s">
        <v>1696</v>
      </c>
      <c r="B482" s="6" t="s">
        <v>1484</v>
      </c>
      <c r="C482" s="6" t="s">
        <v>1485</v>
      </c>
      <c r="D482" s="6" t="s">
        <v>1692</v>
      </c>
      <c r="E482" s="6" t="s">
        <v>1697</v>
      </c>
      <c r="F482" s="6" t="s">
        <v>1698</v>
      </c>
      <c r="G482" s="9" t="s">
        <v>1699</v>
      </c>
      <c r="H482" s="9" t="s">
        <v>18</v>
      </c>
      <c r="I482" s="16" t="str">
        <f>VLOOKUP(F482,[1]完整分类结果!$E:$G,3,0)</f>
        <v>食品加工业</v>
      </c>
      <c r="J482" s="16">
        <f>VLOOKUP(I482,[2]行业排放因子!$A:$B,2,0)</f>
        <v>8.9338914683308701</v>
      </c>
      <c r="K482" s="9" t="s">
        <v>1489</v>
      </c>
    </row>
    <row r="483" spans="1:11" ht="12.5" customHeight="1" x14ac:dyDescent="0.25">
      <c r="A483" s="5" t="s">
        <v>1700</v>
      </c>
      <c r="B483" s="6" t="s">
        <v>1484</v>
      </c>
      <c r="C483" s="6" t="s">
        <v>1485</v>
      </c>
      <c r="D483" s="6" t="s">
        <v>1692</v>
      </c>
      <c r="E483" s="6" t="s">
        <v>1701</v>
      </c>
      <c r="F483" s="6" t="s">
        <v>1702</v>
      </c>
      <c r="G483" s="9" t="s">
        <v>1703</v>
      </c>
      <c r="H483" s="9" t="s">
        <v>18</v>
      </c>
      <c r="I483" s="16" t="str">
        <f>VLOOKUP(F483,[1]完整分类结果!$E:$G,3,0)</f>
        <v>食品加工业</v>
      </c>
      <c r="J483" s="16">
        <f>VLOOKUP(I483,[2]行业排放因子!$A:$B,2,0)</f>
        <v>8.9338914683308701</v>
      </c>
      <c r="K483" s="9" t="s">
        <v>1489</v>
      </c>
    </row>
    <row r="484" spans="1:11" ht="12.5" customHeight="1" x14ac:dyDescent="0.25">
      <c r="A484" s="5" t="s">
        <v>1704</v>
      </c>
      <c r="B484" s="6" t="s">
        <v>1484</v>
      </c>
      <c r="C484" s="6" t="s">
        <v>1485</v>
      </c>
      <c r="D484" s="6" t="s">
        <v>1692</v>
      </c>
      <c r="E484" s="6" t="s">
        <v>1705</v>
      </c>
      <c r="F484" s="6" t="s">
        <v>1706</v>
      </c>
      <c r="G484" s="9" t="s">
        <v>1707</v>
      </c>
      <c r="H484" s="9" t="s">
        <v>18</v>
      </c>
      <c r="I484" s="16" t="str">
        <f>VLOOKUP(F484,[1]完整分类结果!$E:$G,3,0)</f>
        <v>食品加工业</v>
      </c>
      <c r="J484" s="16">
        <f>VLOOKUP(I484,[2]行业排放因子!$A:$B,2,0)</f>
        <v>8.9338914683308701</v>
      </c>
      <c r="K484" s="9" t="s">
        <v>1489</v>
      </c>
    </row>
    <row r="485" spans="1:11" ht="12.5" customHeight="1" x14ac:dyDescent="0.25">
      <c r="A485" s="5" t="s">
        <v>1708</v>
      </c>
      <c r="B485" s="6" t="s">
        <v>1484</v>
      </c>
      <c r="C485" s="6" t="s">
        <v>1485</v>
      </c>
      <c r="D485" s="6" t="s">
        <v>1709</v>
      </c>
      <c r="E485" s="6" t="s">
        <v>1710</v>
      </c>
      <c r="F485" s="6" t="s">
        <v>1711</v>
      </c>
      <c r="G485" s="9" t="s">
        <v>1712</v>
      </c>
      <c r="H485" s="9" t="s">
        <v>18</v>
      </c>
      <c r="I485" s="16" t="str">
        <f>VLOOKUP(F485,[1]完整分类结果!$E:$G,3,0)</f>
        <v>食品加工业</v>
      </c>
      <c r="J485" s="16">
        <f>VLOOKUP(I485,[2]行业排放因子!$A:$B,2,0)</f>
        <v>8.9338914683308701</v>
      </c>
      <c r="K485" s="9" t="s">
        <v>1489</v>
      </c>
    </row>
    <row r="486" spans="1:11" ht="12.5" customHeight="1" x14ac:dyDescent="0.25">
      <c r="A486" s="5" t="s">
        <v>1713</v>
      </c>
      <c r="B486" s="6" t="s">
        <v>1484</v>
      </c>
      <c r="C486" s="6" t="s">
        <v>1485</v>
      </c>
      <c r="D486" s="6" t="s">
        <v>1709</v>
      </c>
      <c r="E486" s="6" t="s">
        <v>1714</v>
      </c>
      <c r="F486" s="6" t="s">
        <v>1715</v>
      </c>
      <c r="G486" s="9" t="s">
        <v>1716</v>
      </c>
      <c r="H486" s="9" t="s">
        <v>18</v>
      </c>
      <c r="I486" s="16" t="str">
        <f>VLOOKUP(F486,[1]完整分类结果!$E:$G,3,0)</f>
        <v>食品加工业</v>
      </c>
      <c r="J486" s="16">
        <f>VLOOKUP(I486,[2]行业排放因子!$A:$B,2,0)</f>
        <v>8.9338914683308701</v>
      </c>
      <c r="K486" s="9" t="s">
        <v>1489</v>
      </c>
    </row>
    <row r="487" spans="1:11" ht="12.5" customHeight="1" x14ac:dyDescent="0.25">
      <c r="A487" s="5" t="s">
        <v>1717</v>
      </c>
      <c r="B487" s="6" t="s">
        <v>1484</v>
      </c>
      <c r="C487" s="6" t="s">
        <v>1485</v>
      </c>
      <c r="D487" s="6" t="s">
        <v>1709</v>
      </c>
      <c r="E487" s="6" t="s">
        <v>1718</v>
      </c>
      <c r="F487" s="6" t="s">
        <v>1719</v>
      </c>
      <c r="G487" s="9" t="s">
        <v>1716</v>
      </c>
      <c r="H487" s="9" t="s">
        <v>18</v>
      </c>
      <c r="I487" s="16" t="str">
        <f>VLOOKUP(F487,[1]完整分类结果!$E:$G,3,0)</f>
        <v>食品加工业</v>
      </c>
      <c r="J487" s="16">
        <f>VLOOKUP(I487,[2]行业排放因子!$A:$B,2,0)</f>
        <v>8.9338914683308701</v>
      </c>
      <c r="K487" s="9" t="s">
        <v>1489</v>
      </c>
    </row>
    <row r="488" spans="1:11" ht="12.5" customHeight="1" x14ac:dyDescent="0.25">
      <c r="A488" s="5" t="s">
        <v>1720</v>
      </c>
      <c r="B488" s="6" t="s">
        <v>1484</v>
      </c>
      <c r="C488" s="6" t="s">
        <v>1485</v>
      </c>
      <c r="D488" s="6" t="s">
        <v>1709</v>
      </c>
      <c r="E488" s="6" t="s">
        <v>1721</v>
      </c>
      <c r="F488" s="6" t="s">
        <v>1722</v>
      </c>
      <c r="G488" s="9" t="s">
        <v>1716</v>
      </c>
      <c r="H488" s="9" t="s">
        <v>18</v>
      </c>
      <c r="I488" s="16" t="str">
        <f>VLOOKUP(F488,[1]完整分类结果!$E:$G,3,0)</f>
        <v>食品加工业</v>
      </c>
      <c r="J488" s="16">
        <f>VLOOKUP(I488,[2]行业排放因子!$A:$B,2,0)</f>
        <v>8.9338914683308701</v>
      </c>
      <c r="K488" s="9" t="s">
        <v>1489</v>
      </c>
    </row>
    <row r="489" spans="1:11" ht="12.5" customHeight="1" x14ac:dyDescent="0.25">
      <c r="A489" s="5" t="s">
        <v>1723</v>
      </c>
      <c r="B489" s="6" t="s">
        <v>1484</v>
      </c>
      <c r="C489" s="6" t="s">
        <v>1485</v>
      </c>
      <c r="D489" s="6" t="s">
        <v>1709</v>
      </c>
      <c r="E489" s="6" t="s">
        <v>1724</v>
      </c>
      <c r="F489" s="6" t="s">
        <v>1725</v>
      </c>
      <c r="G489" s="9" t="s">
        <v>1716</v>
      </c>
      <c r="H489" s="9" t="s">
        <v>18</v>
      </c>
      <c r="I489" s="16" t="str">
        <f>VLOOKUP(F489,[1]完整分类结果!$E:$G,3,0)</f>
        <v>食品加工业</v>
      </c>
      <c r="J489" s="16">
        <f>VLOOKUP(I489,[2]行业排放因子!$A:$B,2,0)</f>
        <v>8.9338914683308701</v>
      </c>
      <c r="K489" s="9" t="s">
        <v>1489</v>
      </c>
    </row>
    <row r="490" spans="1:11" ht="12.5" customHeight="1" x14ac:dyDescent="0.25">
      <c r="A490" s="5" t="s">
        <v>1726</v>
      </c>
      <c r="B490" s="6" t="s">
        <v>1484</v>
      </c>
      <c r="C490" s="6" t="s">
        <v>1485</v>
      </c>
      <c r="D490" s="6" t="s">
        <v>1709</v>
      </c>
      <c r="E490" s="6" t="s">
        <v>1727</v>
      </c>
      <c r="F490" s="6" t="s">
        <v>1728</v>
      </c>
      <c r="G490" s="9" t="s">
        <v>1729</v>
      </c>
      <c r="H490" s="9" t="s">
        <v>18</v>
      </c>
      <c r="I490" s="16" t="str">
        <f>VLOOKUP(F490,[1]完整分类结果!$E:$G,3,0)</f>
        <v>食品加工业</v>
      </c>
      <c r="J490" s="16">
        <f>VLOOKUP(I490,[2]行业排放因子!$A:$B,2,0)</f>
        <v>8.9338914683308701</v>
      </c>
      <c r="K490" s="9" t="s">
        <v>1489</v>
      </c>
    </row>
    <row r="491" spans="1:11" ht="12.5" customHeight="1" x14ac:dyDescent="0.25">
      <c r="A491" s="5" t="s">
        <v>1730</v>
      </c>
      <c r="B491" s="6" t="s">
        <v>1484</v>
      </c>
      <c r="C491" s="6" t="s">
        <v>1485</v>
      </c>
      <c r="D491" s="6" t="s">
        <v>1709</v>
      </c>
      <c r="E491" s="6" t="s">
        <v>1731</v>
      </c>
      <c r="F491" s="6" t="s">
        <v>1732</v>
      </c>
      <c r="G491" s="9" t="s">
        <v>1733</v>
      </c>
      <c r="H491" s="9" t="s">
        <v>18</v>
      </c>
      <c r="I491" s="16" t="str">
        <f>VLOOKUP(F491,[1]完整分类结果!$E:$G,3,0)</f>
        <v>食品加工业</v>
      </c>
      <c r="J491" s="16">
        <f>VLOOKUP(I491,[2]行业排放因子!$A:$B,2,0)</f>
        <v>8.9338914683308701</v>
      </c>
      <c r="K491" s="9" t="s">
        <v>1489</v>
      </c>
    </row>
    <row r="492" spans="1:11" ht="12.5" customHeight="1" x14ac:dyDescent="0.25">
      <c r="A492" s="5" t="s">
        <v>1734</v>
      </c>
      <c r="B492" s="6" t="s">
        <v>1484</v>
      </c>
      <c r="C492" s="6" t="s">
        <v>1485</v>
      </c>
      <c r="D492" s="6" t="s">
        <v>1709</v>
      </c>
      <c r="E492" s="6" t="s">
        <v>1735</v>
      </c>
      <c r="F492" s="6" t="s">
        <v>1736</v>
      </c>
      <c r="G492" s="9"/>
      <c r="H492" s="9" t="s">
        <v>18</v>
      </c>
      <c r="I492" s="16" t="str">
        <f>VLOOKUP(F492,[1]完整分类结果!$E:$G,3,0)</f>
        <v>食品加工业</v>
      </c>
      <c r="J492" s="16">
        <f>VLOOKUP(I492,[2]行业排放因子!$A:$B,2,0)</f>
        <v>8.9338914683308701</v>
      </c>
      <c r="K492" s="9" t="s">
        <v>1489</v>
      </c>
    </row>
    <row r="493" spans="1:11" ht="12.5" customHeight="1" x14ac:dyDescent="0.25">
      <c r="A493" s="5" t="s">
        <v>1737</v>
      </c>
      <c r="B493" s="6" t="s">
        <v>1484</v>
      </c>
      <c r="C493" s="6" t="s">
        <v>1485</v>
      </c>
      <c r="D493" s="6" t="s">
        <v>1709</v>
      </c>
      <c r="E493" s="6" t="s">
        <v>1738</v>
      </c>
      <c r="F493" s="6" t="s">
        <v>1739</v>
      </c>
      <c r="G493" s="9" t="s">
        <v>1740</v>
      </c>
      <c r="H493" s="9" t="s">
        <v>18</v>
      </c>
      <c r="I493" s="16" t="str">
        <f>VLOOKUP(F493,[1]完整分类结果!$E:$G,3,0)</f>
        <v>食品加工业</v>
      </c>
      <c r="J493" s="16">
        <f>VLOOKUP(I493,[2]行业排放因子!$A:$B,2,0)</f>
        <v>8.9338914683308701</v>
      </c>
      <c r="K493" s="9" t="s">
        <v>1489</v>
      </c>
    </row>
    <row r="494" spans="1:11" ht="12.5" customHeight="1" x14ac:dyDescent="0.25">
      <c r="A494" s="5" t="s">
        <v>1741</v>
      </c>
      <c r="B494" s="6" t="s">
        <v>1484</v>
      </c>
      <c r="C494" s="6" t="s">
        <v>1485</v>
      </c>
      <c r="D494" s="6" t="s">
        <v>1709</v>
      </c>
      <c r="E494" s="6" t="s">
        <v>1742</v>
      </c>
      <c r="F494" s="6" t="s">
        <v>1743</v>
      </c>
      <c r="G494" s="9" t="s">
        <v>1744</v>
      </c>
      <c r="H494" s="9" t="s">
        <v>18</v>
      </c>
      <c r="I494" s="16" t="str">
        <f>VLOOKUP(F494,[1]完整分类结果!$E:$G,3,0)</f>
        <v>食品加工业</v>
      </c>
      <c r="J494" s="16">
        <f>VLOOKUP(I494,[2]行业排放因子!$A:$B,2,0)</f>
        <v>8.9338914683308701</v>
      </c>
      <c r="K494" s="9" t="s">
        <v>1489</v>
      </c>
    </row>
    <row r="495" spans="1:11" ht="12.5" customHeight="1" x14ac:dyDescent="0.25">
      <c r="A495" s="5" t="s">
        <v>1745</v>
      </c>
      <c r="B495" s="6" t="s">
        <v>1484</v>
      </c>
      <c r="C495" s="6" t="s">
        <v>1485</v>
      </c>
      <c r="D495" s="6" t="s">
        <v>1746</v>
      </c>
      <c r="E495" s="6" t="s">
        <v>1747</v>
      </c>
      <c r="F495" s="6" t="s">
        <v>1748</v>
      </c>
      <c r="G495" s="9"/>
      <c r="H495" s="9" t="s">
        <v>18</v>
      </c>
      <c r="I495" s="16" t="str">
        <f>VLOOKUP(F495,[1]完整分类结果!$E:$G,3,0)</f>
        <v>食品加工业</v>
      </c>
      <c r="J495" s="16">
        <f>VLOOKUP(I495,[2]行业排放因子!$A:$B,2,0)</f>
        <v>8.9338914683308701</v>
      </c>
      <c r="K495" s="9" t="s">
        <v>1489</v>
      </c>
    </row>
    <row r="496" spans="1:11" ht="12.5" customHeight="1" x14ac:dyDescent="0.25">
      <c r="A496" s="5" t="s">
        <v>1749</v>
      </c>
      <c r="B496" s="6" t="s">
        <v>1484</v>
      </c>
      <c r="C496" s="6" t="s">
        <v>1485</v>
      </c>
      <c r="D496" s="6" t="s">
        <v>1746</v>
      </c>
      <c r="E496" s="6" t="s">
        <v>1750</v>
      </c>
      <c r="F496" s="6" t="s">
        <v>1751</v>
      </c>
      <c r="G496" s="9"/>
      <c r="H496" s="9" t="s">
        <v>18</v>
      </c>
      <c r="I496" s="16" t="str">
        <f>VLOOKUP(F496,[1]完整分类结果!$E:$G,3,0)</f>
        <v>食品加工业</v>
      </c>
      <c r="J496" s="16">
        <f>VLOOKUP(I496,[2]行业排放因子!$A:$B,2,0)</f>
        <v>8.9338914683308701</v>
      </c>
      <c r="K496" s="9" t="s">
        <v>1489</v>
      </c>
    </row>
    <row r="497" spans="1:11" ht="12.5" customHeight="1" x14ac:dyDescent="0.25">
      <c r="A497" s="5" t="s">
        <v>1752</v>
      </c>
      <c r="B497" s="6" t="s">
        <v>1484</v>
      </c>
      <c r="C497" s="6" t="s">
        <v>1485</v>
      </c>
      <c r="D497" s="6" t="s">
        <v>1746</v>
      </c>
      <c r="E497" s="6" t="s">
        <v>1753</v>
      </c>
      <c r="F497" s="6" t="s">
        <v>1754</v>
      </c>
      <c r="G497" s="9"/>
      <c r="H497" s="9" t="s">
        <v>18</v>
      </c>
      <c r="I497" s="16" t="str">
        <f>VLOOKUP(F497,[1]完整分类结果!$E:$G,3,0)</f>
        <v>食品加工业</v>
      </c>
      <c r="J497" s="16">
        <f>VLOOKUP(I497,[2]行业排放因子!$A:$B,2,0)</f>
        <v>8.9338914683308701</v>
      </c>
      <c r="K497" s="9" t="s">
        <v>1489</v>
      </c>
    </row>
    <row r="498" spans="1:11" ht="12.5" customHeight="1" x14ac:dyDescent="0.25">
      <c r="A498" s="5" t="s">
        <v>1755</v>
      </c>
      <c r="B498" s="6" t="s">
        <v>1484</v>
      </c>
      <c r="C498" s="6" t="s">
        <v>1485</v>
      </c>
      <c r="D498" s="6" t="s">
        <v>1746</v>
      </c>
      <c r="E498" s="6" t="s">
        <v>1756</v>
      </c>
      <c r="F498" s="6" t="s">
        <v>1757</v>
      </c>
      <c r="G498" s="9"/>
      <c r="H498" s="9" t="s">
        <v>18</v>
      </c>
      <c r="I498" s="16" t="str">
        <f>VLOOKUP(F498,[1]完整分类结果!$E:$G,3,0)</f>
        <v>食品加工业</v>
      </c>
      <c r="J498" s="16">
        <f>VLOOKUP(I498,[2]行业排放因子!$A:$B,2,0)</f>
        <v>8.9338914683308701</v>
      </c>
      <c r="K498" s="9" t="s">
        <v>1489</v>
      </c>
    </row>
    <row r="499" spans="1:11" ht="12.5" customHeight="1" x14ac:dyDescent="0.25">
      <c r="A499" s="5" t="s">
        <v>1758</v>
      </c>
      <c r="B499" s="6" t="s">
        <v>1484</v>
      </c>
      <c r="C499" s="6" t="s">
        <v>1485</v>
      </c>
      <c r="D499" s="6" t="s">
        <v>1746</v>
      </c>
      <c r="E499" s="6" t="s">
        <v>1759</v>
      </c>
      <c r="F499" s="6" t="s">
        <v>1760</v>
      </c>
      <c r="G499" s="9" t="s">
        <v>1761</v>
      </c>
      <c r="H499" s="9" t="s">
        <v>18</v>
      </c>
      <c r="I499" s="16" t="str">
        <f>VLOOKUP(F499,[1]完整分类结果!$E:$G,3,0)</f>
        <v>食品加工业</v>
      </c>
      <c r="J499" s="16">
        <f>VLOOKUP(I499,[2]行业排放因子!$A:$B,2,0)</f>
        <v>8.9338914683308701</v>
      </c>
      <c r="K499" s="9" t="s">
        <v>1489</v>
      </c>
    </row>
    <row r="500" spans="1:11" ht="12.5" customHeight="1" x14ac:dyDescent="0.25">
      <c r="A500" s="5" t="s">
        <v>1762</v>
      </c>
      <c r="B500" s="6" t="s">
        <v>1484</v>
      </c>
      <c r="C500" s="6" t="s">
        <v>1485</v>
      </c>
      <c r="D500" s="6" t="s">
        <v>1746</v>
      </c>
      <c r="E500" s="6" t="s">
        <v>1763</v>
      </c>
      <c r="F500" s="6" t="s">
        <v>1746</v>
      </c>
      <c r="G500" s="9" t="s">
        <v>1764</v>
      </c>
      <c r="H500" s="9" t="s">
        <v>18</v>
      </c>
      <c r="I500" s="16" t="str">
        <f>VLOOKUP(F500,[1]完整分类结果!$E:$G,3,0)</f>
        <v>食品加工业</v>
      </c>
      <c r="J500" s="16">
        <f>VLOOKUP(I500,[2]行业排放因子!$A:$B,2,0)</f>
        <v>8.9338914683308701</v>
      </c>
      <c r="K500" s="9" t="s">
        <v>1489</v>
      </c>
    </row>
    <row r="501" spans="1:11" ht="12.5" customHeight="1" x14ac:dyDescent="0.25">
      <c r="A501" s="5" t="s">
        <v>1765</v>
      </c>
      <c r="B501" s="6" t="s">
        <v>1484</v>
      </c>
      <c r="C501" s="6" t="s">
        <v>1485</v>
      </c>
      <c r="D501" s="6" t="s">
        <v>1746</v>
      </c>
      <c r="E501" s="6" t="s">
        <v>1766</v>
      </c>
      <c r="F501" s="6" t="s">
        <v>1767</v>
      </c>
      <c r="G501" s="9" t="s">
        <v>1768</v>
      </c>
      <c r="H501" s="9" t="s">
        <v>18</v>
      </c>
      <c r="I501" s="16" t="str">
        <f>VLOOKUP(F501,[1]完整分类结果!$E:$G,3,0)</f>
        <v>食品加工业</v>
      </c>
      <c r="J501" s="16">
        <f>VLOOKUP(I501,[2]行业排放因子!$A:$B,2,0)</f>
        <v>8.9338914683308701</v>
      </c>
      <c r="K501" s="9" t="s">
        <v>1489</v>
      </c>
    </row>
    <row r="502" spans="1:11" ht="12.5" customHeight="1" x14ac:dyDescent="0.25">
      <c r="A502" s="5" t="s">
        <v>1769</v>
      </c>
      <c r="B502" s="6" t="s">
        <v>1484</v>
      </c>
      <c r="C502" s="6" t="s">
        <v>1485</v>
      </c>
      <c r="D502" s="6" t="s">
        <v>1746</v>
      </c>
      <c r="E502" s="6" t="s">
        <v>1770</v>
      </c>
      <c r="F502" s="6" t="s">
        <v>1771</v>
      </c>
      <c r="G502" s="9" t="s">
        <v>1772</v>
      </c>
      <c r="H502" s="9" t="s">
        <v>18</v>
      </c>
      <c r="I502" s="16" t="str">
        <f>VLOOKUP(F502,[1]完整分类结果!$E:$G,3,0)</f>
        <v>食品加工业</v>
      </c>
      <c r="J502" s="16">
        <f>VLOOKUP(I502,[2]行业排放因子!$A:$B,2,0)</f>
        <v>8.9338914683308701</v>
      </c>
      <c r="K502" s="9" t="s">
        <v>1489</v>
      </c>
    </row>
    <row r="503" spans="1:11" ht="12.5" customHeight="1" x14ac:dyDescent="0.25">
      <c r="A503" s="5" t="s">
        <v>1773</v>
      </c>
      <c r="B503" s="6" t="s">
        <v>1484</v>
      </c>
      <c r="C503" s="6" t="s">
        <v>1485</v>
      </c>
      <c r="D503" s="6" t="s">
        <v>1746</v>
      </c>
      <c r="E503" s="6" t="s">
        <v>1774</v>
      </c>
      <c r="F503" s="6" t="s">
        <v>1775</v>
      </c>
      <c r="G503" s="9" t="s">
        <v>1776</v>
      </c>
      <c r="H503" s="9" t="s">
        <v>18</v>
      </c>
      <c r="I503" s="16" t="str">
        <f>VLOOKUP(F503,[1]完整分类结果!$E:$G,3,0)</f>
        <v>食品加工业</v>
      </c>
      <c r="J503" s="16">
        <f>VLOOKUP(I503,[2]行业排放因子!$A:$B,2,0)</f>
        <v>8.9338914683308701</v>
      </c>
      <c r="K503" s="9" t="s">
        <v>1489</v>
      </c>
    </row>
    <row r="504" spans="1:11" ht="12.5" customHeight="1" x14ac:dyDescent="0.25">
      <c r="A504" s="5" t="s">
        <v>1777</v>
      </c>
      <c r="B504" s="6" t="s">
        <v>1484</v>
      </c>
      <c r="C504" s="6" t="s">
        <v>1485</v>
      </c>
      <c r="D504" s="6" t="s">
        <v>1746</v>
      </c>
      <c r="E504" s="6" t="s">
        <v>1778</v>
      </c>
      <c r="F504" s="6" t="s">
        <v>1779</v>
      </c>
      <c r="G504" s="9"/>
      <c r="H504" s="9" t="s">
        <v>18</v>
      </c>
      <c r="I504" s="16" t="str">
        <f>VLOOKUP(F504,[1]完整分类结果!$E:$G,3,0)</f>
        <v>食品加工业</v>
      </c>
      <c r="J504" s="16">
        <f>VLOOKUP(I504,[2]行业排放因子!$A:$B,2,0)</f>
        <v>8.9338914683308701</v>
      </c>
      <c r="K504" s="9" t="s">
        <v>1489</v>
      </c>
    </row>
    <row r="505" spans="1:11" ht="12.5" customHeight="1" x14ac:dyDescent="0.25">
      <c r="A505" s="5" t="s">
        <v>1780</v>
      </c>
      <c r="B505" s="6" t="s">
        <v>1484</v>
      </c>
      <c r="C505" s="6" t="s">
        <v>1485</v>
      </c>
      <c r="D505" s="6" t="s">
        <v>1781</v>
      </c>
      <c r="E505" s="6" t="s">
        <v>1782</v>
      </c>
      <c r="F505" s="6" t="s">
        <v>1783</v>
      </c>
      <c r="G505" s="9"/>
      <c r="H505" s="9" t="s">
        <v>18</v>
      </c>
      <c r="I505" s="16" t="str">
        <f>VLOOKUP(F505,[1]完整分类结果!$E:$G,3,0)</f>
        <v>食品加工业</v>
      </c>
      <c r="J505" s="16">
        <f>VLOOKUP(I505,[2]行业排放因子!$A:$B,2,0)</f>
        <v>8.9338914683308701</v>
      </c>
      <c r="K505" s="9" t="s">
        <v>1489</v>
      </c>
    </row>
    <row r="506" spans="1:11" ht="12.5" customHeight="1" x14ac:dyDescent="0.25">
      <c r="A506" s="5" t="s">
        <v>1784</v>
      </c>
      <c r="B506" s="6" t="s">
        <v>1484</v>
      </c>
      <c r="C506" s="6" t="s">
        <v>1485</v>
      </c>
      <c r="D506" s="6" t="s">
        <v>1781</v>
      </c>
      <c r="E506" s="6" t="s">
        <v>1785</v>
      </c>
      <c r="F506" s="6" t="s">
        <v>1781</v>
      </c>
      <c r="G506" s="9"/>
      <c r="H506" s="9" t="s">
        <v>18</v>
      </c>
      <c r="I506" s="16" t="str">
        <f>VLOOKUP(F506,[1]完整分类结果!$E:$G,3,0)</f>
        <v>食品加工业</v>
      </c>
      <c r="J506" s="16">
        <f>VLOOKUP(I506,[2]行业排放因子!$A:$B,2,0)</f>
        <v>8.9338914683308701</v>
      </c>
      <c r="K506" s="9" t="s">
        <v>1489</v>
      </c>
    </row>
    <row r="507" spans="1:11" ht="12.5" customHeight="1" x14ac:dyDescent="0.25">
      <c r="A507" s="5" t="s">
        <v>1786</v>
      </c>
      <c r="B507" s="6" t="s">
        <v>1484</v>
      </c>
      <c r="C507" s="6" t="s">
        <v>1485</v>
      </c>
      <c r="D507" s="6" t="s">
        <v>1781</v>
      </c>
      <c r="E507" s="6" t="s">
        <v>1787</v>
      </c>
      <c r="F507" s="6" t="s">
        <v>1788</v>
      </c>
      <c r="G507" s="9"/>
      <c r="H507" s="9" t="s">
        <v>18</v>
      </c>
      <c r="I507" s="16" t="str">
        <f>VLOOKUP(F507,[1]完整分类结果!$E:$G,3,0)</f>
        <v>食品加工业</v>
      </c>
      <c r="J507" s="16">
        <f>VLOOKUP(I507,[2]行业排放因子!$A:$B,2,0)</f>
        <v>8.9338914683308701</v>
      </c>
      <c r="K507" s="9" t="s">
        <v>1489</v>
      </c>
    </row>
    <row r="508" spans="1:11" ht="12.5" customHeight="1" x14ac:dyDescent="0.25">
      <c r="A508" s="5" t="s">
        <v>1789</v>
      </c>
      <c r="B508" s="6" t="s">
        <v>1484</v>
      </c>
      <c r="C508" s="6" t="s">
        <v>1485</v>
      </c>
      <c r="D508" s="6" t="s">
        <v>1790</v>
      </c>
      <c r="E508" s="6" t="s">
        <v>1791</v>
      </c>
      <c r="F508" s="6" t="s">
        <v>1792</v>
      </c>
      <c r="G508" s="9"/>
      <c r="H508" s="9" t="s">
        <v>18</v>
      </c>
      <c r="I508" s="16" t="str">
        <f>VLOOKUP(F508,[1]完整分类结果!$E:$G,3,0)</f>
        <v>食品加工业</v>
      </c>
      <c r="J508" s="16">
        <f>VLOOKUP(I508,[2]行业排放因子!$A:$B,2,0)</f>
        <v>8.9338914683308701</v>
      </c>
      <c r="K508" s="9" t="s">
        <v>1489</v>
      </c>
    </row>
    <row r="509" spans="1:11" ht="12.5" customHeight="1" x14ac:dyDescent="0.25">
      <c r="A509" s="5" t="s">
        <v>1793</v>
      </c>
      <c r="B509" s="6" t="s">
        <v>1484</v>
      </c>
      <c r="C509" s="6" t="s">
        <v>1485</v>
      </c>
      <c r="D509" s="6" t="s">
        <v>1790</v>
      </c>
      <c r="E509" s="6" t="s">
        <v>1794</v>
      </c>
      <c r="F509" s="6" t="s">
        <v>1795</v>
      </c>
      <c r="G509" s="9"/>
      <c r="H509" s="9" t="s">
        <v>18</v>
      </c>
      <c r="I509" s="16" t="str">
        <f>VLOOKUP(F509,[1]完整分类结果!$E:$G,3,0)</f>
        <v>食品加工业</v>
      </c>
      <c r="J509" s="16">
        <f>VLOOKUP(I509,[2]行业排放因子!$A:$B,2,0)</f>
        <v>8.9338914683308701</v>
      </c>
      <c r="K509" s="9" t="s">
        <v>1489</v>
      </c>
    </row>
    <row r="510" spans="1:11" ht="12.5" customHeight="1" x14ac:dyDescent="0.25">
      <c r="A510" s="5" t="s">
        <v>1796</v>
      </c>
      <c r="B510" s="6" t="s">
        <v>1484</v>
      </c>
      <c r="C510" s="6" t="s">
        <v>1485</v>
      </c>
      <c r="D510" s="6" t="s">
        <v>1790</v>
      </c>
      <c r="E510" s="6" t="s">
        <v>1797</v>
      </c>
      <c r="F510" s="6" t="s">
        <v>1798</v>
      </c>
      <c r="G510" s="9" t="s">
        <v>1799</v>
      </c>
      <c r="H510" s="9" t="s">
        <v>18</v>
      </c>
      <c r="I510" s="16" t="str">
        <f>VLOOKUP(F510,[1]完整分类结果!$E:$G,3,0)</f>
        <v>食品加工业</v>
      </c>
      <c r="J510" s="16">
        <f>VLOOKUP(I510,[2]行业排放因子!$A:$B,2,0)</f>
        <v>8.9338914683308701</v>
      </c>
      <c r="K510" s="9" t="s">
        <v>1489</v>
      </c>
    </row>
    <row r="511" spans="1:11" ht="12.5" customHeight="1" x14ac:dyDescent="0.25">
      <c r="A511" s="5" t="s">
        <v>1800</v>
      </c>
      <c r="B511" s="6" t="s">
        <v>1484</v>
      </c>
      <c r="C511" s="6" t="s">
        <v>1485</v>
      </c>
      <c r="D511" s="6" t="s">
        <v>1790</v>
      </c>
      <c r="E511" s="6" t="s">
        <v>1801</v>
      </c>
      <c r="F511" s="6" t="s">
        <v>1802</v>
      </c>
      <c r="G511" s="9" t="s">
        <v>1803</v>
      </c>
      <c r="H511" s="9" t="s">
        <v>18</v>
      </c>
      <c r="I511" s="16" t="str">
        <f>VLOOKUP(F511,[1]完整分类结果!$E:$G,3,0)</f>
        <v>食品加工业</v>
      </c>
      <c r="J511" s="16">
        <f>VLOOKUP(I511,[2]行业排放因子!$A:$B,2,0)</f>
        <v>8.9338914683308701</v>
      </c>
      <c r="K511" s="9" t="s">
        <v>1489</v>
      </c>
    </row>
    <row r="512" spans="1:11" ht="12.5" customHeight="1" x14ac:dyDescent="0.25">
      <c r="A512" s="5" t="s">
        <v>1804</v>
      </c>
      <c r="B512" s="6" t="s">
        <v>1484</v>
      </c>
      <c r="C512" s="6" t="s">
        <v>1485</v>
      </c>
      <c r="D512" s="6" t="s">
        <v>1790</v>
      </c>
      <c r="E512" s="6" t="s">
        <v>1805</v>
      </c>
      <c r="F512" s="6" t="s">
        <v>1806</v>
      </c>
      <c r="G512" s="9"/>
      <c r="H512" s="9" t="s">
        <v>18</v>
      </c>
      <c r="I512" s="16" t="str">
        <f>VLOOKUP(F512,[1]完整分类结果!$E:$G,3,0)</f>
        <v>食品加工业</v>
      </c>
      <c r="J512" s="16">
        <f>VLOOKUP(I512,[2]行业排放因子!$A:$B,2,0)</f>
        <v>8.9338914683308701</v>
      </c>
      <c r="K512" s="9" t="s">
        <v>1489</v>
      </c>
    </row>
    <row r="513" spans="1:11" ht="12.5" customHeight="1" x14ac:dyDescent="0.25">
      <c r="A513" s="5" t="s">
        <v>1807</v>
      </c>
      <c r="B513" s="6" t="s">
        <v>1484</v>
      </c>
      <c r="C513" s="6" t="s">
        <v>1485</v>
      </c>
      <c r="D513" s="6" t="s">
        <v>1790</v>
      </c>
      <c r="E513" s="6" t="s">
        <v>1808</v>
      </c>
      <c r="F513" s="6" t="s">
        <v>1809</v>
      </c>
      <c r="G513" s="9"/>
      <c r="H513" s="9" t="s">
        <v>18</v>
      </c>
      <c r="I513" s="16" t="str">
        <f>VLOOKUP(F513,[1]完整分类结果!$E:$G,3,0)</f>
        <v>食品加工业</v>
      </c>
      <c r="J513" s="16">
        <f>VLOOKUP(I513,[2]行业排放因子!$A:$B,2,0)</f>
        <v>8.9338914683308701</v>
      </c>
      <c r="K513" s="9" t="s">
        <v>1489</v>
      </c>
    </row>
    <row r="514" spans="1:11" ht="12.5" customHeight="1" x14ac:dyDescent="0.25">
      <c r="A514" s="5" t="s">
        <v>1810</v>
      </c>
      <c r="B514" s="6" t="s">
        <v>1484</v>
      </c>
      <c r="C514" s="6" t="s">
        <v>1485</v>
      </c>
      <c r="D514" s="6" t="s">
        <v>1811</v>
      </c>
      <c r="E514" s="6" t="s">
        <v>1812</v>
      </c>
      <c r="F514" s="6" t="s">
        <v>1813</v>
      </c>
      <c r="G514" s="9" t="s">
        <v>1814</v>
      </c>
      <c r="H514" s="9" t="s">
        <v>18</v>
      </c>
      <c r="I514" s="16" t="str">
        <f>VLOOKUP(F514,[1]完整分类结果!$E:$G,3,0)</f>
        <v>食品加工业</v>
      </c>
      <c r="J514" s="16">
        <f>VLOOKUP(I514,[2]行业排放因子!$A:$B,2,0)</f>
        <v>8.9338914683308701</v>
      </c>
      <c r="K514" s="9" t="s">
        <v>1489</v>
      </c>
    </row>
    <row r="515" spans="1:11" ht="12.5" customHeight="1" x14ac:dyDescent="0.25">
      <c r="A515" s="5" t="s">
        <v>1815</v>
      </c>
      <c r="B515" s="6" t="s">
        <v>1484</v>
      </c>
      <c r="C515" s="6" t="s">
        <v>1816</v>
      </c>
      <c r="D515" s="6" t="s">
        <v>1817</v>
      </c>
      <c r="E515" s="6" t="s">
        <v>1818</v>
      </c>
      <c r="F515" s="6" t="s">
        <v>1819</v>
      </c>
      <c r="G515" s="9"/>
      <c r="H515" s="9" t="s">
        <v>18</v>
      </c>
      <c r="I515" s="16" t="str">
        <f>VLOOKUP(F515,[1]完整分类结果!$E:$G,3,0)</f>
        <v>食品加工业</v>
      </c>
      <c r="J515" s="16">
        <f>VLOOKUP(I515,[2]行业排放因子!$A:$B,2,0)</f>
        <v>8.9338914683308701</v>
      </c>
      <c r="K515" s="9" t="s">
        <v>1489</v>
      </c>
    </row>
    <row r="516" spans="1:11" ht="12.5" customHeight="1" x14ac:dyDescent="0.25">
      <c r="A516" s="5" t="s">
        <v>1820</v>
      </c>
      <c r="B516" s="6" t="s">
        <v>1484</v>
      </c>
      <c r="C516" s="6" t="s">
        <v>1816</v>
      </c>
      <c r="D516" s="6" t="s">
        <v>1817</v>
      </c>
      <c r="E516" s="6" t="s">
        <v>1821</v>
      </c>
      <c r="F516" s="6" t="s">
        <v>1822</v>
      </c>
      <c r="G516" s="9"/>
      <c r="H516" s="9" t="s">
        <v>18</v>
      </c>
      <c r="I516" s="16" t="str">
        <f>VLOOKUP(F516,[1]完整分类结果!$E:$G,3,0)</f>
        <v>食品加工业</v>
      </c>
      <c r="J516" s="16">
        <f>VLOOKUP(I516,[2]行业排放因子!$A:$B,2,0)</f>
        <v>8.9338914683308701</v>
      </c>
      <c r="K516" s="9" t="s">
        <v>1489</v>
      </c>
    </row>
    <row r="517" spans="1:11" ht="12.5" customHeight="1" x14ac:dyDescent="0.25">
      <c r="A517" s="5" t="s">
        <v>1823</v>
      </c>
      <c r="B517" s="6" t="s">
        <v>1484</v>
      </c>
      <c r="C517" s="6" t="s">
        <v>1816</v>
      </c>
      <c r="D517" s="6" t="s">
        <v>1817</v>
      </c>
      <c r="E517" s="6" t="s">
        <v>1824</v>
      </c>
      <c r="F517" s="6" t="s">
        <v>1825</v>
      </c>
      <c r="G517" s="9"/>
      <c r="H517" s="9" t="s">
        <v>18</v>
      </c>
      <c r="I517" s="16" t="str">
        <f>VLOOKUP(F517,[1]完整分类结果!$E:$G,3,0)</f>
        <v>食品加工业</v>
      </c>
      <c r="J517" s="16">
        <f>VLOOKUP(I517,[2]行业排放因子!$A:$B,2,0)</f>
        <v>8.9338914683308701</v>
      </c>
      <c r="K517" s="9" t="s">
        <v>1489</v>
      </c>
    </row>
    <row r="518" spans="1:11" ht="12.5" customHeight="1" x14ac:dyDescent="0.25">
      <c r="A518" s="5" t="s">
        <v>1826</v>
      </c>
      <c r="B518" s="6" t="s">
        <v>1484</v>
      </c>
      <c r="C518" s="6" t="s">
        <v>1816</v>
      </c>
      <c r="D518" s="6" t="s">
        <v>1817</v>
      </c>
      <c r="E518" s="6" t="s">
        <v>1827</v>
      </c>
      <c r="F518" s="6" t="s">
        <v>1828</v>
      </c>
      <c r="G518" s="9" t="s">
        <v>1829</v>
      </c>
      <c r="H518" s="9" t="s">
        <v>18</v>
      </c>
      <c r="I518" s="16" t="str">
        <f>VLOOKUP(F518,[1]完整分类结果!$E:$G,3,0)</f>
        <v>食品加工业</v>
      </c>
      <c r="J518" s="16">
        <f>VLOOKUP(I518,[2]行业排放因子!$A:$B,2,0)</f>
        <v>8.9338914683308701</v>
      </c>
      <c r="K518" s="9" t="s">
        <v>1489</v>
      </c>
    </row>
    <row r="519" spans="1:11" ht="12.5" customHeight="1" x14ac:dyDescent="0.25">
      <c r="A519" s="5" t="s">
        <v>1830</v>
      </c>
      <c r="B519" s="6" t="s">
        <v>1484</v>
      </c>
      <c r="C519" s="6" t="s">
        <v>1816</v>
      </c>
      <c r="D519" s="6" t="s">
        <v>1817</v>
      </c>
      <c r="E519" s="6" t="s">
        <v>1831</v>
      </c>
      <c r="F519" s="6" t="s">
        <v>1832</v>
      </c>
      <c r="G519" s="9" t="s">
        <v>1833</v>
      </c>
      <c r="H519" s="9" t="s">
        <v>18</v>
      </c>
      <c r="I519" s="16" t="str">
        <f>VLOOKUP(F519,[1]完整分类结果!$E:$G,3,0)</f>
        <v>食品加工业</v>
      </c>
      <c r="J519" s="16">
        <f>VLOOKUP(I519,[2]行业排放因子!$A:$B,2,0)</f>
        <v>8.9338914683308701</v>
      </c>
      <c r="K519" s="9" t="s">
        <v>1489</v>
      </c>
    </row>
    <row r="520" spans="1:11" ht="12.5" customHeight="1" x14ac:dyDescent="0.25">
      <c r="A520" s="5" t="s">
        <v>1834</v>
      </c>
      <c r="B520" s="6" t="s">
        <v>1484</v>
      </c>
      <c r="C520" s="6" t="s">
        <v>1816</v>
      </c>
      <c r="D520" s="6" t="s">
        <v>1817</v>
      </c>
      <c r="E520" s="6" t="s">
        <v>1835</v>
      </c>
      <c r="F520" s="6" t="s">
        <v>1836</v>
      </c>
      <c r="G520" s="9"/>
      <c r="H520" s="9" t="s">
        <v>18</v>
      </c>
      <c r="I520" s="16" t="str">
        <f>VLOOKUP(F520,[1]完整分类结果!$E:$G,3,0)</f>
        <v>食品加工业</v>
      </c>
      <c r="J520" s="16">
        <f>VLOOKUP(I520,[2]行业排放因子!$A:$B,2,0)</f>
        <v>8.9338914683308701</v>
      </c>
      <c r="K520" s="9" t="s">
        <v>1489</v>
      </c>
    </row>
    <row r="521" spans="1:11" ht="12.5" customHeight="1" x14ac:dyDescent="0.25">
      <c r="A521" s="5" t="s">
        <v>1837</v>
      </c>
      <c r="B521" s="6" t="s">
        <v>1484</v>
      </c>
      <c r="C521" s="6" t="s">
        <v>1816</v>
      </c>
      <c r="D521" s="6" t="s">
        <v>1838</v>
      </c>
      <c r="E521" s="6" t="s">
        <v>1839</v>
      </c>
      <c r="F521" s="6" t="s">
        <v>1840</v>
      </c>
      <c r="G521" s="9" t="s">
        <v>1841</v>
      </c>
      <c r="H521" s="9" t="s">
        <v>18</v>
      </c>
      <c r="I521" s="16" t="str">
        <f>VLOOKUP(F521,[1]完整分类结果!$E:$G,3,0)</f>
        <v>食品制造业</v>
      </c>
      <c r="J521" s="16">
        <f>VLOOKUP(I521,[2]行业排放因子!$A:$B,2,0)</f>
        <v>14.6354532672489</v>
      </c>
      <c r="K521" s="9" t="s">
        <v>1489</v>
      </c>
    </row>
    <row r="522" spans="1:11" ht="12.5" customHeight="1" x14ac:dyDescent="0.25">
      <c r="A522" s="5" t="s">
        <v>1842</v>
      </c>
      <c r="B522" s="6" t="s">
        <v>1484</v>
      </c>
      <c r="C522" s="6" t="s">
        <v>1816</v>
      </c>
      <c r="D522" s="6" t="s">
        <v>1838</v>
      </c>
      <c r="E522" s="6" t="s">
        <v>1843</v>
      </c>
      <c r="F522" s="6" t="s">
        <v>1844</v>
      </c>
      <c r="G522" s="9" t="s">
        <v>1845</v>
      </c>
      <c r="H522" s="9" t="s">
        <v>18</v>
      </c>
      <c r="I522" s="16" t="str">
        <f>VLOOKUP(F522,[1]完整分类结果!$E:$G,3,0)</f>
        <v>食品制造业</v>
      </c>
      <c r="J522" s="16">
        <f>VLOOKUP(I522,[2]行业排放因子!$A:$B,2,0)</f>
        <v>14.6354532672489</v>
      </c>
      <c r="K522" s="9" t="s">
        <v>1489</v>
      </c>
    </row>
    <row r="523" spans="1:11" ht="12.5" customHeight="1" x14ac:dyDescent="0.25">
      <c r="A523" s="5" t="s">
        <v>1846</v>
      </c>
      <c r="B523" s="6" t="s">
        <v>1484</v>
      </c>
      <c r="C523" s="6" t="s">
        <v>1816</v>
      </c>
      <c r="D523" s="6" t="s">
        <v>1838</v>
      </c>
      <c r="E523" s="6" t="s">
        <v>1847</v>
      </c>
      <c r="F523" s="6" t="s">
        <v>1848</v>
      </c>
      <c r="G523" s="9" t="s">
        <v>1849</v>
      </c>
      <c r="H523" s="9" t="s">
        <v>18</v>
      </c>
      <c r="I523" s="16" t="str">
        <f>VLOOKUP(F523,[1]完整分类结果!$E:$G,3,0)</f>
        <v>食品制造业</v>
      </c>
      <c r="J523" s="16">
        <f>VLOOKUP(I523,[2]行业排放因子!$A:$B,2,0)</f>
        <v>14.6354532672489</v>
      </c>
      <c r="K523" s="9" t="s">
        <v>1489</v>
      </c>
    </row>
    <row r="524" spans="1:11" ht="12.5" customHeight="1" x14ac:dyDescent="0.25">
      <c r="A524" s="5" t="s">
        <v>1850</v>
      </c>
      <c r="B524" s="6" t="s">
        <v>1484</v>
      </c>
      <c r="C524" s="6" t="s">
        <v>1816</v>
      </c>
      <c r="D524" s="6" t="s">
        <v>1838</v>
      </c>
      <c r="E524" s="6" t="s">
        <v>1851</v>
      </c>
      <c r="F524" s="6" t="s">
        <v>1852</v>
      </c>
      <c r="G524" s="9" t="s">
        <v>1853</v>
      </c>
      <c r="H524" s="9" t="s">
        <v>18</v>
      </c>
      <c r="I524" s="16" t="str">
        <f>VLOOKUP(F524,[1]完整分类结果!$E:$G,3,0)</f>
        <v>食品制造业</v>
      </c>
      <c r="J524" s="16">
        <f>VLOOKUP(I524,[2]行业排放因子!$A:$B,2,0)</f>
        <v>14.6354532672489</v>
      </c>
      <c r="K524" s="9" t="s">
        <v>1489</v>
      </c>
    </row>
    <row r="525" spans="1:11" ht="12.5" customHeight="1" x14ac:dyDescent="0.25">
      <c r="A525" s="5" t="s">
        <v>1854</v>
      </c>
      <c r="B525" s="6" t="s">
        <v>1484</v>
      </c>
      <c r="C525" s="6" t="s">
        <v>1816</v>
      </c>
      <c r="D525" s="6" t="s">
        <v>1838</v>
      </c>
      <c r="E525" s="6" t="s">
        <v>1855</v>
      </c>
      <c r="F525" s="6" t="s">
        <v>1856</v>
      </c>
      <c r="G525" s="9" t="s">
        <v>1857</v>
      </c>
      <c r="H525" s="9" t="s">
        <v>18</v>
      </c>
      <c r="I525" s="16" t="str">
        <f>VLOOKUP(F525,[1]完整分类结果!$E:$G,3,0)</f>
        <v>食品制造业</v>
      </c>
      <c r="J525" s="16">
        <f>VLOOKUP(I525,[2]行业排放因子!$A:$B,2,0)</f>
        <v>14.6354532672489</v>
      </c>
      <c r="K525" s="9" t="s">
        <v>1489</v>
      </c>
    </row>
    <row r="526" spans="1:11" ht="12.5" customHeight="1" x14ac:dyDescent="0.25">
      <c r="A526" s="5" t="s">
        <v>1858</v>
      </c>
      <c r="B526" s="6" t="s">
        <v>1484</v>
      </c>
      <c r="C526" s="6" t="s">
        <v>1816</v>
      </c>
      <c r="D526" s="6" t="s">
        <v>1838</v>
      </c>
      <c r="E526" s="6" t="s">
        <v>1859</v>
      </c>
      <c r="F526" s="6" t="s">
        <v>1860</v>
      </c>
      <c r="G526" s="9"/>
      <c r="H526" s="9" t="s">
        <v>18</v>
      </c>
      <c r="I526" s="16" t="str">
        <f>VLOOKUP(F526,[1]完整分类结果!$E:$G,3,0)</f>
        <v>食品制造业</v>
      </c>
      <c r="J526" s="16">
        <f>VLOOKUP(I526,[2]行业排放因子!$A:$B,2,0)</f>
        <v>14.6354532672489</v>
      </c>
      <c r="K526" s="9" t="s">
        <v>1489</v>
      </c>
    </row>
    <row r="527" spans="1:11" ht="12.5" customHeight="1" x14ac:dyDescent="0.25">
      <c r="A527" s="5" t="s">
        <v>1861</v>
      </c>
      <c r="B527" s="6" t="s">
        <v>1484</v>
      </c>
      <c r="C527" s="6" t="s">
        <v>1816</v>
      </c>
      <c r="D527" s="6" t="s">
        <v>1838</v>
      </c>
      <c r="E527" s="6" t="s">
        <v>1862</v>
      </c>
      <c r="F527" s="6" t="s">
        <v>1863</v>
      </c>
      <c r="G527" s="9" t="s">
        <v>1864</v>
      </c>
      <c r="H527" s="9" t="s">
        <v>18</v>
      </c>
      <c r="I527" s="16" t="str">
        <f>VLOOKUP(F527,[1]完整分类结果!$E:$G,3,0)</f>
        <v>食品制造业</v>
      </c>
      <c r="J527" s="16">
        <f>VLOOKUP(I527,[2]行业排放因子!$A:$B,2,0)</f>
        <v>14.6354532672489</v>
      </c>
      <c r="K527" s="9" t="s">
        <v>1489</v>
      </c>
    </row>
    <row r="528" spans="1:11" ht="12.5" customHeight="1" x14ac:dyDescent="0.25">
      <c r="A528" s="5" t="s">
        <v>1865</v>
      </c>
      <c r="B528" s="6" t="s">
        <v>1484</v>
      </c>
      <c r="C528" s="6" t="s">
        <v>1816</v>
      </c>
      <c r="D528" s="6" t="s">
        <v>1838</v>
      </c>
      <c r="E528" s="6" t="s">
        <v>1866</v>
      </c>
      <c r="F528" s="6" t="s">
        <v>1867</v>
      </c>
      <c r="G528" s="9" t="s">
        <v>1868</v>
      </c>
      <c r="H528" s="9" t="s">
        <v>18</v>
      </c>
      <c r="I528" s="16" t="str">
        <f>VLOOKUP(F528,[1]完整分类结果!$E:$G,3,0)</f>
        <v>食品制造业</v>
      </c>
      <c r="J528" s="16">
        <f>VLOOKUP(I528,[2]行业排放因子!$A:$B,2,0)</f>
        <v>14.6354532672489</v>
      </c>
      <c r="K528" s="9" t="s">
        <v>1489</v>
      </c>
    </row>
    <row r="529" spans="1:11" ht="12.5" customHeight="1" x14ac:dyDescent="0.25">
      <c r="A529" s="5" t="s">
        <v>1869</v>
      </c>
      <c r="B529" s="6" t="s">
        <v>1484</v>
      </c>
      <c r="C529" s="6" t="s">
        <v>1816</v>
      </c>
      <c r="D529" s="6" t="s">
        <v>1870</v>
      </c>
      <c r="E529" s="6" t="s">
        <v>1871</v>
      </c>
      <c r="F529" s="6" t="s">
        <v>1872</v>
      </c>
      <c r="G529" s="9" t="s">
        <v>1873</v>
      </c>
      <c r="H529" s="9" t="s">
        <v>18</v>
      </c>
      <c r="I529" s="16" t="str">
        <f>VLOOKUP(F529,[1]完整分类结果!$E:$G,3,0)</f>
        <v>食品加工业</v>
      </c>
      <c r="J529" s="16">
        <f>VLOOKUP(I529,[2]行业排放因子!$A:$B,2,0)</f>
        <v>8.9338914683308701</v>
      </c>
      <c r="K529" s="9" t="s">
        <v>1489</v>
      </c>
    </row>
    <row r="530" spans="1:11" ht="12.5" customHeight="1" x14ac:dyDescent="0.25">
      <c r="A530" s="5" t="s">
        <v>1874</v>
      </c>
      <c r="B530" s="6" t="s">
        <v>1484</v>
      </c>
      <c r="C530" s="6" t="s">
        <v>1816</v>
      </c>
      <c r="D530" s="6" t="s">
        <v>1870</v>
      </c>
      <c r="E530" s="6" t="s">
        <v>1875</v>
      </c>
      <c r="F530" s="6" t="s">
        <v>1876</v>
      </c>
      <c r="G530" s="9"/>
      <c r="H530" s="9" t="s">
        <v>18</v>
      </c>
      <c r="I530" s="16" t="str">
        <f>VLOOKUP(F530,[1]完整分类结果!$E:$G,3,0)</f>
        <v>食品加工业</v>
      </c>
      <c r="J530" s="16">
        <f>VLOOKUP(I530,[2]行业排放因子!$A:$B,2,0)</f>
        <v>8.9338914683308701</v>
      </c>
      <c r="K530" s="9" t="s">
        <v>1489</v>
      </c>
    </row>
    <row r="531" spans="1:11" ht="12.5" customHeight="1" x14ac:dyDescent="0.25">
      <c r="A531" s="5" t="s">
        <v>1877</v>
      </c>
      <c r="B531" s="6" t="s">
        <v>1484</v>
      </c>
      <c r="C531" s="6" t="s">
        <v>1816</v>
      </c>
      <c r="D531" s="6" t="s">
        <v>1870</v>
      </c>
      <c r="E531" s="6" t="s">
        <v>1878</v>
      </c>
      <c r="F531" s="6" t="s">
        <v>1879</v>
      </c>
      <c r="G531" s="9" t="s">
        <v>1880</v>
      </c>
      <c r="H531" s="9" t="s">
        <v>18</v>
      </c>
      <c r="I531" s="16" t="str">
        <f>VLOOKUP(F531,[1]完整分类结果!$E:$G,3,0)</f>
        <v>食品加工业</v>
      </c>
      <c r="J531" s="16">
        <f>VLOOKUP(I531,[2]行业排放因子!$A:$B,2,0)</f>
        <v>8.9338914683308701</v>
      </c>
      <c r="K531" s="9" t="s">
        <v>1489</v>
      </c>
    </row>
    <row r="532" spans="1:11" ht="12.5" customHeight="1" x14ac:dyDescent="0.25">
      <c r="A532" s="5" t="s">
        <v>1881</v>
      </c>
      <c r="B532" s="6" t="s">
        <v>1484</v>
      </c>
      <c r="C532" s="6" t="s">
        <v>1816</v>
      </c>
      <c r="D532" s="6" t="s">
        <v>1882</v>
      </c>
      <c r="E532" s="6" t="s">
        <v>1883</v>
      </c>
      <c r="F532" s="6" t="s">
        <v>1884</v>
      </c>
      <c r="G532" s="9" t="s">
        <v>1885</v>
      </c>
      <c r="H532" s="9" t="s">
        <v>18</v>
      </c>
      <c r="I532" s="16" t="str">
        <f>VLOOKUP(F532,[1]完整分类结果!$E:$G,3,0)</f>
        <v>食品制造业</v>
      </c>
      <c r="J532" s="16">
        <f>VLOOKUP(I532,[2]行业排放因子!$A:$B,2,0)</f>
        <v>14.6354532672489</v>
      </c>
      <c r="K532" s="9" t="s">
        <v>1489</v>
      </c>
    </row>
    <row r="533" spans="1:11" ht="12.5" customHeight="1" x14ac:dyDescent="0.25">
      <c r="A533" s="5" t="s">
        <v>1886</v>
      </c>
      <c r="B533" s="6" t="s">
        <v>1484</v>
      </c>
      <c r="C533" s="6" t="s">
        <v>1816</v>
      </c>
      <c r="D533" s="6" t="s">
        <v>1882</v>
      </c>
      <c r="E533" s="6" t="s">
        <v>1887</v>
      </c>
      <c r="F533" s="6" t="s">
        <v>1888</v>
      </c>
      <c r="G533" s="9"/>
      <c r="H533" s="9" t="s">
        <v>18</v>
      </c>
      <c r="I533" s="16" t="str">
        <f>VLOOKUP(F533,[1]完整分类结果!$E:$G,3,0)</f>
        <v>食品制造业</v>
      </c>
      <c r="J533" s="16">
        <f>VLOOKUP(I533,[2]行业排放因子!$A:$B,2,0)</f>
        <v>14.6354532672489</v>
      </c>
      <c r="K533" s="9" t="s">
        <v>1489</v>
      </c>
    </row>
    <row r="534" spans="1:11" ht="12.5" customHeight="1" x14ac:dyDescent="0.25">
      <c r="A534" s="5" t="s">
        <v>1889</v>
      </c>
      <c r="B534" s="6" t="s">
        <v>1484</v>
      </c>
      <c r="C534" s="6" t="s">
        <v>1816</v>
      </c>
      <c r="D534" s="6" t="s">
        <v>1890</v>
      </c>
      <c r="E534" s="6" t="s">
        <v>1891</v>
      </c>
      <c r="F534" s="6" t="s">
        <v>1892</v>
      </c>
      <c r="G534" s="9" t="s">
        <v>1893</v>
      </c>
      <c r="H534" s="9" t="s">
        <v>18</v>
      </c>
      <c r="I534" s="16" t="str">
        <f>VLOOKUP(F534,[1]完整分类结果!$E:$G,3,0)</f>
        <v>食品制造业</v>
      </c>
      <c r="J534" s="16">
        <f>VLOOKUP(I534,[2]行业排放因子!$A:$B,2,0)</f>
        <v>14.6354532672489</v>
      </c>
      <c r="K534" s="9" t="s">
        <v>1489</v>
      </c>
    </row>
    <row r="535" spans="1:11" ht="12.5" customHeight="1" x14ac:dyDescent="0.25">
      <c r="A535" s="5" t="s">
        <v>1894</v>
      </c>
      <c r="B535" s="6" t="s">
        <v>1484</v>
      </c>
      <c r="C535" s="6" t="s">
        <v>1816</v>
      </c>
      <c r="D535" s="6" t="s">
        <v>1890</v>
      </c>
      <c r="E535" s="6" t="s">
        <v>1895</v>
      </c>
      <c r="F535" s="6" t="s">
        <v>1896</v>
      </c>
      <c r="G535" s="9" t="s">
        <v>1897</v>
      </c>
      <c r="H535" s="9" t="s">
        <v>18</v>
      </c>
      <c r="I535" s="16" t="str">
        <f>VLOOKUP(F535,[1]完整分类结果!$E:$G,3,0)</f>
        <v>食品制造业</v>
      </c>
      <c r="J535" s="16">
        <f>VLOOKUP(I535,[2]行业排放因子!$A:$B,2,0)</f>
        <v>14.6354532672489</v>
      </c>
      <c r="K535" s="9" t="s">
        <v>1489</v>
      </c>
    </row>
    <row r="536" spans="1:11" ht="12.5" customHeight="1" x14ac:dyDescent="0.25">
      <c r="A536" s="5" t="s">
        <v>1898</v>
      </c>
      <c r="B536" s="6" t="s">
        <v>1484</v>
      </c>
      <c r="C536" s="6" t="s">
        <v>1816</v>
      </c>
      <c r="D536" s="6" t="s">
        <v>1890</v>
      </c>
      <c r="E536" s="6" t="s">
        <v>1899</v>
      </c>
      <c r="F536" s="6" t="s">
        <v>1900</v>
      </c>
      <c r="G536" s="9" t="s">
        <v>1901</v>
      </c>
      <c r="H536" s="9" t="s">
        <v>18</v>
      </c>
      <c r="I536" s="16" t="str">
        <f>VLOOKUP(F536,[1]完整分类结果!$E:$G,3,0)</f>
        <v>食品制造业</v>
      </c>
      <c r="J536" s="16">
        <f>VLOOKUP(I536,[2]行业排放因子!$A:$B,2,0)</f>
        <v>14.6354532672489</v>
      </c>
      <c r="K536" s="9" t="s">
        <v>1489</v>
      </c>
    </row>
    <row r="537" spans="1:11" ht="12.5" customHeight="1" x14ac:dyDescent="0.25">
      <c r="A537" s="5" t="s">
        <v>1902</v>
      </c>
      <c r="B537" s="6" t="s">
        <v>1484</v>
      </c>
      <c r="C537" s="6" t="s">
        <v>1816</v>
      </c>
      <c r="D537" s="6" t="s">
        <v>1890</v>
      </c>
      <c r="E537" s="6" t="s">
        <v>1903</v>
      </c>
      <c r="F537" s="6" t="s">
        <v>1904</v>
      </c>
      <c r="G537" s="9" t="s">
        <v>1905</v>
      </c>
      <c r="H537" s="9" t="s">
        <v>18</v>
      </c>
      <c r="I537" s="16" t="str">
        <f>VLOOKUP(F537,[1]完整分类结果!$E:$G,3,0)</f>
        <v>食品制造业</v>
      </c>
      <c r="J537" s="16">
        <f>VLOOKUP(I537,[2]行业排放因子!$A:$B,2,0)</f>
        <v>14.6354532672489</v>
      </c>
      <c r="K537" s="9" t="s">
        <v>1489</v>
      </c>
    </row>
    <row r="538" spans="1:11" ht="12.5" customHeight="1" x14ac:dyDescent="0.25">
      <c r="A538" s="5" t="s">
        <v>1906</v>
      </c>
      <c r="B538" s="6" t="s">
        <v>1484</v>
      </c>
      <c r="C538" s="6" t="s">
        <v>1816</v>
      </c>
      <c r="D538" s="6" t="s">
        <v>1890</v>
      </c>
      <c r="E538" s="6" t="s">
        <v>1907</v>
      </c>
      <c r="F538" s="6" t="s">
        <v>1908</v>
      </c>
      <c r="G538" s="9" t="s">
        <v>1909</v>
      </c>
      <c r="H538" s="9" t="s">
        <v>18</v>
      </c>
      <c r="I538" s="16" t="str">
        <f>VLOOKUP(F538,[1]完整分类结果!$E:$G,3,0)</f>
        <v>食品制造业</v>
      </c>
      <c r="J538" s="16">
        <f>VLOOKUP(I538,[2]行业排放因子!$A:$B,2,0)</f>
        <v>14.6354532672489</v>
      </c>
      <c r="K538" s="9" t="s">
        <v>1489</v>
      </c>
    </row>
    <row r="539" spans="1:11" ht="12.5" customHeight="1" x14ac:dyDescent="0.25">
      <c r="A539" s="5" t="s">
        <v>1910</v>
      </c>
      <c r="B539" s="6" t="s">
        <v>1484</v>
      </c>
      <c r="C539" s="6" t="s">
        <v>1816</v>
      </c>
      <c r="D539" s="6" t="s">
        <v>1890</v>
      </c>
      <c r="E539" s="6" t="s">
        <v>1911</v>
      </c>
      <c r="F539" s="6" t="s">
        <v>1912</v>
      </c>
      <c r="G539" s="9" t="s">
        <v>1913</v>
      </c>
      <c r="H539" s="9" t="s">
        <v>18</v>
      </c>
      <c r="I539" s="16" t="str">
        <f>VLOOKUP(F539,[1]完整分类结果!$E:$G,3,0)</f>
        <v>食品制造业</v>
      </c>
      <c r="J539" s="16">
        <f>VLOOKUP(I539,[2]行业排放因子!$A:$B,2,0)</f>
        <v>14.6354532672489</v>
      </c>
      <c r="K539" s="9" t="s">
        <v>1489</v>
      </c>
    </row>
    <row r="540" spans="1:11" ht="12.5" customHeight="1" x14ac:dyDescent="0.25">
      <c r="A540" s="5" t="s">
        <v>1914</v>
      </c>
      <c r="B540" s="6" t="s">
        <v>1484</v>
      </c>
      <c r="C540" s="6" t="s">
        <v>1816</v>
      </c>
      <c r="D540" s="6" t="s">
        <v>1890</v>
      </c>
      <c r="E540" s="6" t="s">
        <v>1915</v>
      </c>
      <c r="F540" s="6" t="s">
        <v>1916</v>
      </c>
      <c r="G540" s="9" t="s">
        <v>1917</v>
      </c>
      <c r="H540" s="9" t="s">
        <v>18</v>
      </c>
      <c r="I540" s="16" t="str">
        <f>VLOOKUP(F540,[1]完整分类结果!$E:$G,3,0)</f>
        <v>食品制造业</v>
      </c>
      <c r="J540" s="16">
        <f>VLOOKUP(I540,[2]行业排放因子!$A:$B,2,0)</f>
        <v>14.6354532672489</v>
      </c>
      <c r="K540" s="9" t="s">
        <v>1489</v>
      </c>
    </row>
    <row r="541" spans="1:11" ht="12.5" customHeight="1" x14ac:dyDescent="0.25">
      <c r="A541" s="5" t="s">
        <v>1918</v>
      </c>
      <c r="B541" s="6" t="s">
        <v>1484</v>
      </c>
      <c r="C541" s="6" t="s">
        <v>1816</v>
      </c>
      <c r="D541" s="6" t="s">
        <v>1890</v>
      </c>
      <c r="E541" s="6" t="s">
        <v>1919</v>
      </c>
      <c r="F541" s="6" t="s">
        <v>1920</v>
      </c>
      <c r="G541" s="9" t="s">
        <v>1921</v>
      </c>
      <c r="H541" s="9" t="s">
        <v>18</v>
      </c>
      <c r="I541" s="16" t="str">
        <f>VLOOKUP(F541,[1]完整分类结果!$E:$G,3,0)</f>
        <v>食品制造业</v>
      </c>
      <c r="J541" s="16">
        <f>VLOOKUP(I541,[2]行业排放因子!$A:$B,2,0)</f>
        <v>14.6354532672489</v>
      </c>
      <c r="K541" s="9" t="s">
        <v>1489</v>
      </c>
    </row>
    <row r="542" spans="1:11" ht="12.5" customHeight="1" x14ac:dyDescent="0.25">
      <c r="A542" s="5" t="s">
        <v>1922</v>
      </c>
      <c r="B542" s="6" t="s">
        <v>1484</v>
      </c>
      <c r="C542" s="6" t="s">
        <v>1816</v>
      </c>
      <c r="D542" s="6" t="s">
        <v>1890</v>
      </c>
      <c r="E542" s="6" t="s">
        <v>1923</v>
      </c>
      <c r="F542" s="6" t="s">
        <v>1924</v>
      </c>
      <c r="G542" s="9"/>
      <c r="H542" s="9" t="s">
        <v>18</v>
      </c>
      <c r="I542" s="16" t="str">
        <f>VLOOKUP(F542,[1]完整分类结果!$E:$G,3,0)</f>
        <v>食品制造业</v>
      </c>
      <c r="J542" s="16">
        <f>VLOOKUP(I542,[2]行业排放因子!$A:$B,2,0)</f>
        <v>14.6354532672489</v>
      </c>
      <c r="K542" s="9" t="s">
        <v>1489</v>
      </c>
    </row>
    <row r="543" spans="1:11" ht="12.5" customHeight="1" x14ac:dyDescent="0.25">
      <c r="A543" s="5" t="s">
        <v>1925</v>
      </c>
      <c r="B543" s="6" t="s">
        <v>1484</v>
      </c>
      <c r="C543" s="6" t="s">
        <v>1816</v>
      </c>
      <c r="D543" s="6" t="s">
        <v>1890</v>
      </c>
      <c r="E543" s="6" t="s">
        <v>1926</v>
      </c>
      <c r="F543" s="6" t="s">
        <v>1927</v>
      </c>
      <c r="G543" s="9" t="s">
        <v>1928</v>
      </c>
      <c r="H543" s="9" t="s">
        <v>18</v>
      </c>
      <c r="I543" s="16" t="str">
        <f>VLOOKUP(F543,[1]完整分类结果!$E:$G,3,0)</f>
        <v>食品制造业</v>
      </c>
      <c r="J543" s="16">
        <f>VLOOKUP(I543,[2]行业排放因子!$A:$B,2,0)</f>
        <v>14.6354532672489</v>
      </c>
      <c r="K543" s="9" t="s">
        <v>1489</v>
      </c>
    </row>
    <row r="544" spans="1:11" ht="12.5" customHeight="1" x14ac:dyDescent="0.25">
      <c r="A544" s="5" t="s">
        <v>1929</v>
      </c>
      <c r="B544" s="6" t="s">
        <v>1484</v>
      </c>
      <c r="C544" s="6" t="s">
        <v>1816</v>
      </c>
      <c r="D544" s="6" t="s">
        <v>1890</v>
      </c>
      <c r="E544" s="6" t="s">
        <v>1930</v>
      </c>
      <c r="F544" s="6" t="s">
        <v>1931</v>
      </c>
      <c r="G544" s="9" t="s">
        <v>1932</v>
      </c>
      <c r="H544" s="9" t="s">
        <v>18</v>
      </c>
      <c r="I544" s="16" t="str">
        <f>VLOOKUP(F544,[1]完整分类结果!$E:$G,3,0)</f>
        <v>食品制造业</v>
      </c>
      <c r="J544" s="16">
        <f>VLOOKUP(I544,[2]行业排放因子!$A:$B,2,0)</f>
        <v>14.6354532672489</v>
      </c>
      <c r="K544" s="9" t="s">
        <v>1489</v>
      </c>
    </row>
    <row r="545" spans="1:11" ht="12.5" customHeight="1" x14ac:dyDescent="0.25">
      <c r="A545" s="5" t="s">
        <v>1933</v>
      </c>
      <c r="B545" s="6" t="s">
        <v>1484</v>
      </c>
      <c r="C545" s="6" t="s">
        <v>1816</v>
      </c>
      <c r="D545" s="6" t="s">
        <v>1890</v>
      </c>
      <c r="E545" s="6" t="s">
        <v>1934</v>
      </c>
      <c r="F545" s="6" t="s">
        <v>1935</v>
      </c>
      <c r="G545" s="9" t="s">
        <v>1936</v>
      </c>
      <c r="H545" s="9" t="s">
        <v>18</v>
      </c>
      <c r="I545" s="16" t="str">
        <f>VLOOKUP(F545,[1]完整分类结果!$E:$G,3,0)</f>
        <v>食品制造业</v>
      </c>
      <c r="J545" s="16">
        <f>VLOOKUP(I545,[2]行业排放因子!$A:$B,2,0)</f>
        <v>14.6354532672489</v>
      </c>
      <c r="K545" s="9" t="s">
        <v>1489</v>
      </c>
    </row>
    <row r="546" spans="1:11" ht="12.5" customHeight="1" x14ac:dyDescent="0.25">
      <c r="A546" s="5" t="s">
        <v>1937</v>
      </c>
      <c r="B546" s="6" t="s">
        <v>1484</v>
      </c>
      <c r="C546" s="6" t="s">
        <v>1816</v>
      </c>
      <c r="D546" s="6" t="s">
        <v>1890</v>
      </c>
      <c r="E546" s="6" t="s">
        <v>1938</v>
      </c>
      <c r="F546" s="6" t="s">
        <v>1939</v>
      </c>
      <c r="G546" s="9" t="s">
        <v>1940</v>
      </c>
      <c r="H546" s="9" t="s">
        <v>18</v>
      </c>
      <c r="I546" s="16" t="str">
        <f>VLOOKUP(F546,[1]完整分类结果!$E:$G,3,0)</f>
        <v>食品制造业</v>
      </c>
      <c r="J546" s="16">
        <f>VLOOKUP(I546,[2]行业排放因子!$A:$B,2,0)</f>
        <v>14.6354532672489</v>
      </c>
      <c r="K546" s="9" t="s">
        <v>1489</v>
      </c>
    </row>
    <row r="547" spans="1:11" ht="12.5" customHeight="1" x14ac:dyDescent="0.25">
      <c r="A547" s="5" t="s">
        <v>1941</v>
      </c>
      <c r="B547" s="6" t="s">
        <v>1484</v>
      </c>
      <c r="C547" s="6" t="s">
        <v>1816</v>
      </c>
      <c r="D547" s="6" t="s">
        <v>1890</v>
      </c>
      <c r="E547" s="6" t="s">
        <v>1942</v>
      </c>
      <c r="F547" s="6" t="s">
        <v>1943</v>
      </c>
      <c r="G547" s="9" t="s">
        <v>1944</v>
      </c>
      <c r="H547" s="9" t="s">
        <v>18</v>
      </c>
      <c r="I547" s="16" t="str">
        <f>VLOOKUP(F547,[1]完整分类结果!$E:$G,3,0)</f>
        <v>食品制造业</v>
      </c>
      <c r="J547" s="16">
        <f>VLOOKUP(I547,[2]行业排放因子!$A:$B,2,0)</f>
        <v>14.6354532672489</v>
      </c>
      <c r="K547" s="9" t="s">
        <v>1489</v>
      </c>
    </row>
    <row r="548" spans="1:11" ht="12.5" customHeight="1" x14ac:dyDescent="0.25">
      <c r="A548" s="5" t="s">
        <v>1945</v>
      </c>
      <c r="B548" s="6" t="s">
        <v>1484</v>
      </c>
      <c r="C548" s="6" t="s">
        <v>1816</v>
      </c>
      <c r="D548" s="6" t="s">
        <v>1946</v>
      </c>
      <c r="E548" s="6" t="s">
        <v>1947</v>
      </c>
      <c r="F548" s="6" t="s">
        <v>1948</v>
      </c>
      <c r="G548" s="9"/>
      <c r="H548" s="9" t="s">
        <v>18</v>
      </c>
      <c r="I548" s="16" t="str">
        <f>VLOOKUP(F548,[1]完整分类结果!$E:$G,3,0)</f>
        <v>食品加工业</v>
      </c>
      <c r="J548" s="16">
        <f>VLOOKUP(I548,[2]行业排放因子!$A:$B,2,0)</f>
        <v>8.9338914683308701</v>
      </c>
      <c r="K548" s="9" t="s">
        <v>1489</v>
      </c>
    </row>
    <row r="549" spans="1:11" ht="12.5" customHeight="1" x14ac:dyDescent="0.25">
      <c r="A549" s="5" t="s">
        <v>1949</v>
      </c>
      <c r="B549" s="6" t="s">
        <v>1484</v>
      </c>
      <c r="C549" s="6" t="s">
        <v>1816</v>
      </c>
      <c r="D549" s="6" t="s">
        <v>1946</v>
      </c>
      <c r="E549" s="6" t="s">
        <v>1950</v>
      </c>
      <c r="F549" s="6" t="s">
        <v>1951</v>
      </c>
      <c r="G549" s="9"/>
      <c r="H549" s="9" t="s">
        <v>18</v>
      </c>
      <c r="I549" s="16" t="str">
        <f>VLOOKUP(F549,[1]完整分类结果!$E:$G,3,0)</f>
        <v>食品加工业</v>
      </c>
      <c r="J549" s="16">
        <f>VLOOKUP(I549,[2]行业排放因子!$A:$B,2,0)</f>
        <v>8.9338914683308701</v>
      </c>
      <c r="K549" s="9" t="s">
        <v>1489</v>
      </c>
    </row>
    <row r="550" spans="1:11" ht="12.5" customHeight="1" x14ac:dyDescent="0.25">
      <c r="A550" s="5" t="s">
        <v>1952</v>
      </c>
      <c r="B550" s="6" t="s">
        <v>1484</v>
      </c>
      <c r="C550" s="6" t="s">
        <v>1816</v>
      </c>
      <c r="D550" s="6" t="s">
        <v>1946</v>
      </c>
      <c r="E550" s="6" t="s">
        <v>1953</v>
      </c>
      <c r="F550" s="6" t="s">
        <v>1954</v>
      </c>
      <c r="G550" s="9"/>
      <c r="H550" s="9" t="s">
        <v>18</v>
      </c>
      <c r="I550" s="16" t="str">
        <f>VLOOKUP(F550,[1]完整分类结果!$E:$G,3,0)</f>
        <v>食品加工业</v>
      </c>
      <c r="J550" s="16">
        <f>VLOOKUP(I550,[2]行业排放因子!$A:$B,2,0)</f>
        <v>8.9338914683308701</v>
      </c>
      <c r="K550" s="9" t="s">
        <v>1489</v>
      </c>
    </row>
    <row r="551" spans="1:11" ht="12.5" customHeight="1" x14ac:dyDescent="0.25">
      <c r="A551" s="5" t="s">
        <v>1955</v>
      </c>
      <c r="B551" s="6" t="s">
        <v>1484</v>
      </c>
      <c r="C551" s="6" t="s">
        <v>1816</v>
      </c>
      <c r="D551" s="6" t="s">
        <v>1946</v>
      </c>
      <c r="E551" s="6" t="s">
        <v>1956</v>
      </c>
      <c r="F551" s="6" t="s">
        <v>1957</v>
      </c>
      <c r="G551" s="9"/>
      <c r="H551" s="9" t="s">
        <v>18</v>
      </c>
      <c r="I551" s="16" t="str">
        <f>VLOOKUP(F551,[1]完整分类结果!$E:$G,3,0)</f>
        <v>食品加工业</v>
      </c>
      <c r="J551" s="16">
        <f>VLOOKUP(I551,[2]行业排放因子!$A:$B,2,0)</f>
        <v>8.9338914683308701</v>
      </c>
      <c r="K551" s="9" t="s">
        <v>1489</v>
      </c>
    </row>
    <row r="552" spans="1:11" ht="12.5" customHeight="1" x14ac:dyDescent="0.25">
      <c r="A552" s="5" t="s">
        <v>1958</v>
      </c>
      <c r="B552" s="6" t="s">
        <v>1484</v>
      </c>
      <c r="C552" s="6" t="s">
        <v>1816</v>
      </c>
      <c r="D552" s="6" t="s">
        <v>1959</v>
      </c>
      <c r="E552" s="6" t="s">
        <v>1960</v>
      </c>
      <c r="F552" s="6" t="s">
        <v>1961</v>
      </c>
      <c r="G552" s="9"/>
      <c r="H552" s="9" t="s">
        <v>18</v>
      </c>
      <c r="I552" s="16" t="str">
        <f>VLOOKUP(F552,[1]完整分类结果!$E:$G,3,0)</f>
        <v>食品加工业</v>
      </c>
      <c r="J552" s="16">
        <f>VLOOKUP(I552,[2]行业排放因子!$A:$B,2,0)</f>
        <v>8.9338914683308701</v>
      </c>
      <c r="K552" s="9" t="s">
        <v>1489</v>
      </c>
    </row>
    <row r="553" spans="1:11" ht="12.5" customHeight="1" x14ac:dyDescent="0.25">
      <c r="A553" s="5" t="s">
        <v>1962</v>
      </c>
      <c r="B553" s="6" t="s">
        <v>1484</v>
      </c>
      <c r="C553" s="6" t="s">
        <v>1816</v>
      </c>
      <c r="D553" s="6" t="s">
        <v>1959</v>
      </c>
      <c r="E553" s="6" t="s">
        <v>1963</v>
      </c>
      <c r="F553" s="6" t="s">
        <v>1964</v>
      </c>
      <c r="G553" s="9" t="s">
        <v>1965</v>
      </c>
      <c r="H553" s="9" t="s">
        <v>18</v>
      </c>
      <c r="I553" s="16" t="str">
        <f>VLOOKUP(F553,[1]完整分类结果!$E:$G,3,0)</f>
        <v>食品加工业</v>
      </c>
      <c r="J553" s="16">
        <f>VLOOKUP(I553,[2]行业排放因子!$A:$B,2,0)</f>
        <v>8.9338914683308701</v>
      </c>
      <c r="K553" s="9" t="s">
        <v>1489</v>
      </c>
    </row>
    <row r="554" spans="1:11" ht="12.5" customHeight="1" x14ac:dyDescent="0.25">
      <c r="A554" s="5" t="s">
        <v>1966</v>
      </c>
      <c r="B554" s="6" t="s">
        <v>1484</v>
      </c>
      <c r="C554" s="6" t="s">
        <v>1816</v>
      </c>
      <c r="D554" s="6" t="s">
        <v>1959</v>
      </c>
      <c r="E554" s="6" t="s">
        <v>1967</v>
      </c>
      <c r="F554" s="6" t="s">
        <v>1968</v>
      </c>
      <c r="G554" s="9"/>
      <c r="H554" s="9" t="s">
        <v>18</v>
      </c>
      <c r="I554" s="16" t="str">
        <f>VLOOKUP(F554,[1]完整分类结果!$E:$G,3,0)</f>
        <v>食品加工业</v>
      </c>
      <c r="J554" s="16">
        <f>VLOOKUP(I554,[2]行业排放因子!$A:$B,2,0)</f>
        <v>8.9338914683308701</v>
      </c>
      <c r="K554" s="9" t="s">
        <v>1489</v>
      </c>
    </row>
    <row r="555" spans="1:11" ht="12.5" customHeight="1" x14ac:dyDescent="0.25">
      <c r="A555" s="5" t="s">
        <v>1969</v>
      </c>
      <c r="B555" s="6" t="s">
        <v>1484</v>
      </c>
      <c r="C555" s="6" t="s">
        <v>1816</v>
      </c>
      <c r="D555" s="6" t="s">
        <v>1959</v>
      </c>
      <c r="E555" s="6" t="s">
        <v>1970</v>
      </c>
      <c r="F555" s="6" t="s">
        <v>1971</v>
      </c>
      <c r="G555" s="9" t="s">
        <v>1972</v>
      </c>
      <c r="H555" s="9" t="s">
        <v>18</v>
      </c>
      <c r="I555" s="16" t="str">
        <f>VLOOKUP(F555,[1]完整分类结果!$E:$G,3,0)</f>
        <v>食品加工业</v>
      </c>
      <c r="J555" s="16">
        <f>VLOOKUP(I555,[2]行业排放因子!$A:$B,2,0)</f>
        <v>8.9338914683308701</v>
      </c>
      <c r="K555" s="9" t="s">
        <v>1489</v>
      </c>
    </row>
    <row r="556" spans="1:11" ht="12.5" customHeight="1" x14ac:dyDescent="0.25">
      <c r="A556" s="5" t="s">
        <v>1973</v>
      </c>
      <c r="B556" s="6" t="s">
        <v>1484</v>
      </c>
      <c r="C556" s="6" t="s">
        <v>1816</v>
      </c>
      <c r="D556" s="6" t="s">
        <v>1959</v>
      </c>
      <c r="E556" s="6" t="s">
        <v>1974</v>
      </c>
      <c r="F556" s="6" t="s">
        <v>1975</v>
      </c>
      <c r="G556" s="9" t="s">
        <v>1976</v>
      </c>
      <c r="H556" s="9" t="s">
        <v>18</v>
      </c>
      <c r="I556" s="16" t="str">
        <f>VLOOKUP(F556,[1]完整分类结果!$E:$G,3,0)</f>
        <v>食品加工业</v>
      </c>
      <c r="J556" s="16">
        <f>VLOOKUP(I556,[2]行业排放因子!$A:$B,2,0)</f>
        <v>8.9338914683308701</v>
      </c>
      <c r="K556" s="9" t="s">
        <v>1489</v>
      </c>
    </row>
    <row r="557" spans="1:11" ht="12.5" customHeight="1" x14ac:dyDescent="0.25">
      <c r="A557" s="5" t="s">
        <v>1977</v>
      </c>
      <c r="B557" s="6" t="s">
        <v>1484</v>
      </c>
      <c r="C557" s="6" t="s">
        <v>1816</v>
      </c>
      <c r="D557" s="6" t="s">
        <v>1978</v>
      </c>
      <c r="E557" s="6" t="s">
        <v>1979</v>
      </c>
      <c r="F557" s="6" t="s">
        <v>1980</v>
      </c>
      <c r="G557" s="9" t="s">
        <v>1981</v>
      </c>
      <c r="H557" s="9" t="s">
        <v>18</v>
      </c>
      <c r="I557" s="16" t="str">
        <f>VLOOKUP(F557,[1]完整分类结果!$E:$G,3,0)</f>
        <v>食品加工业</v>
      </c>
      <c r="J557" s="16">
        <f>VLOOKUP(I557,[2]行业排放因子!$A:$B,2,0)</f>
        <v>8.9338914683308701</v>
      </c>
      <c r="K557" s="9" t="s">
        <v>1489</v>
      </c>
    </row>
    <row r="558" spans="1:11" ht="12.5" customHeight="1" x14ac:dyDescent="0.25">
      <c r="A558" s="5" t="s">
        <v>1982</v>
      </c>
      <c r="B558" s="6" t="s">
        <v>1484</v>
      </c>
      <c r="C558" s="6" t="s">
        <v>1816</v>
      </c>
      <c r="D558" s="6" t="s">
        <v>1978</v>
      </c>
      <c r="E558" s="6" t="s">
        <v>1983</v>
      </c>
      <c r="F558" s="6" t="s">
        <v>1984</v>
      </c>
      <c r="G558" s="9" t="s">
        <v>1985</v>
      </c>
      <c r="H558" s="9" t="s">
        <v>18</v>
      </c>
      <c r="I558" s="16" t="str">
        <f>VLOOKUP(F558,[1]完整分类结果!$E:$G,3,0)</f>
        <v>食品加工业</v>
      </c>
      <c r="J558" s="16">
        <f>VLOOKUP(I558,[2]行业排放因子!$A:$B,2,0)</f>
        <v>8.9338914683308701</v>
      </c>
      <c r="K558" s="9" t="s">
        <v>1489</v>
      </c>
    </row>
    <row r="559" spans="1:11" ht="12.5" customHeight="1" x14ac:dyDescent="0.25">
      <c r="A559" s="5" t="s">
        <v>1986</v>
      </c>
      <c r="B559" s="6" t="s">
        <v>1484</v>
      </c>
      <c r="C559" s="6" t="s">
        <v>1816</v>
      </c>
      <c r="D559" s="6" t="s">
        <v>1978</v>
      </c>
      <c r="E559" s="6" t="s">
        <v>1987</v>
      </c>
      <c r="F559" s="6" t="s">
        <v>1988</v>
      </c>
      <c r="G559" s="9"/>
      <c r="H559" s="9" t="s">
        <v>18</v>
      </c>
      <c r="I559" s="16" t="str">
        <f>VLOOKUP(F559,[1]完整分类结果!$E:$G,3,0)</f>
        <v>食品加工业</v>
      </c>
      <c r="J559" s="16">
        <f>VLOOKUP(I559,[2]行业排放因子!$A:$B,2,0)</f>
        <v>8.9338914683308701</v>
      </c>
      <c r="K559" s="9" t="s">
        <v>1489</v>
      </c>
    </row>
    <row r="560" spans="1:11" ht="12.5" customHeight="1" x14ac:dyDescent="0.25">
      <c r="A560" s="5" t="s">
        <v>1989</v>
      </c>
      <c r="B560" s="6" t="s">
        <v>1484</v>
      </c>
      <c r="C560" s="6" t="s">
        <v>1816</v>
      </c>
      <c r="D560" s="6" t="s">
        <v>1978</v>
      </c>
      <c r="E560" s="6" t="s">
        <v>1990</v>
      </c>
      <c r="F560" s="6" t="s">
        <v>1991</v>
      </c>
      <c r="G560" s="9"/>
      <c r="H560" s="9" t="s">
        <v>18</v>
      </c>
      <c r="I560" s="16" t="str">
        <f>VLOOKUP(F560,[1]完整分类结果!$E:$G,3,0)</f>
        <v>食品加工业</v>
      </c>
      <c r="J560" s="16">
        <f>VLOOKUP(I560,[2]行业排放因子!$A:$B,2,0)</f>
        <v>8.9338914683308701</v>
      </c>
      <c r="K560" s="9" t="s">
        <v>1489</v>
      </c>
    </row>
    <row r="561" spans="1:11" ht="12.5" customHeight="1" x14ac:dyDescent="0.25">
      <c r="A561" s="5" t="s">
        <v>1992</v>
      </c>
      <c r="B561" s="6" t="s">
        <v>1484</v>
      </c>
      <c r="C561" s="6" t="s">
        <v>1816</v>
      </c>
      <c r="D561" s="6" t="s">
        <v>1993</v>
      </c>
      <c r="E561" s="6" t="s">
        <v>1994</v>
      </c>
      <c r="F561" s="6" t="s">
        <v>1995</v>
      </c>
      <c r="G561" s="9"/>
      <c r="H561" s="9" t="s">
        <v>18</v>
      </c>
      <c r="I561" s="16" t="str">
        <f>VLOOKUP(F561,[1]完整分类结果!$E:$G,3,0)</f>
        <v>食品加工业</v>
      </c>
      <c r="J561" s="16">
        <f>VLOOKUP(I561,[2]行业排放因子!$A:$B,2,0)</f>
        <v>8.9338914683308701</v>
      </c>
      <c r="K561" s="9" t="s">
        <v>1489</v>
      </c>
    </row>
    <row r="562" spans="1:11" ht="12.5" customHeight="1" x14ac:dyDescent="0.25">
      <c r="A562" s="5" t="s">
        <v>1996</v>
      </c>
      <c r="B562" s="6" t="s">
        <v>1484</v>
      </c>
      <c r="C562" s="6" t="s">
        <v>1816</v>
      </c>
      <c r="D562" s="6" t="s">
        <v>1993</v>
      </c>
      <c r="E562" s="6" t="s">
        <v>1997</v>
      </c>
      <c r="F562" s="6" t="s">
        <v>1998</v>
      </c>
      <c r="G562" s="9"/>
      <c r="H562" s="9" t="s">
        <v>18</v>
      </c>
      <c r="I562" s="16" t="str">
        <f>VLOOKUP(F562,[1]完整分类结果!$E:$G,3,0)</f>
        <v>食品加工业</v>
      </c>
      <c r="J562" s="16">
        <f>VLOOKUP(I562,[2]行业排放因子!$A:$B,2,0)</f>
        <v>8.9338914683308701</v>
      </c>
      <c r="K562" s="9" t="s">
        <v>1489</v>
      </c>
    </row>
    <row r="563" spans="1:11" ht="12.5" customHeight="1" x14ac:dyDescent="0.25">
      <c r="A563" s="5" t="s">
        <v>1999</v>
      </c>
      <c r="B563" s="6" t="s">
        <v>1484</v>
      </c>
      <c r="C563" s="6" t="s">
        <v>1816</v>
      </c>
      <c r="D563" s="6" t="s">
        <v>1993</v>
      </c>
      <c r="E563" s="6" t="s">
        <v>2000</v>
      </c>
      <c r="F563" s="6" t="s">
        <v>2001</v>
      </c>
      <c r="G563" s="9" t="s">
        <v>2002</v>
      </c>
      <c r="H563" s="9" t="s">
        <v>18</v>
      </c>
      <c r="I563" s="16" t="str">
        <f>VLOOKUP(F563,[1]完整分类结果!$E:$G,3,0)</f>
        <v>食品加工业</v>
      </c>
      <c r="J563" s="16">
        <f>VLOOKUP(I563,[2]行业排放因子!$A:$B,2,0)</f>
        <v>8.9338914683308701</v>
      </c>
      <c r="K563" s="9" t="s">
        <v>1489</v>
      </c>
    </row>
    <row r="564" spans="1:11" ht="12.5" customHeight="1" x14ac:dyDescent="0.25">
      <c r="A564" s="5" t="s">
        <v>2003</v>
      </c>
      <c r="B564" s="6" t="s">
        <v>1484</v>
      </c>
      <c r="C564" s="6" t="s">
        <v>1816</v>
      </c>
      <c r="D564" s="6" t="s">
        <v>1993</v>
      </c>
      <c r="E564" s="6" t="s">
        <v>2004</v>
      </c>
      <c r="F564" s="6" t="s">
        <v>2005</v>
      </c>
      <c r="G564" s="9" t="s">
        <v>2006</v>
      </c>
      <c r="H564" s="9" t="s">
        <v>18</v>
      </c>
      <c r="I564" s="16" t="str">
        <f>VLOOKUP(F564,[1]完整分类结果!$E:$G,3,0)</f>
        <v>食品加工业</v>
      </c>
      <c r="J564" s="16">
        <f>VLOOKUP(I564,[2]行业排放因子!$A:$B,2,0)</f>
        <v>8.9338914683308701</v>
      </c>
      <c r="K564" s="9" t="s">
        <v>1489</v>
      </c>
    </row>
    <row r="565" spans="1:11" ht="12.5" customHeight="1" x14ac:dyDescent="0.25">
      <c r="A565" s="5" t="s">
        <v>2007</v>
      </c>
      <c r="B565" s="6" t="s">
        <v>1484</v>
      </c>
      <c r="C565" s="6" t="s">
        <v>1816</v>
      </c>
      <c r="D565" s="6" t="s">
        <v>1993</v>
      </c>
      <c r="E565" s="6" t="s">
        <v>2008</v>
      </c>
      <c r="F565" s="6" t="s">
        <v>2009</v>
      </c>
      <c r="G565" s="9" t="s">
        <v>2010</v>
      </c>
      <c r="H565" s="9" t="s">
        <v>18</v>
      </c>
      <c r="I565" s="16" t="str">
        <f>VLOOKUP(F565,[1]完整分类结果!$E:$G,3,0)</f>
        <v>食品加工业</v>
      </c>
      <c r="J565" s="16">
        <f>VLOOKUP(I565,[2]行业排放因子!$A:$B,2,0)</f>
        <v>8.9338914683308701</v>
      </c>
      <c r="K565" s="9" t="s">
        <v>1489</v>
      </c>
    </row>
    <row r="566" spans="1:11" ht="12.5" customHeight="1" x14ac:dyDescent="0.25">
      <c r="A566" s="5" t="s">
        <v>2011</v>
      </c>
      <c r="B566" s="6" t="s">
        <v>1484</v>
      </c>
      <c r="C566" s="6" t="s">
        <v>1816</v>
      </c>
      <c r="D566" s="6" t="s">
        <v>1993</v>
      </c>
      <c r="E566" s="6" t="s">
        <v>2012</v>
      </c>
      <c r="F566" s="6" t="s">
        <v>2013</v>
      </c>
      <c r="G566" s="9" t="s">
        <v>2014</v>
      </c>
      <c r="H566" s="9" t="s">
        <v>18</v>
      </c>
      <c r="I566" s="16" t="str">
        <f>VLOOKUP(F566,[1]完整分类结果!$E:$G,3,0)</f>
        <v>食品加工业</v>
      </c>
      <c r="J566" s="16">
        <f>VLOOKUP(I566,[2]行业排放因子!$A:$B,2,0)</f>
        <v>8.9338914683308701</v>
      </c>
      <c r="K566" s="9" t="s">
        <v>1489</v>
      </c>
    </row>
    <row r="567" spans="1:11" ht="12.5" customHeight="1" x14ac:dyDescent="0.25">
      <c r="A567" s="5" t="s">
        <v>2015</v>
      </c>
      <c r="B567" s="6" t="s">
        <v>1484</v>
      </c>
      <c r="C567" s="6" t="s">
        <v>1816</v>
      </c>
      <c r="D567" s="6" t="s">
        <v>1993</v>
      </c>
      <c r="E567" s="6" t="s">
        <v>2016</v>
      </c>
      <c r="F567" s="6" t="s">
        <v>2017</v>
      </c>
      <c r="G567" s="9" t="s">
        <v>2018</v>
      </c>
      <c r="H567" s="9" t="s">
        <v>18</v>
      </c>
      <c r="I567" s="16" t="str">
        <f>VLOOKUP(F567,[1]完整分类结果!$E:$G,3,0)</f>
        <v>食品加工业</v>
      </c>
      <c r="J567" s="16">
        <f>VLOOKUP(I567,[2]行业排放因子!$A:$B,2,0)</f>
        <v>8.9338914683308701</v>
      </c>
      <c r="K567" s="9" t="s">
        <v>1489</v>
      </c>
    </row>
    <row r="568" spans="1:11" ht="12.5" customHeight="1" x14ac:dyDescent="0.25">
      <c r="A568" s="5" t="s">
        <v>2019</v>
      </c>
      <c r="B568" s="6" t="s">
        <v>1484</v>
      </c>
      <c r="C568" s="6" t="s">
        <v>1816</v>
      </c>
      <c r="D568" s="6" t="s">
        <v>2020</v>
      </c>
      <c r="E568" s="6" t="s">
        <v>2021</v>
      </c>
      <c r="F568" s="6" t="s">
        <v>2022</v>
      </c>
      <c r="G568" s="9"/>
      <c r="H568" s="9" t="s">
        <v>18</v>
      </c>
      <c r="I568" s="16" t="str">
        <f>VLOOKUP(F568,[1]完整分类结果!$E:$G,3,0)</f>
        <v>食品加工业</v>
      </c>
      <c r="J568" s="16">
        <f>VLOOKUP(I568,[2]行业排放因子!$A:$B,2,0)</f>
        <v>8.9338914683308701</v>
      </c>
      <c r="K568" s="9" t="s">
        <v>1489</v>
      </c>
    </row>
    <row r="569" spans="1:11" ht="12.5" customHeight="1" x14ac:dyDescent="0.25">
      <c r="A569" s="5" t="s">
        <v>2023</v>
      </c>
      <c r="B569" s="6" t="s">
        <v>1484</v>
      </c>
      <c r="C569" s="6" t="s">
        <v>1816</v>
      </c>
      <c r="D569" s="6" t="s">
        <v>2020</v>
      </c>
      <c r="E569" s="6" t="s">
        <v>2024</v>
      </c>
      <c r="F569" s="6" t="s">
        <v>2025</v>
      </c>
      <c r="G569" s="9"/>
      <c r="H569" s="9" t="s">
        <v>18</v>
      </c>
      <c r="I569" s="16" t="str">
        <f>VLOOKUP(F569,[1]完整分类结果!$E:$G,3,0)</f>
        <v>食品加工业</v>
      </c>
      <c r="J569" s="16">
        <f>VLOOKUP(I569,[2]行业排放因子!$A:$B,2,0)</f>
        <v>8.9338914683308701</v>
      </c>
      <c r="K569" s="9" t="s">
        <v>1489</v>
      </c>
    </row>
    <row r="570" spans="1:11" ht="12.5" customHeight="1" x14ac:dyDescent="0.25">
      <c r="A570" s="5" t="s">
        <v>2026</v>
      </c>
      <c r="B570" s="6" t="s">
        <v>1484</v>
      </c>
      <c r="C570" s="6" t="s">
        <v>1816</v>
      </c>
      <c r="D570" s="6" t="s">
        <v>2027</v>
      </c>
      <c r="E570" s="6" t="s">
        <v>2028</v>
      </c>
      <c r="F570" s="6" t="s">
        <v>2029</v>
      </c>
      <c r="G570" s="9"/>
      <c r="H570" s="9" t="s">
        <v>18</v>
      </c>
      <c r="I570" s="16" t="str">
        <f>VLOOKUP(F570,[1]完整分类结果!$E:$G,3,0)</f>
        <v>食品加工业</v>
      </c>
      <c r="J570" s="16">
        <f>VLOOKUP(I570,[2]行业排放因子!$A:$B,2,0)</f>
        <v>8.9338914683308701</v>
      </c>
      <c r="K570" s="9" t="s">
        <v>1489</v>
      </c>
    </row>
    <row r="571" spans="1:11" ht="12.5" customHeight="1" x14ac:dyDescent="0.25">
      <c r="A571" s="5" t="s">
        <v>2030</v>
      </c>
      <c r="B571" s="6" t="s">
        <v>1484</v>
      </c>
      <c r="C571" s="6" t="s">
        <v>1816</v>
      </c>
      <c r="D571" s="6" t="s">
        <v>2027</v>
      </c>
      <c r="E571" s="6" t="s">
        <v>2031</v>
      </c>
      <c r="F571" s="6" t="s">
        <v>2032</v>
      </c>
      <c r="G571" s="9"/>
      <c r="H571" s="9" t="s">
        <v>18</v>
      </c>
      <c r="I571" s="16" t="str">
        <f>VLOOKUP(F571,[1]完整分类结果!$E:$G,3,0)</f>
        <v>食品加工业</v>
      </c>
      <c r="J571" s="16">
        <f>VLOOKUP(I571,[2]行业排放因子!$A:$B,2,0)</f>
        <v>8.9338914683308701</v>
      </c>
      <c r="K571" s="9" t="s">
        <v>1489</v>
      </c>
    </row>
    <row r="572" spans="1:11" ht="12.5" customHeight="1" x14ac:dyDescent="0.25">
      <c r="A572" s="5" t="s">
        <v>2033</v>
      </c>
      <c r="B572" s="6" t="s">
        <v>1484</v>
      </c>
      <c r="C572" s="6" t="s">
        <v>1816</v>
      </c>
      <c r="D572" s="6" t="s">
        <v>2034</v>
      </c>
      <c r="E572" s="6" t="s">
        <v>2035</v>
      </c>
      <c r="F572" s="6" t="s">
        <v>2036</v>
      </c>
      <c r="G572" s="9"/>
      <c r="H572" s="9" t="s">
        <v>18</v>
      </c>
      <c r="I572" s="16" t="str">
        <f>VLOOKUP(F572,[1]完整分类结果!$E:$G,3,0)</f>
        <v>食品加工业</v>
      </c>
      <c r="J572" s="16">
        <f>VLOOKUP(I572,[2]行业排放因子!$A:$B,2,0)</f>
        <v>8.9338914683308701</v>
      </c>
      <c r="K572" s="9" t="s">
        <v>1489</v>
      </c>
    </row>
    <row r="573" spans="1:11" ht="12.5" customHeight="1" x14ac:dyDescent="0.25">
      <c r="A573" s="5" t="s">
        <v>2037</v>
      </c>
      <c r="B573" s="6" t="s">
        <v>1484</v>
      </c>
      <c r="C573" s="6" t="s">
        <v>1816</v>
      </c>
      <c r="D573" s="6" t="s">
        <v>2034</v>
      </c>
      <c r="E573" s="6" t="s">
        <v>2038</v>
      </c>
      <c r="F573" s="6" t="s">
        <v>2039</v>
      </c>
      <c r="G573" s="9"/>
      <c r="H573" s="9" t="s">
        <v>18</v>
      </c>
      <c r="I573" s="16" t="str">
        <f>VLOOKUP(F573,[1]完整分类结果!$E:$G,3,0)</f>
        <v>食品加工业</v>
      </c>
      <c r="J573" s="16">
        <f>VLOOKUP(I573,[2]行业排放因子!$A:$B,2,0)</f>
        <v>8.9338914683308701</v>
      </c>
      <c r="K573" s="9" t="s">
        <v>1489</v>
      </c>
    </row>
    <row r="574" spans="1:11" ht="12.5" customHeight="1" x14ac:dyDescent="0.25">
      <c r="A574" s="5" t="s">
        <v>2040</v>
      </c>
      <c r="B574" s="6" t="s">
        <v>1484</v>
      </c>
      <c r="C574" s="6" t="s">
        <v>1816</v>
      </c>
      <c r="D574" s="6" t="s">
        <v>2034</v>
      </c>
      <c r="E574" s="6" t="s">
        <v>2041</v>
      </c>
      <c r="F574" s="6" t="s">
        <v>2042</v>
      </c>
      <c r="G574" s="9"/>
      <c r="H574" s="9" t="s">
        <v>18</v>
      </c>
      <c r="I574" s="16" t="str">
        <f>VLOOKUP(F574,[1]完整分类结果!$E:$G,3,0)</f>
        <v>食品加工业</v>
      </c>
      <c r="J574" s="16">
        <f>VLOOKUP(I574,[2]行业排放因子!$A:$B,2,0)</f>
        <v>8.9338914683308701</v>
      </c>
      <c r="K574" s="9" t="s">
        <v>1489</v>
      </c>
    </row>
    <row r="575" spans="1:11" ht="12.5" customHeight="1" x14ac:dyDescent="0.25">
      <c r="A575" s="5" t="s">
        <v>2043</v>
      </c>
      <c r="B575" s="6" t="s">
        <v>1484</v>
      </c>
      <c r="C575" s="6" t="s">
        <v>1816</v>
      </c>
      <c r="D575" s="6" t="s">
        <v>2034</v>
      </c>
      <c r="E575" s="6" t="s">
        <v>2044</v>
      </c>
      <c r="F575" s="6" t="s">
        <v>2045</v>
      </c>
      <c r="G575" s="9"/>
      <c r="H575" s="9" t="s">
        <v>18</v>
      </c>
      <c r="I575" s="16" t="str">
        <f>VLOOKUP(F575,[1]完整分类结果!$E:$G,3,0)</f>
        <v>食品加工业</v>
      </c>
      <c r="J575" s="16">
        <f>VLOOKUP(I575,[2]行业排放因子!$A:$B,2,0)</f>
        <v>8.9338914683308701</v>
      </c>
      <c r="K575" s="9" t="s">
        <v>1489</v>
      </c>
    </row>
    <row r="576" spans="1:11" ht="12.5" customHeight="1" x14ac:dyDescent="0.25">
      <c r="A576" s="5" t="s">
        <v>2046</v>
      </c>
      <c r="B576" s="6" t="s">
        <v>1484</v>
      </c>
      <c r="C576" s="6" t="s">
        <v>1816</v>
      </c>
      <c r="D576" s="6" t="s">
        <v>2034</v>
      </c>
      <c r="E576" s="6" t="s">
        <v>2047</v>
      </c>
      <c r="F576" s="6" t="s">
        <v>2048</v>
      </c>
      <c r="G576" s="9"/>
      <c r="H576" s="9" t="s">
        <v>18</v>
      </c>
      <c r="I576" s="16" t="str">
        <f>VLOOKUP(F576,[1]完整分类结果!$E:$G,3,0)</f>
        <v>食品加工业</v>
      </c>
      <c r="J576" s="16">
        <f>VLOOKUP(I576,[2]行业排放因子!$A:$B,2,0)</f>
        <v>8.9338914683308701</v>
      </c>
      <c r="K576" s="9" t="s">
        <v>1489</v>
      </c>
    </row>
    <row r="577" spans="1:11" ht="12.5" customHeight="1" x14ac:dyDescent="0.25">
      <c r="A577" s="5" t="s">
        <v>2049</v>
      </c>
      <c r="B577" s="6" t="s">
        <v>1484</v>
      </c>
      <c r="C577" s="6" t="s">
        <v>1816</v>
      </c>
      <c r="D577" s="6" t="s">
        <v>2050</v>
      </c>
      <c r="E577" s="6" t="s">
        <v>2051</v>
      </c>
      <c r="F577" s="6" t="s">
        <v>2050</v>
      </c>
      <c r="G577" s="9"/>
      <c r="H577" s="9" t="s">
        <v>18</v>
      </c>
      <c r="I577" s="16" t="str">
        <f>VLOOKUP(F577,[1]完整分类结果!$E:$G,3,0)</f>
        <v>食品加工业</v>
      </c>
      <c r="J577" s="16">
        <f>VLOOKUP(I577,[2]行业排放因子!$A:$B,2,0)</f>
        <v>8.9338914683308701</v>
      </c>
      <c r="K577" s="9" t="s">
        <v>1489</v>
      </c>
    </row>
    <row r="578" spans="1:11" ht="12.5" customHeight="1" x14ac:dyDescent="0.25">
      <c r="A578" s="5" t="s">
        <v>2052</v>
      </c>
      <c r="B578" s="6" t="s">
        <v>1484</v>
      </c>
      <c r="C578" s="6" t="s">
        <v>2053</v>
      </c>
      <c r="D578" s="6" t="s">
        <v>2054</v>
      </c>
      <c r="E578" s="6" t="s">
        <v>2055</v>
      </c>
      <c r="F578" s="6" t="s">
        <v>2056</v>
      </c>
      <c r="G578" s="9"/>
      <c r="H578" s="9" t="s">
        <v>18</v>
      </c>
      <c r="I578" s="16" t="str">
        <f>VLOOKUP(F578,[1]完整分类结果!$E:$G,3,0)</f>
        <v>饮料制造业</v>
      </c>
      <c r="J578" s="16">
        <f>VLOOKUP(I578,[2]行业排放因子!$A:$B,2,0)</f>
        <v>8.2163187960783404</v>
      </c>
      <c r="K578" s="9" t="s">
        <v>1489</v>
      </c>
    </row>
    <row r="579" spans="1:11" ht="12.5" customHeight="1" x14ac:dyDescent="0.25">
      <c r="A579" s="5" t="s">
        <v>2057</v>
      </c>
      <c r="B579" s="6" t="s">
        <v>1484</v>
      </c>
      <c r="C579" s="6" t="s">
        <v>2053</v>
      </c>
      <c r="D579" s="6" t="s">
        <v>2054</v>
      </c>
      <c r="E579" s="6" t="s">
        <v>2058</v>
      </c>
      <c r="F579" s="6" t="s">
        <v>2059</v>
      </c>
      <c r="G579" s="9"/>
      <c r="H579" s="9" t="s">
        <v>18</v>
      </c>
      <c r="I579" s="16" t="str">
        <f>VLOOKUP(F579,[1]完整分类结果!$E:$G,3,0)</f>
        <v>饮料制造业</v>
      </c>
      <c r="J579" s="16">
        <f>VLOOKUP(I579,[2]行业排放因子!$A:$B,2,0)</f>
        <v>8.2163187960783404</v>
      </c>
      <c r="K579" s="9" t="s">
        <v>1489</v>
      </c>
    </row>
    <row r="580" spans="1:11" ht="12.5" customHeight="1" x14ac:dyDescent="0.25">
      <c r="A580" s="5" t="s">
        <v>2060</v>
      </c>
      <c r="B580" s="6" t="s">
        <v>1484</v>
      </c>
      <c r="C580" s="6" t="s">
        <v>2053</v>
      </c>
      <c r="D580" s="6" t="s">
        <v>2061</v>
      </c>
      <c r="E580" s="6" t="s">
        <v>2062</v>
      </c>
      <c r="F580" s="6" t="s">
        <v>2063</v>
      </c>
      <c r="G580" s="9"/>
      <c r="H580" s="9" t="s">
        <v>18</v>
      </c>
      <c r="I580" s="16" t="str">
        <f>VLOOKUP(F580,[1]完整分类结果!$E:$G,3,0)</f>
        <v>饮料制造业</v>
      </c>
      <c r="J580" s="16">
        <f>VLOOKUP(I580,[2]行业排放因子!$A:$B,2,0)</f>
        <v>8.2163187960783404</v>
      </c>
      <c r="K580" s="9" t="s">
        <v>1489</v>
      </c>
    </row>
    <row r="581" spans="1:11" ht="12.5" customHeight="1" x14ac:dyDescent="0.25">
      <c r="A581" s="5" t="s">
        <v>2064</v>
      </c>
      <c r="B581" s="6" t="s">
        <v>1484</v>
      </c>
      <c r="C581" s="6" t="s">
        <v>2053</v>
      </c>
      <c r="D581" s="6" t="s">
        <v>2061</v>
      </c>
      <c r="E581" s="6" t="s">
        <v>2065</v>
      </c>
      <c r="F581" s="6" t="s">
        <v>2066</v>
      </c>
      <c r="G581" s="9"/>
      <c r="H581" s="9" t="s">
        <v>18</v>
      </c>
      <c r="I581" s="16" t="str">
        <f>VLOOKUP(F581,[1]完整分类结果!$E:$G,3,0)</f>
        <v>饮料制造业</v>
      </c>
      <c r="J581" s="16">
        <f>VLOOKUP(I581,[2]行业排放因子!$A:$B,2,0)</f>
        <v>8.2163187960783404</v>
      </c>
      <c r="K581" s="9" t="s">
        <v>1489</v>
      </c>
    </row>
    <row r="582" spans="1:11" ht="12.5" customHeight="1" x14ac:dyDescent="0.25">
      <c r="A582" s="5" t="s">
        <v>2067</v>
      </c>
      <c r="B582" s="6" t="s">
        <v>1484</v>
      </c>
      <c r="C582" s="6" t="s">
        <v>2053</v>
      </c>
      <c r="D582" s="6" t="s">
        <v>2061</v>
      </c>
      <c r="E582" s="6" t="s">
        <v>2068</v>
      </c>
      <c r="F582" s="6" t="s">
        <v>2069</v>
      </c>
      <c r="G582" s="9"/>
      <c r="H582" s="9" t="s">
        <v>18</v>
      </c>
      <c r="I582" s="16" t="str">
        <f>VLOOKUP(F582,[1]完整分类结果!$E:$G,3,0)</f>
        <v>饮料制造业</v>
      </c>
      <c r="J582" s="16">
        <f>VLOOKUP(I582,[2]行业排放因子!$A:$B,2,0)</f>
        <v>8.2163187960783404</v>
      </c>
      <c r="K582" s="9" t="s">
        <v>1489</v>
      </c>
    </row>
    <row r="583" spans="1:11" ht="12.5" customHeight="1" x14ac:dyDescent="0.25">
      <c r="A583" s="5" t="s">
        <v>2070</v>
      </c>
      <c r="B583" s="6" t="s">
        <v>1484</v>
      </c>
      <c r="C583" s="6" t="s">
        <v>2053</v>
      </c>
      <c r="D583" s="6" t="s">
        <v>2061</v>
      </c>
      <c r="E583" s="6" t="s">
        <v>2071</v>
      </c>
      <c r="F583" s="6" t="s">
        <v>2072</v>
      </c>
      <c r="G583" s="9"/>
      <c r="H583" s="9" t="s">
        <v>18</v>
      </c>
      <c r="I583" s="16" t="str">
        <f>VLOOKUP(F583,[1]完整分类结果!$E:$G,3,0)</f>
        <v>饮料制造业</v>
      </c>
      <c r="J583" s="16">
        <f>VLOOKUP(I583,[2]行业排放因子!$A:$B,2,0)</f>
        <v>8.2163187960783404</v>
      </c>
      <c r="K583" s="9" t="s">
        <v>1489</v>
      </c>
    </row>
    <row r="584" spans="1:11" ht="12.5" customHeight="1" x14ac:dyDescent="0.25">
      <c r="A584" s="5" t="s">
        <v>2073</v>
      </c>
      <c r="B584" s="6" t="s">
        <v>1484</v>
      </c>
      <c r="C584" s="6" t="s">
        <v>2053</v>
      </c>
      <c r="D584" s="6" t="s">
        <v>2061</v>
      </c>
      <c r="E584" s="6" t="s">
        <v>2074</v>
      </c>
      <c r="F584" s="6" t="s">
        <v>2075</v>
      </c>
      <c r="G584" s="9" t="s">
        <v>2076</v>
      </c>
      <c r="H584" s="9" t="s">
        <v>18</v>
      </c>
      <c r="I584" s="16" t="str">
        <f>VLOOKUP(F584,[1]完整分类结果!$E:$G,3,0)</f>
        <v>饮料制造业</v>
      </c>
      <c r="J584" s="16">
        <f>VLOOKUP(I584,[2]行业排放因子!$A:$B,2,0)</f>
        <v>8.2163187960783404</v>
      </c>
      <c r="K584" s="9" t="s">
        <v>1489</v>
      </c>
    </row>
    <row r="585" spans="1:11" ht="12.5" customHeight="1" x14ac:dyDescent="0.25">
      <c r="A585" s="5" t="s">
        <v>2077</v>
      </c>
      <c r="B585" s="6" t="s">
        <v>1484</v>
      </c>
      <c r="C585" s="6" t="s">
        <v>2053</v>
      </c>
      <c r="D585" s="6" t="s">
        <v>2061</v>
      </c>
      <c r="E585" s="6" t="s">
        <v>2078</v>
      </c>
      <c r="F585" s="6" t="s">
        <v>2079</v>
      </c>
      <c r="G585" s="9" t="s">
        <v>2080</v>
      </c>
      <c r="H585" s="9" t="s">
        <v>18</v>
      </c>
      <c r="I585" s="16" t="str">
        <f>VLOOKUP(F585,[1]完整分类结果!$E:$G,3,0)</f>
        <v>饮料制造业</v>
      </c>
      <c r="J585" s="16">
        <f>VLOOKUP(I585,[2]行业排放因子!$A:$B,2,0)</f>
        <v>8.2163187960783404</v>
      </c>
      <c r="K585" s="9" t="s">
        <v>1489</v>
      </c>
    </row>
    <row r="586" spans="1:11" ht="12.5" customHeight="1" x14ac:dyDescent="0.25">
      <c r="A586" s="5" t="s">
        <v>2081</v>
      </c>
      <c r="B586" s="6" t="s">
        <v>1484</v>
      </c>
      <c r="C586" s="6" t="s">
        <v>2053</v>
      </c>
      <c r="D586" s="6" t="s">
        <v>2082</v>
      </c>
      <c r="E586" s="6" t="s">
        <v>2083</v>
      </c>
      <c r="F586" s="6" t="s">
        <v>2084</v>
      </c>
      <c r="G586" s="9" t="s">
        <v>2085</v>
      </c>
      <c r="H586" s="9" t="s">
        <v>18</v>
      </c>
      <c r="I586" s="16" t="str">
        <f>VLOOKUP(F586,[1]完整分类结果!$E:$G,3,0)</f>
        <v>饮料制造业</v>
      </c>
      <c r="J586" s="16">
        <f>VLOOKUP(I586,[2]行业排放因子!$A:$B,2,0)</f>
        <v>8.2163187960783404</v>
      </c>
      <c r="K586" s="9" t="s">
        <v>1489</v>
      </c>
    </row>
    <row r="587" spans="1:11" ht="12.5" customHeight="1" x14ac:dyDescent="0.25">
      <c r="A587" s="5" t="s">
        <v>2086</v>
      </c>
      <c r="B587" s="6" t="s">
        <v>1484</v>
      </c>
      <c r="C587" s="6" t="s">
        <v>2053</v>
      </c>
      <c r="D587" s="6" t="s">
        <v>2082</v>
      </c>
      <c r="E587" s="6" t="s">
        <v>2087</v>
      </c>
      <c r="F587" s="6" t="s">
        <v>2088</v>
      </c>
      <c r="G587" s="9" t="s">
        <v>2089</v>
      </c>
      <c r="H587" s="9" t="s">
        <v>18</v>
      </c>
      <c r="I587" s="16" t="str">
        <f>VLOOKUP(F587,[1]完整分类结果!$E:$G,3,0)</f>
        <v>饮料制造业</v>
      </c>
      <c r="J587" s="16">
        <f>VLOOKUP(I587,[2]行业排放因子!$A:$B,2,0)</f>
        <v>8.2163187960783404</v>
      </c>
      <c r="K587" s="9" t="s">
        <v>1489</v>
      </c>
    </row>
    <row r="588" spans="1:11" ht="12.5" customHeight="1" x14ac:dyDescent="0.25">
      <c r="A588" s="5" t="s">
        <v>2090</v>
      </c>
      <c r="B588" s="6" t="s">
        <v>1484</v>
      </c>
      <c r="C588" s="6" t="s">
        <v>2053</v>
      </c>
      <c r="D588" s="6" t="s">
        <v>2082</v>
      </c>
      <c r="E588" s="6" t="s">
        <v>2091</v>
      </c>
      <c r="F588" s="6" t="s">
        <v>2092</v>
      </c>
      <c r="G588" s="9" t="s">
        <v>2093</v>
      </c>
      <c r="H588" s="9" t="s">
        <v>18</v>
      </c>
      <c r="I588" s="16" t="str">
        <f>VLOOKUP(F588,[1]完整分类结果!$E:$G,3,0)</f>
        <v>饮料制造业</v>
      </c>
      <c r="J588" s="16">
        <f>VLOOKUP(I588,[2]行业排放因子!$A:$B,2,0)</f>
        <v>8.2163187960783404</v>
      </c>
      <c r="K588" s="9" t="s">
        <v>1489</v>
      </c>
    </row>
    <row r="589" spans="1:11" ht="12.5" customHeight="1" x14ac:dyDescent="0.25">
      <c r="A589" s="5" t="s">
        <v>2094</v>
      </c>
      <c r="B589" s="6" t="s">
        <v>1484</v>
      </c>
      <c r="C589" s="6" t="s">
        <v>2053</v>
      </c>
      <c r="D589" s="6" t="s">
        <v>2082</v>
      </c>
      <c r="E589" s="6" t="s">
        <v>2095</v>
      </c>
      <c r="F589" s="6" t="s">
        <v>2096</v>
      </c>
      <c r="G589" s="9" t="s">
        <v>2097</v>
      </c>
      <c r="H589" s="9" t="s">
        <v>18</v>
      </c>
      <c r="I589" s="16" t="str">
        <f>VLOOKUP(F589,[1]完整分类结果!$E:$G,3,0)</f>
        <v>饮料制造业</v>
      </c>
      <c r="J589" s="16">
        <f>VLOOKUP(I589,[2]行业排放因子!$A:$B,2,0)</f>
        <v>8.2163187960783404</v>
      </c>
      <c r="K589" s="9" t="s">
        <v>1489</v>
      </c>
    </row>
    <row r="590" spans="1:11" ht="12.5" customHeight="1" x14ac:dyDescent="0.25">
      <c r="A590" s="5" t="s">
        <v>2098</v>
      </c>
      <c r="B590" s="6" t="s">
        <v>1484</v>
      </c>
      <c r="C590" s="6" t="s">
        <v>2053</v>
      </c>
      <c r="D590" s="6" t="s">
        <v>2082</v>
      </c>
      <c r="E590" s="6" t="s">
        <v>2099</v>
      </c>
      <c r="F590" s="6" t="s">
        <v>2100</v>
      </c>
      <c r="G590" s="9" t="s">
        <v>2101</v>
      </c>
      <c r="H590" s="9" t="s">
        <v>18</v>
      </c>
      <c r="I590" s="16" t="str">
        <f>VLOOKUP(F590,[1]完整分类结果!$E:$G,3,0)</f>
        <v>饮料制造业</v>
      </c>
      <c r="J590" s="16">
        <f>VLOOKUP(I590,[2]行业排放因子!$A:$B,2,0)</f>
        <v>8.2163187960783404</v>
      </c>
      <c r="K590" s="9" t="s">
        <v>1489</v>
      </c>
    </row>
    <row r="591" spans="1:11" ht="12.5" customHeight="1" x14ac:dyDescent="0.25">
      <c r="A591" s="5" t="s">
        <v>2102</v>
      </c>
      <c r="B591" s="6" t="s">
        <v>1484</v>
      </c>
      <c r="C591" s="6" t="s">
        <v>2053</v>
      </c>
      <c r="D591" s="6" t="s">
        <v>2082</v>
      </c>
      <c r="E591" s="6" t="s">
        <v>2103</v>
      </c>
      <c r="F591" s="6" t="s">
        <v>2104</v>
      </c>
      <c r="G591" s="9" t="s">
        <v>2105</v>
      </c>
      <c r="H591" s="9" t="s">
        <v>18</v>
      </c>
      <c r="I591" s="16" t="str">
        <f>VLOOKUP(F591,[1]完整分类结果!$E:$G,3,0)</f>
        <v>饮料制造业</v>
      </c>
      <c r="J591" s="16">
        <f>VLOOKUP(I591,[2]行业排放因子!$A:$B,2,0)</f>
        <v>8.2163187960783404</v>
      </c>
      <c r="K591" s="9" t="s">
        <v>1489</v>
      </c>
    </row>
    <row r="592" spans="1:11" ht="12.5" customHeight="1" x14ac:dyDescent="0.25">
      <c r="A592" s="5" t="s">
        <v>2106</v>
      </c>
      <c r="B592" s="6" t="s">
        <v>1484</v>
      </c>
      <c r="C592" s="6" t="s">
        <v>2053</v>
      </c>
      <c r="D592" s="6" t="s">
        <v>2082</v>
      </c>
      <c r="E592" s="6" t="s">
        <v>2107</v>
      </c>
      <c r="F592" s="6" t="s">
        <v>2108</v>
      </c>
      <c r="G592" s="9" t="s">
        <v>2109</v>
      </c>
      <c r="H592" s="9" t="s">
        <v>18</v>
      </c>
      <c r="I592" s="16" t="str">
        <f>VLOOKUP(F592,[1]完整分类结果!$E:$G,3,0)</f>
        <v>饮料制造业</v>
      </c>
      <c r="J592" s="16">
        <f>VLOOKUP(I592,[2]行业排放因子!$A:$B,2,0)</f>
        <v>8.2163187960783404</v>
      </c>
      <c r="K592" s="9" t="s">
        <v>1489</v>
      </c>
    </row>
    <row r="593" spans="1:11" ht="12.5" customHeight="1" x14ac:dyDescent="0.25">
      <c r="A593" s="5" t="s">
        <v>2110</v>
      </c>
      <c r="B593" s="6" t="s">
        <v>1484</v>
      </c>
      <c r="C593" s="6" t="s">
        <v>2053</v>
      </c>
      <c r="D593" s="6" t="s">
        <v>2082</v>
      </c>
      <c r="E593" s="6" t="s">
        <v>2111</v>
      </c>
      <c r="F593" s="6" t="s">
        <v>2112</v>
      </c>
      <c r="G593" s="9"/>
      <c r="H593" s="9" t="s">
        <v>18</v>
      </c>
      <c r="I593" s="16" t="str">
        <f>VLOOKUP(F593,[1]完整分类结果!$E:$G,3,0)</f>
        <v>饮料制造业</v>
      </c>
      <c r="J593" s="16">
        <f>VLOOKUP(I593,[2]行业排放因子!$A:$B,2,0)</f>
        <v>8.2163187960783404</v>
      </c>
      <c r="K593" s="9" t="s">
        <v>1489</v>
      </c>
    </row>
    <row r="594" spans="1:11" ht="12.5" customHeight="1" x14ac:dyDescent="0.25">
      <c r="A594" s="5" t="s">
        <v>2113</v>
      </c>
      <c r="B594" s="6" t="s">
        <v>1484</v>
      </c>
      <c r="C594" s="6" t="s">
        <v>2053</v>
      </c>
      <c r="D594" s="6" t="s">
        <v>2114</v>
      </c>
      <c r="E594" s="6" t="s">
        <v>2115</v>
      </c>
      <c r="F594" s="6" t="s">
        <v>2116</v>
      </c>
      <c r="G594" s="9" t="s">
        <v>2117</v>
      </c>
      <c r="H594" s="9" t="s">
        <v>18</v>
      </c>
      <c r="I594" s="16" t="str">
        <f>VLOOKUP(F594,[1]完整分类结果!$E:$G,3,0)</f>
        <v>食品加工业</v>
      </c>
      <c r="J594" s="16">
        <f>VLOOKUP(I594,[2]行业排放因子!$A:$B,2,0)</f>
        <v>8.9338914683308701</v>
      </c>
      <c r="K594" s="9" t="s">
        <v>1489</v>
      </c>
    </row>
    <row r="595" spans="1:11" ht="12.5" customHeight="1" x14ac:dyDescent="0.25">
      <c r="A595" s="5" t="s">
        <v>2118</v>
      </c>
      <c r="B595" s="6" t="s">
        <v>1484</v>
      </c>
      <c r="C595" s="6" t="s">
        <v>2053</v>
      </c>
      <c r="D595" s="6" t="s">
        <v>2114</v>
      </c>
      <c r="E595" s="6" t="s">
        <v>2119</v>
      </c>
      <c r="F595" s="6" t="s">
        <v>2120</v>
      </c>
      <c r="G595" s="9"/>
      <c r="H595" s="9" t="s">
        <v>18</v>
      </c>
      <c r="I595" s="16" t="str">
        <f>VLOOKUP(F595,[1]完整分类结果!$E:$G,3,0)</f>
        <v>食品加工业</v>
      </c>
      <c r="J595" s="16">
        <f>VLOOKUP(I595,[2]行业排放因子!$A:$B,2,0)</f>
        <v>8.9338914683308701</v>
      </c>
      <c r="K595" s="9" t="s">
        <v>1489</v>
      </c>
    </row>
    <row r="596" spans="1:11" ht="12.5" customHeight="1" x14ac:dyDescent="0.25">
      <c r="A596" s="5" t="s">
        <v>2121</v>
      </c>
      <c r="B596" s="6" t="s">
        <v>1484</v>
      </c>
      <c r="C596" s="6" t="s">
        <v>2053</v>
      </c>
      <c r="D596" s="6" t="s">
        <v>2114</v>
      </c>
      <c r="E596" s="6" t="s">
        <v>2122</v>
      </c>
      <c r="F596" s="6" t="s">
        <v>2123</v>
      </c>
      <c r="G596" s="9" t="s">
        <v>2124</v>
      </c>
      <c r="H596" s="9" t="s">
        <v>18</v>
      </c>
      <c r="I596" s="16" t="str">
        <f>VLOOKUP(F596,[1]完整分类结果!$E:$G,3,0)</f>
        <v>食品加工业</v>
      </c>
      <c r="J596" s="16">
        <f>VLOOKUP(I596,[2]行业排放因子!$A:$B,2,0)</f>
        <v>8.9338914683308701</v>
      </c>
      <c r="K596" s="9" t="s">
        <v>1489</v>
      </c>
    </row>
    <row r="597" spans="1:11" ht="12.5" customHeight="1" x14ac:dyDescent="0.25">
      <c r="A597" s="5" t="s">
        <v>2125</v>
      </c>
      <c r="B597" s="6" t="s">
        <v>1484</v>
      </c>
      <c r="C597" s="6" t="s">
        <v>2053</v>
      </c>
      <c r="D597" s="6" t="s">
        <v>2126</v>
      </c>
      <c r="E597" s="6" t="s">
        <v>2127</v>
      </c>
      <c r="F597" s="6" t="s">
        <v>2128</v>
      </c>
      <c r="G597" s="9"/>
      <c r="H597" s="9" t="s">
        <v>18</v>
      </c>
      <c r="I597" s="16" t="str">
        <f>VLOOKUP(F597,[1]完整分类结果!$E:$G,3,0)</f>
        <v>饮料制造业</v>
      </c>
      <c r="J597" s="16">
        <f>VLOOKUP(I597,[2]行业排放因子!$A:$B,2,0)</f>
        <v>8.2163187960783404</v>
      </c>
      <c r="K597" s="9" t="s">
        <v>1489</v>
      </c>
    </row>
    <row r="598" spans="1:11" ht="12.5" customHeight="1" x14ac:dyDescent="0.25">
      <c r="A598" s="5" t="s">
        <v>2129</v>
      </c>
      <c r="B598" s="6" t="s">
        <v>1484</v>
      </c>
      <c r="C598" s="6" t="s">
        <v>2053</v>
      </c>
      <c r="D598" s="6" t="s">
        <v>2126</v>
      </c>
      <c r="E598" s="6" t="s">
        <v>2130</v>
      </c>
      <c r="F598" s="6" t="s">
        <v>2131</v>
      </c>
      <c r="G598" s="9"/>
      <c r="H598" s="9" t="s">
        <v>18</v>
      </c>
      <c r="I598" s="16" t="str">
        <f>VLOOKUP(F598,[1]完整分类结果!$E:$G,3,0)</f>
        <v>饮料制造业</v>
      </c>
      <c r="J598" s="16">
        <f>VLOOKUP(I598,[2]行业排放因子!$A:$B,2,0)</f>
        <v>8.2163187960783404</v>
      </c>
      <c r="K598" s="9" t="s">
        <v>1489</v>
      </c>
    </row>
    <row r="599" spans="1:11" ht="12.5" customHeight="1" x14ac:dyDescent="0.25">
      <c r="A599" s="5" t="s">
        <v>2132</v>
      </c>
      <c r="B599" s="6" t="s">
        <v>1484</v>
      </c>
      <c r="C599" s="6" t="s">
        <v>2133</v>
      </c>
      <c r="D599" s="6" t="s">
        <v>2133</v>
      </c>
      <c r="E599" s="6" t="s">
        <v>2134</v>
      </c>
      <c r="F599" s="6" t="s">
        <v>2135</v>
      </c>
      <c r="G599" s="9" t="s">
        <v>2136</v>
      </c>
      <c r="H599" s="9" t="s">
        <v>18</v>
      </c>
      <c r="I599" s="16" t="str">
        <f>VLOOKUP(F599,[1]完整分类结果!$E:$G,3,0)</f>
        <v>烟草加工业</v>
      </c>
      <c r="J599" s="16">
        <f>VLOOKUP(I599,[2]行业排放因子!$A:$B,2,0)</f>
        <v>0.377769264521707</v>
      </c>
      <c r="K599" s="9" t="s">
        <v>1489</v>
      </c>
    </row>
    <row r="600" spans="1:11" ht="12.5" customHeight="1" x14ac:dyDescent="0.25">
      <c r="A600" s="5" t="s">
        <v>2137</v>
      </c>
      <c r="B600" s="6" t="s">
        <v>1484</v>
      </c>
      <c r="C600" s="6" t="s">
        <v>2133</v>
      </c>
      <c r="D600" s="6" t="s">
        <v>2133</v>
      </c>
      <c r="E600" s="6" t="s">
        <v>2138</v>
      </c>
      <c r="F600" s="6" t="s">
        <v>2139</v>
      </c>
      <c r="G600" s="9" t="s">
        <v>2140</v>
      </c>
      <c r="H600" s="9" t="s">
        <v>18</v>
      </c>
      <c r="I600" s="16" t="str">
        <f>VLOOKUP(F600,[1]完整分类结果!$E:$G,3,0)</f>
        <v>烟草加工业</v>
      </c>
      <c r="J600" s="16">
        <f>VLOOKUP(I600,[2]行业排放因子!$A:$B,2,0)</f>
        <v>0.377769264521707</v>
      </c>
      <c r="K600" s="9" t="s">
        <v>1489</v>
      </c>
    </row>
    <row r="601" spans="1:11" ht="12.5" customHeight="1" x14ac:dyDescent="0.25">
      <c r="A601" s="5" t="s">
        <v>2141</v>
      </c>
      <c r="B601" s="6" t="s">
        <v>1484</v>
      </c>
      <c r="C601" s="6" t="s">
        <v>2133</v>
      </c>
      <c r="D601" s="6" t="s">
        <v>2133</v>
      </c>
      <c r="E601" s="6" t="s">
        <v>2142</v>
      </c>
      <c r="F601" s="6" t="s">
        <v>2143</v>
      </c>
      <c r="G601" s="9" t="s">
        <v>2144</v>
      </c>
      <c r="H601" s="9" t="s">
        <v>18</v>
      </c>
      <c r="I601" s="16" t="str">
        <f>VLOOKUP(F601,[1]完整分类结果!$E:$G,3,0)</f>
        <v>烟草加工业</v>
      </c>
      <c r="J601" s="16">
        <f>VLOOKUP(I601,[2]行业排放因子!$A:$B,2,0)</f>
        <v>0.377769264521707</v>
      </c>
      <c r="K601" s="9" t="s">
        <v>1489</v>
      </c>
    </row>
    <row r="602" spans="1:11" ht="12.5" customHeight="1" x14ac:dyDescent="0.25">
      <c r="A602" s="5" t="s">
        <v>2145</v>
      </c>
      <c r="B602" s="6" t="s">
        <v>1484</v>
      </c>
      <c r="C602" s="6" t="s">
        <v>2133</v>
      </c>
      <c r="D602" s="6" t="s">
        <v>2133</v>
      </c>
      <c r="E602" s="6" t="s">
        <v>2146</v>
      </c>
      <c r="F602" s="6" t="s">
        <v>2147</v>
      </c>
      <c r="G602" s="9" t="s">
        <v>2148</v>
      </c>
      <c r="H602" s="9" t="s">
        <v>18</v>
      </c>
      <c r="I602" s="16" t="str">
        <f>VLOOKUP(F602,[1]完整分类结果!$E:$G,3,0)</f>
        <v>烟草加工业</v>
      </c>
      <c r="J602" s="16">
        <f>VLOOKUP(I602,[2]行业排放因子!$A:$B,2,0)</f>
        <v>0.377769264521707</v>
      </c>
      <c r="K602" s="9" t="s">
        <v>1489</v>
      </c>
    </row>
    <row r="603" spans="1:11" ht="12.5" customHeight="1" x14ac:dyDescent="0.25">
      <c r="A603" s="5" t="s">
        <v>2149</v>
      </c>
      <c r="B603" s="6" t="s">
        <v>1484</v>
      </c>
      <c r="C603" s="6" t="s">
        <v>2133</v>
      </c>
      <c r="D603" s="6" t="s">
        <v>2133</v>
      </c>
      <c r="E603" s="6" t="s">
        <v>2150</v>
      </c>
      <c r="F603" s="6" t="s">
        <v>2151</v>
      </c>
      <c r="G603" s="9"/>
      <c r="H603" s="9" t="s">
        <v>18</v>
      </c>
      <c r="I603" s="16" t="str">
        <f>VLOOKUP(F603,[1]完整分类结果!$E:$G,3,0)</f>
        <v>烟草加工业</v>
      </c>
      <c r="J603" s="16">
        <f>VLOOKUP(I603,[2]行业排放因子!$A:$B,2,0)</f>
        <v>0.377769264521707</v>
      </c>
      <c r="K603" s="9" t="s">
        <v>1489</v>
      </c>
    </row>
    <row r="604" spans="1:11" ht="12.5" customHeight="1" x14ac:dyDescent="0.25">
      <c r="A604" s="5" t="s">
        <v>2152</v>
      </c>
      <c r="B604" s="6" t="s">
        <v>1484</v>
      </c>
      <c r="C604" s="6" t="s">
        <v>2133</v>
      </c>
      <c r="D604" s="6" t="s">
        <v>2133</v>
      </c>
      <c r="E604" s="6" t="s">
        <v>2153</v>
      </c>
      <c r="F604" s="6" t="s">
        <v>2154</v>
      </c>
      <c r="G604" s="9"/>
      <c r="H604" s="9" t="s">
        <v>18</v>
      </c>
      <c r="I604" s="16" t="str">
        <f>VLOOKUP(F604,[1]完整分类结果!$E:$G,3,0)</f>
        <v>烟草加工业</v>
      </c>
      <c r="J604" s="16">
        <f>VLOOKUP(I604,[2]行业排放因子!$A:$B,2,0)</f>
        <v>0.377769264521707</v>
      </c>
      <c r="K604" s="9" t="s">
        <v>1489</v>
      </c>
    </row>
    <row r="605" spans="1:11" ht="12.5" customHeight="1" x14ac:dyDescent="0.25">
      <c r="A605" s="5" t="s">
        <v>2155</v>
      </c>
      <c r="B605" s="6" t="s">
        <v>1484</v>
      </c>
      <c r="C605" s="6" t="s">
        <v>2133</v>
      </c>
      <c r="D605" s="6" t="s">
        <v>2133</v>
      </c>
      <c r="E605" s="6" t="s">
        <v>2156</v>
      </c>
      <c r="F605" s="6" t="s">
        <v>2157</v>
      </c>
      <c r="G605" s="9"/>
      <c r="H605" s="9" t="s">
        <v>18</v>
      </c>
      <c r="I605" s="16" t="str">
        <f>VLOOKUP(F605,[1]完整分类结果!$E:$G,3,0)</f>
        <v>烟草加工业</v>
      </c>
      <c r="J605" s="16">
        <f>VLOOKUP(I605,[2]行业排放因子!$A:$B,2,0)</f>
        <v>0.377769264521707</v>
      </c>
      <c r="K605" s="9" t="s">
        <v>1489</v>
      </c>
    </row>
    <row r="606" spans="1:11" ht="12.5" customHeight="1" x14ac:dyDescent="0.25">
      <c r="A606" s="5" t="s">
        <v>2158</v>
      </c>
      <c r="B606" s="6" t="s">
        <v>1484</v>
      </c>
      <c r="C606" s="6" t="s">
        <v>2133</v>
      </c>
      <c r="D606" s="6" t="s">
        <v>2133</v>
      </c>
      <c r="E606" s="6" t="s">
        <v>2159</v>
      </c>
      <c r="F606" s="6" t="s">
        <v>2160</v>
      </c>
      <c r="G606" s="9" t="s">
        <v>2161</v>
      </c>
      <c r="H606" s="9" t="s">
        <v>18</v>
      </c>
      <c r="I606" s="16" t="str">
        <f>VLOOKUP(F606,[1]完整分类结果!$E:$G,3,0)</f>
        <v>烟草加工业</v>
      </c>
      <c r="J606" s="16">
        <f>VLOOKUP(I606,[2]行业排放因子!$A:$B,2,0)</f>
        <v>0.377769264521707</v>
      </c>
      <c r="K606" s="9" t="s">
        <v>1489</v>
      </c>
    </row>
    <row r="607" spans="1:11" ht="12.5" customHeight="1" x14ac:dyDescent="0.25">
      <c r="A607" s="5" t="s">
        <v>2162</v>
      </c>
      <c r="B607" s="6" t="s">
        <v>1484</v>
      </c>
      <c r="C607" s="6" t="s">
        <v>2133</v>
      </c>
      <c r="D607" s="6" t="s">
        <v>2163</v>
      </c>
      <c r="E607" s="6" t="s">
        <v>2164</v>
      </c>
      <c r="F607" s="6" t="s">
        <v>2163</v>
      </c>
      <c r="G607" s="9"/>
      <c r="H607" s="9" t="s">
        <v>18</v>
      </c>
      <c r="I607" s="16" t="str">
        <f>VLOOKUP(F607,[1]完整分类结果!$E:$G,3,0)</f>
        <v>烟草加工业</v>
      </c>
      <c r="J607" s="16">
        <f>VLOOKUP(I607,[2]行业排放因子!$A:$B,2,0)</f>
        <v>0.377769264521707</v>
      </c>
      <c r="K607" s="9" t="s">
        <v>1489</v>
      </c>
    </row>
    <row r="608" spans="1:11" ht="12.5" customHeight="1" x14ac:dyDescent="0.25">
      <c r="A608" s="5" t="s">
        <v>2165</v>
      </c>
      <c r="B608" s="6" t="s">
        <v>1484</v>
      </c>
      <c r="C608" s="6" t="s">
        <v>2133</v>
      </c>
      <c r="D608" s="6" t="s">
        <v>2166</v>
      </c>
      <c r="E608" s="6" t="s">
        <v>2167</v>
      </c>
      <c r="F608" s="6" t="s">
        <v>2166</v>
      </c>
      <c r="G608" s="9"/>
      <c r="H608" s="9" t="s">
        <v>18</v>
      </c>
      <c r="I608" s="16" t="str">
        <f>VLOOKUP(F608,[1]完整分类结果!$E:$G,3,0)</f>
        <v>烟草加工业</v>
      </c>
      <c r="J608" s="16">
        <f>VLOOKUP(I608,[2]行业排放因子!$A:$B,2,0)</f>
        <v>0.377769264521707</v>
      </c>
      <c r="K608" s="9" t="s">
        <v>1489</v>
      </c>
    </row>
    <row r="609" spans="1:11" ht="12.5" customHeight="1" x14ac:dyDescent="0.25">
      <c r="A609" s="5" t="s">
        <v>2168</v>
      </c>
      <c r="B609" s="6" t="s">
        <v>1484</v>
      </c>
      <c r="C609" s="6" t="s">
        <v>2133</v>
      </c>
      <c r="D609" s="6" t="s">
        <v>2169</v>
      </c>
      <c r="E609" s="6" t="s">
        <v>2170</v>
      </c>
      <c r="F609" s="6" t="s">
        <v>2169</v>
      </c>
      <c r="G609" s="9"/>
      <c r="H609" s="9" t="s">
        <v>18</v>
      </c>
      <c r="I609" s="16" t="str">
        <f>VLOOKUP(F609,[1]完整分类结果!$E:$G,3,0)</f>
        <v>烟草加工业</v>
      </c>
      <c r="J609" s="16">
        <f>VLOOKUP(I609,[2]行业排放因子!$A:$B,2,0)</f>
        <v>0.377769264521707</v>
      </c>
      <c r="K609" s="9" t="s">
        <v>1489</v>
      </c>
    </row>
    <row r="610" spans="1:11" ht="12.5" customHeight="1" x14ac:dyDescent="0.25">
      <c r="A610" s="5" t="s">
        <v>2171</v>
      </c>
      <c r="B610" s="6" t="s">
        <v>1484</v>
      </c>
      <c r="C610" s="6" t="s">
        <v>2133</v>
      </c>
      <c r="D610" s="6" t="s">
        <v>2172</v>
      </c>
      <c r="E610" s="6" t="s">
        <v>2173</v>
      </c>
      <c r="F610" s="6" t="s">
        <v>2172</v>
      </c>
      <c r="G610" s="9"/>
      <c r="H610" s="9" t="s">
        <v>18</v>
      </c>
      <c r="I610" s="16" t="str">
        <f>VLOOKUP(F610,[1]完整分类结果!$E:$G,3,0)</f>
        <v>烟草加工业</v>
      </c>
      <c r="J610" s="16">
        <f>VLOOKUP(I610,[2]行业排放因子!$A:$B,2,0)</f>
        <v>0.377769264521707</v>
      </c>
      <c r="K610" s="9" t="s">
        <v>1489</v>
      </c>
    </row>
    <row r="611" spans="1:11" ht="12.5" customHeight="1" x14ac:dyDescent="0.25">
      <c r="A611" s="5" t="s">
        <v>2174</v>
      </c>
      <c r="B611" s="6" t="s">
        <v>1484</v>
      </c>
      <c r="C611" s="6" t="s">
        <v>2133</v>
      </c>
      <c r="D611" s="9" t="s">
        <v>2175</v>
      </c>
      <c r="E611" s="6" t="s">
        <v>2176</v>
      </c>
      <c r="F611" s="6" t="s">
        <v>2177</v>
      </c>
      <c r="G611" s="6" t="s">
        <v>2178</v>
      </c>
      <c r="H611" s="9" t="s">
        <v>18</v>
      </c>
      <c r="I611" s="16" t="str">
        <f>VLOOKUP(F611,[1]完整分类结果!$E:$G,3,0)</f>
        <v>烟草加工业</v>
      </c>
      <c r="J611" s="16">
        <f>VLOOKUP(I611,[2]行业排放因子!$A:$B,2,0)</f>
        <v>0.377769264521707</v>
      </c>
      <c r="K611" s="9" t="s">
        <v>1489</v>
      </c>
    </row>
    <row r="612" spans="1:11" ht="12.5" customHeight="1" x14ac:dyDescent="0.25">
      <c r="A612" s="5" t="s">
        <v>2179</v>
      </c>
      <c r="B612" s="6" t="s">
        <v>1484</v>
      </c>
      <c r="C612" s="6" t="s">
        <v>2133</v>
      </c>
      <c r="D612" s="9" t="s">
        <v>2175</v>
      </c>
      <c r="E612" s="6" t="s">
        <v>2180</v>
      </c>
      <c r="F612" s="6" t="s">
        <v>2181</v>
      </c>
      <c r="G612" s="6" t="s">
        <v>2178</v>
      </c>
      <c r="H612" s="9" t="s">
        <v>18</v>
      </c>
      <c r="I612" s="16" t="str">
        <f>VLOOKUP(F612,[1]完整分类结果!$E:$G,3,0)</f>
        <v>烟草加工业</v>
      </c>
      <c r="J612" s="16">
        <f>VLOOKUP(I612,[2]行业排放因子!$A:$B,2,0)</f>
        <v>0.377769264521707</v>
      </c>
      <c r="K612" s="9" t="s">
        <v>1489</v>
      </c>
    </row>
    <row r="613" spans="1:11" ht="12.5" customHeight="1" x14ac:dyDescent="0.25">
      <c r="A613" s="5" t="s">
        <v>2182</v>
      </c>
      <c r="B613" s="6" t="s">
        <v>1484</v>
      </c>
      <c r="C613" s="6" t="s">
        <v>2133</v>
      </c>
      <c r="D613" s="9" t="s">
        <v>2175</v>
      </c>
      <c r="E613" s="6" t="s">
        <v>2183</v>
      </c>
      <c r="F613" s="6" t="s">
        <v>2184</v>
      </c>
      <c r="G613" s="6" t="s">
        <v>2178</v>
      </c>
      <c r="H613" s="9" t="s">
        <v>18</v>
      </c>
      <c r="I613" s="16" t="str">
        <f>VLOOKUP(F613,[1]完整分类结果!$E:$G,3,0)</f>
        <v>烟草加工业</v>
      </c>
      <c r="J613" s="16">
        <f>VLOOKUP(I613,[2]行业排放因子!$A:$B,2,0)</f>
        <v>0.377769264521707</v>
      </c>
      <c r="K613" s="9" t="s">
        <v>1489</v>
      </c>
    </row>
    <row r="614" spans="1:11" ht="12.5" customHeight="1" x14ac:dyDescent="0.25">
      <c r="A614" s="5" t="s">
        <v>2185</v>
      </c>
      <c r="B614" s="6" t="s">
        <v>1484</v>
      </c>
      <c r="C614" s="6" t="s">
        <v>2133</v>
      </c>
      <c r="D614" s="9" t="s">
        <v>2175</v>
      </c>
      <c r="E614" s="6" t="s">
        <v>2186</v>
      </c>
      <c r="F614" s="6" t="s">
        <v>2187</v>
      </c>
      <c r="G614" s="6" t="s">
        <v>2178</v>
      </c>
      <c r="H614" s="9" t="s">
        <v>18</v>
      </c>
      <c r="I614" s="16" t="str">
        <f>VLOOKUP(F614,[1]完整分类结果!$E:$G,3,0)</f>
        <v>烟草加工业</v>
      </c>
      <c r="J614" s="16">
        <f>VLOOKUP(I614,[2]行业排放因子!$A:$B,2,0)</f>
        <v>0.377769264521707</v>
      </c>
      <c r="K614" s="9" t="s">
        <v>1489</v>
      </c>
    </row>
    <row r="615" spans="1:11" ht="12.5" customHeight="1" x14ac:dyDescent="0.25">
      <c r="A615" s="5" t="s">
        <v>2188</v>
      </c>
      <c r="B615" s="6" t="s">
        <v>1484</v>
      </c>
      <c r="C615" s="6" t="s">
        <v>2133</v>
      </c>
      <c r="D615" s="9" t="s">
        <v>2175</v>
      </c>
      <c r="E615" s="6" t="s">
        <v>2189</v>
      </c>
      <c r="F615" s="6" t="s">
        <v>2190</v>
      </c>
      <c r="G615" s="6" t="s">
        <v>2178</v>
      </c>
      <c r="H615" s="9" t="s">
        <v>18</v>
      </c>
      <c r="I615" s="16" t="str">
        <f>VLOOKUP(F615,[1]完整分类结果!$E:$G,3,0)</f>
        <v>烟草加工业</v>
      </c>
      <c r="J615" s="16">
        <f>VLOOKUP(I615,[2]行业排放因子!$A:$B,2,0)</f>
        <v>0.377769264521707</v>
      </c>
      <c r="K615" s="9" t="s">
        <v>1489</v>
      </c>
    </row>
    <row r="616" spans="1:11" ht="12.5" customHeight="1" x14ac:dyDescent="0.25">
      <c r="A616" s="5" t="s">
        <v>2191</v>
      </c>
      <c r="B616" s="6" t="s">
        <v>1484</v>
      </c>
      <c r="C616" s="6" t="s">
        <v>2133</v>
      </c>
      <c r="D616" s="9" t="s">
        <v>2175</v>
      </c>
      <c r="E616" s="6" t="s">
        <v>2192</v>
      </c>
      <c r="F616" s="6" t="s">
        <v>2193</v>
      </c>
      <c r="G616" s="6" t="s">
        <v>2178</v>
      </c>
      <c r="H616" s="9" t="s">
        <v>18</v>
      </c>
      <c r="I616" s="16" t="str">
        <f>VLOOKUP(F616,[1]完整分类结果!$E:$G,3,0)</f>
        <v>烟草加工业</v>
      </c>
      <c r="J616" s="16">
        <f>VLOOKUP(I616,[2]行业排放因子!$A:$B,2,0)</f>
        <v>0.377769264521707</v>
      </c>
      <c r="K616" s="9" t="s">
        <v>1489</v>
      </c>
    </row>
    <row r="617" spans="1:11" ht="12.5" customHeight="1" x14ac:dyDescent="0.25">
      <c r="A617" s="5" t="s">
        <v>2194</v>
      </c>
      <c r="B617" s="6" t="s">
        <v>1484</v>
      </c>
      <c r="C617" s="6" t="s">
        <v>2133</v>
      </c>
      <c r="D617" s="9" t="s">
        <v>2175</v>
      </c>
      <c r="E617" s="6" t="s">
        <v>2195</v>
      </c>
      <c r="F617" s="6" t="s">
        <v>2196</v>
      </c>
      <c r="G617" s="6" t="s">
        <v>2178</v>
      </c>
      <c r="H617" s="9" t="s">
        <v>18</v>
      </c>
      <c r="I617" s="16" t="str">
        <f>VLOOKUP(F617,[1]完整分类结果!$E:$G,3,0)</f>
        <v>烟草加工业</v>
      </c>
      <c r="J617" s="16">
        <f>VLOOKUP(I617,[2]行业排放因子!$A:$B,2,0)</f>
        <v>0.377769264521707</v>
      </c>
      <c r="K617" s="9" t="s">
        <v>1489</v>
      </c>
    </row>
    <row r="618" spans="1:11" ht="12.5" customHeight="1" x14ac:dyDescent="0.25">
      <c r="A618" s="5" t="s">
        <v>2197</v>
      </c>
      <c r="B618" s="6" t="s">
        <v>1484</v>
      </c>
      <c r="C618" s="6" t="s">
        <v>2133</v>
      </c>
      <c r="D618" s="9" t="s">
        <v>2175</v>
      </c>
      <c r="E618" s="6" t="s">
        <v>2198</v>
      </c>
      <c r="F618" s="6" t="s">
        <v>2199</v>
      </c>
      <c r="G618" s="6" t="s">
        <v>2178</v>
      </c>
      <c r="H618" s="9" t="s">
        <v>18</v>
      </c>
      <c r="I618" s="16" t="str">
        <f>VLOOKUP(F618,[1]完整分类结果!$E:$G,3,0)</f>
        <v>烟草加工业</v>
      </c>
      <c r="J618" s="16">
        <f>VLOOKUP(I618,[2]行业排放因子!$A:$B,2,0)</f>
        <v>0.377769264521707</v>
      </c>
      <c r="K618" s="9" t="s">
        <v>1489</v>
      </c>
    </row>
    <row r="619" spans="1:11" ht="12.5" customHeight="1" x14ac:dyDescent="0.25">
      <c r="A619" s="5" t="s">
        <v>2200</v>
      </c>
      <c r="B619" s="6" t="s">
        <v>1484</v>
      </c>
      <c r="C619" s="6" t="s">
        <v>2133</v>
      </c>
      <c r="D619" s="9" t="s">
        <v>2175</v>
      </c>
      <c r="E619" s="6" t="s">
        <v>2201</v>
      </c>
      <c r="F619" s="6" t="s">
        <v>2202</v>
      </c>
      <c r="G619" s="6" t="s">
        <v>2178</v>
      </c>
      <c r="H619" s="9" t="s">
        <v>18</v>
      </c>
      <c r="I619" s="16" t="str">
        <f>VLOOKUP(F619,[1]完整分类结果!$E:$G,3,0)</f>
        <v>烟草加工业</v>
      </c>
      <c r="J619" s="16">
        <f>VLOOKUP(I619,[2]行业排放因子!$A:$B,2,0)</f>
        <v>0.377769264521707</v>
      </c>
      <c r="K619" s="9" t="s">
        <v>1489</v>
      </c>
    </row>
    <row r="620" spans="1:11" ht="12.5" customHeight="1" x14ac:dyDescent="0.25">
      <c r="A620" s="5" t="s">
        <v>2203</v>
      </c>
      <c r="B620" s="6" t="s">
        <v>1484</v>
      </c>
      <c r="C620" s="6" t="s">
        <v>2133</v>
      </c>
      <c r="D620" s="9" t="s">
        <v>2175</v>
      </c>
      <c r="E620" s="6" t="s">
        <v>2204</v>
      </c>
      <c r="F620" s="6" t="s">
        <v>2205</v>
      </c>
      <c r="G620" s="6" t="s">
        <v>2178</v>
      </c>
      <c r="H620" s="9" t="s">
        <v>18</v>
      </c>
      <c r="I620" s="16" t="str">
        <f>VLOOKUP(F620,[1]完整分类结果!$E:$G,3,0)</f>
        <v>烟草加工业</v>
      </c>
      <c r="J620" s="16">
        <f>VLOOKUP(I620,[2]行业排放因子!$A:$B,2,0)</f>
        <v>0.377769264521707</v>
      </c>
      <c r="K620" s="9" t="s">
        <v>1489</v>
      </c>
    </row>
    <row r="621" spans="1:11" ht="12.5" customHeight="1" x14ac:dyDescent="0.25">
      <c r="A621" s="5" t="s">
        <v>2206</v>
      </c>
      <c r="B621" s="6" t="s">
        <v>1484</v>
      </c>
      <c r="C621" s="6" t="s">
        <v>2133</v>
      </c>
      <c r="D621" s="9" t="s">
        <v>2175</v>
      </c>
      <c r="E621" s="6" t="s">
        <v>2207</v>
      </c>
      <c r="F621" s="6" t="s">
        <v>2208</v>
      </c>
      <c r="G621" s="6" t="s">
        <v>2178</v>
      </c>
      <c r="H621" s="9" t="s">
        <v>18</v>
      </c>
      <c r="I621" s="16" t="str">
        <f>VLOOKUP(F621,[1]完整分类结果!$E:$G,3,0)</f>
        <v>烟草加工业</v>
      </c>
      <c r="J621" s="16">
        <f>VLOOKUP(I621,[2]行业排放因子!$A:$B,2,0)</f>
        <v>0.377769264521707</v>
      </c>
      <c r="K621" s="9" t="s">
        <v>1489</v>
      </c>
    </row>
    <row r="622" spans="1:11" ht="12.5" customHeight="1" x14ac:dyDescent="0.25">
      <c r="A622" s="5" t="s">
        <v>2209</v>
      </c>
      <c r="B622" s="6" t="s">
        <v>1484</v>
      </c>
      <c r="C622" s="6" t="s">
        <v>2133</v>
      </c>
      <c r="D622" s="9" t="s">
        <v>2175</v>
      </c>
      <c r="E622" s="6" t="s">
        <v>2210</v>
      </c>
      <c r="F622" s="6" t="s">
        <v>2211</v>
      </c>
      <c r="G622" s="6" t="s">
        <v>2178</v>
      </c>
      <c r="H622" s="9" t="s">
        <v>18</v>
      </c>
      <c r="I622" s="16" t="str">
        <f>VLOOKUP(F622,[1]完整分类结果!$E:$G,3,0)</f>
        <v>烟草加工业</v>
      </c>
      <c r="J622" s="16">
        <f>VLOOKUP(I622,[2]行业排放因子!$A:$B,2,0)</f>
        <v>0.377769264521707</v>
      </c>
      <c r="K622" s="9" t="s">
        <v>1489</v>
      </c>
    </row>
    <row r="623" spans="1:11" ht="12.5" customHeight="1" x14ac:dyDescent="0.25">
      <c r="A623" s="5" t="s">
        <v>2212</v>
      </c>
      <c r="B623" s="6" t="s">
        <v>1484</v>
      </c>
      <c r="C623" s="6" t="s">
        <v>2133</v>
      </c>
      <c r="D623" s="9" t="s">
        <v>2175</v>
      </c>
      <c r="E623" s="6" t="s">
        <v>2213</v>
      </c>
      <c r="F623" s="6" t="s">
        <v>2214</v>
      </c>
      <c r="G623" s="6" t="s">
        <v>2178</v>
      </c>
      <c r="H623" s="9" t="s">
        <v>18</v>
      </c>
      <c r="I623" s="16" t="str">
        <f>VLOOKUP(F623,[1]完整分类结果!$E:$G,3,0)</f>
        <v>烟草加工业</v>
      </c>
      <c r="J623" s="16">
        <f>VLOOKUP(I623,[2]行业排放因子!$A:$B,2,0)</f>
        <v>0.377769264521707</v>
      </c>
      <c r="K623" s="9" t="s">
        <v>1489</v>
      </c>
    </row>
    <row r="624" spans="1:11" ht="12.5" customHeight="1" x14ac:dyDescent="0.25">
      <c r="A624" s="5" t="s">
        <v>2215</v>
      </c>
      <c r="B624" s="6" t="s">
        <v>1484</v>
      </c>
      <c r="C624" s="6" t="s">
        <v>2133</v>
      </c>
      <c r="D624" s="9" t="s">
        <v>2175</v>
      </c>
      <c r="E624" s="6" t="s">
        <v>2216</v>
      </c>
      <c r="F624" s="6" t="s">
        <v>2217</v>
      </c>
      <c r="G624" s="6" t="s">
        <v>2178</v>
      </c>
      <c r="H624" s="9" t="s">
        <v>18</v>
      </c>
      <c r="I624" s="16" t="str">
        <f>VLOOKUP(F624,[1]完整分类结果!$E:$G,3,0)</f>
        <v>烟草加工业</v>
      </c>
      <c r="J624" s="16">
        <f>VLOOKUP(I624,[2]行业排放因子!$A:$B,2,0)</f>
        <v>0.377769264521707</v>
      </c>
      <c r="K624" s="9" t="s">
        <v>1489</v>
      </c>
    </row>
    <row r="625" spans="1:11" ht="12.5" customHeight="1" x14ac:dyDescent="0.25">
      <c r="A625" s="5" t="s">
        <v>2218</v>
      </c>
      <c r="B625" s="6" t="s">
        <v>1484</v>
      </c>
      <c r="C625" s="6" t="s">
        <v>2133</v>
      </c>
      <c r="D625" s="9" t="s">
        <v>2175</v>
      </c>
      <c r="E625" s="6" t="s">
        <v>2219</v>
      </c>
      <c r="F625" s="6" t="s">
        <v>2220</v>
      </c>
      <c r="G625" s="6" t="s">
        <v>2178</v>
      </c>
      <c r="H625" s="9" t="s">
        <v>18</v>
      </c>
      <c r="I625" s="16" t="str">
        <f>VLOOKUP(F625,[1]完整分类结果!$E:$G,3,0)</f>
        <v>烟草加工业</v>
      </c>
      <c r="J625" s="16">
        <f>VLOOKUP(I625,[2]行业排放因子!$A:$B,2,0)</f>
        <v>0.377769264521707</v>
      </c>
      <c r="K625" s="9" t="s">
        <v>1489</v>
      </c>
    </row>
    <row r="626" spans="1:11" ht="12.5" customHeight="1" x14ac:dyDescent="0.25">
      <c r="A626" s="5" t="s">
        <v>2221</v>
      </c>
      <c r="B626" s="6" t="s">
        <v>1484</v>
      </c>
      <c r="C626" s="6" t="s">
        <v>2133</v>
      </c>
      <c r="D626" s="9" t="s">
        <v>2175</v>
      </c>
      <c r="E626" s="6" t="s">
        <v>2222</v>
      </c>
      <c r="F626" s="6" t="s">
        <v>2223</v>
      </c>
      <c r="G626" s="6" t="s">
        <v>2178</v>
      </c>
      <c r="H626" s="9" t="s">
        <v>18</v>
      </c>
      <c r="I626" s="16" t="str">
        <f>VLOOKUP(F626,[1]完整分类结果!$E:$G,3,0)</f>
        <v>烟草加工业</v>
      </c>
      <c r="J626" s="16">
        <f>VLOOKUP(I626,[2]行业排放因子!$A:$B,2,0)</f>
        <v>0.377769264521707</v>
      </c>
      <c r="K626" s="9" t="s">
        <v>1489</v>
      </c>
    </row>
    <row r="627" spans="1:11" ht="12.5" customHeight="1" x14ac:dyDescent="0.25">
      <c r="A627" s="5" t="s">
        <v>2224</v>
      </c>
      <c r="B627" s="6" t="s">
        <v>1484</v>
      </c>
      <c r="C627" s="6" t="s">
        <v>2133</v>
      </c>
      <c r="D627" s="9" t="s">
        <v>2175</v>
      </c>
      <c r="E627" s="6" t="s">
        <v>2225</v>
      </c>
      <c r="F627" s="6" t="s">
        <v>2226</v>
      </c>
      <c r="G627" s="6" t="s">
        <v>2178</v>
      </c>
      <c r="H627" s="9" t="s">
        <v>18</v>
      </c>
      <c r="I627" s="16" t="str">
        <f>VLOOKUP(F627,[1]完整分类结果!$E:$G,3,0)</f>
        <v>烟草加工业</v>
      </c>
      <c r="J627" s="16">
        <f>VLOOKUP(I627,[2]行业排放因子!$A:$B,2,0)</f>
        <v>0.377769264521707</v>
      </c>
      <c r="K627" s="9" t="s">
        <v>1489</v>
      </c>
    </row>
    <row r="628" spans="1:11" ht="12.5" customHeight="1" x14ac:dyDescent="0.25">
      <c r="A628" s="5" t="s">
        <v>2227</v>
      </c>
      <c r="B628" s="6" t="s">
        <v>1484</v>
      </c>
      <c r="C628" s="6" t="s">
        <v>2133</v>
      </c>
      <c r="D628" s="9" t="s">
        <v>2175</v>
      </c>
      <c r="E628" s="6" t="s">
        <v>2228</v>
      </c>
      <c r="F628" s="6" t="s">
        <v>2229</v>
      </c>
      <c r="G628" s="6" t="s">
        <v>2178</v>
      </c>
      <c r="H628" s="9" t="s">
        <v>18</v>
      </c>
      <c r="I628" s="16" t="str">
        <f>VLOOKUP(F628,[1]完整分类结果!$E:$G,3,0)</f>
        <v>烟草加工业</v>
      </c>
      <c r="J628" s="16">
        <f>VLOOKUP(I628,[2]行业排放因子!$A:$B,2,0)</f>
        <v>0.377769264521707</v>
      </c>
      <c r="K628" s="9" t="s">
        <v>1489</v>
      </c>
    </row>
    <row r="629" spans="1:11" ht="12.5" customHeight="1" x14ac:dyDescent="0.25">
      <c r="A629" s="5" t="s">
        <v>2230</v>
      </c>
      <c r="B629" s="6" t="s">
        <v>1484</v>
      </c>
      <c r="C629" s="6" t="s">
        <v>2133</v>
      </c>
      <c r="D629" s="9" t="s">
        <v>2175</v>
      </c>
      <c r="E629" s="6" t="s">
        <v>2231</v>
      </c>
      <c r="F629" s="6" t="s">
        <v>2232</v>
      </c>
      <c r="G629" s="6" t="s">
        <v>2178</v>
      </c>
      <c r="H629" s="9" t="s">
        <v>18</v>
      </c>
      <c r="I629" s="16" t="str">
        <f>VLOOKUP(F629,[1]完整分类结果!$E:$G,3,0)</f>
        <v>烟草加工业</v>
      </c>
      <c r="J629" s="16">
        <f>VLOOKUP(I629,[2]行业排放因子!$A:$B,2,0)</f>
        <v>0.377769264521707</v>
      </c>
      <c r="K629" s="9" t="s">
        <v>1489</v>
      </c>
    </row>
    <row r="630" spans="1:11" ht="12.5" customHeight="1" x14ac:dyDescent="0.25">
      <c r="A630" s="5" t="s">
        <v>2233</v>
      </c>
      <c r="B630" s="6" t="s">
        <v>1484</v>
      </c>
      <c r="C630" s="6" t="s">
        <v>2133</v>
      </c>
      <c r="D630" s="9" t="s">
        <v>2175</v>
      </c>
      <c r="E630" s="6" t="s">
        <v>2234</v>
      </c>
      <c r="F630" s="6" t="s">
        <v>2235</v>
      </c>
      <c r="G630" s="6" t="s">
        <v>2178</v>
      </c>
      <c r="H630" s="9" t="s">
        <v>18</v>
      </c>
      <c r="I630" s="16" t="str">
        <f>VLOOKUP(F630,[1]完整分类结果!$E:$G,3,0)</f>
        <v>烟草加工业</v>
      </c>
      <c r="J630" s="16">
        <f>VLOOKUP(I630,[2]行业排放因子!$A:$B,2,0)</f>
        <v>0.377769264521707</v>
      </c>
      <c r="K630" s="9" t="s">
        <v>1489</v>
      </c>
    </row>
    <row r="631" spans="1:11" ht="12.5" customHeight="1" x14ac:dyDescent="0.25">
      <c r="A631" s="5" t="s">
        <v>2236</v>
      </c>
      <c r="B631" s="6" t="s">
        <v>1484</v>
      </c>
      <c r="C631" s="6" t="s">
        <v>2133</v>
      </c>
      <c r="D631" s="9" t="s">
        <v>2175</v>
      </c>
      <c r="E631" s="6" t="s">
        <v>2237</v>
      </c>
      <c r="F631" s="6" t="s">
        <v>2238</v>
      </c>
      <c r="G631" s="6" t="s">
        <v>2178</v>
      </c>
      <c r="H631" s="9" t="s">
        <v>18</v>
      </c>
      <c r="I631" s="16" t="str">
        <f>VLOOKUP(F631,[1]完整分类结果!$E:$G,3,0)</f>
        <v>烟草加工业</v>
      </c>
      <c r="J631" s="16">
        <f>VLOOKUP(I631,[2]行业排放因子!$A:$B,2,0)</f>
        <v>0.377769264521707</v>
      </c>
      <c r="K631" s="9" t="s">
        <v>1489</v>
      </c>
    </row>
    <row r="632" spans="1:11" ht="12.5" customHeight="1" x14ac:dyDescent="0.25">
      <c r="A632" s="5" t="s">
        <v>2239</v>
      </c>
      <c r="B632" s="6" t="s">
        <v>1484</v>
      </c>
      <c r="C632" s="6" t="s">
        <v>2133</v>
      </c>
      <c r="D632" s="9" t="s">
        <v>2175</v>
      </c>
      <c r="E632" s="6" t="s">
        <v>2240</v>
      </c>
      <c r="F632" s="6" t="s">
        <v>2241</v>
      </c>
      <c r="G632" s="6" t="s">
        <v>2178</v>
      </c>
      <c r="H632" s="9" t="s">
        <v>18</v>
      </c>
      <c r="I632" s="16" t="str">
        <f>VLOOKUP(F632,[1]完整分类结果!$E:$G,3,0)</f>
        <v>烟草加工业</v>
      </c>
      <c r="J632" s="16">
        <f>VLOOKUP(I632,[2]行业排放因子!$A:$B,2,0)</f>
        <v>0.377769264521707</v>
      </c>
      <c r="K632" s="9" t="s">
        <v>1489</v>
      </c>
    </row>
    <row r="633" spans="1:11" ht="12.5" customHeight="1" x14ac:dyDescent="0.25">
      <c r="A633" s="5" t="s">
        <v>2242</v>
      </c>
      <c r="B633" s="6" t="s">
        <v>1484</v>
      </c>
      <c r="C633" s="6" t="s">
        <v>2133</v>
      </c>
      <c r="D633" s="9" t="s">
        <v>2175</v>
      </c>
      <c r="E633" s="6" t="s">
        <v>2243</v>
      </c>
      <c r="F633" s="6" t="s">
        <v>2244</v>
      </c>
      <c r="G633" s="6" t="s">
        <v>2178</v>
      </c>
      <c r="H633" s="9" t="s">
        <v>18</v>
      </c>
      <c r="I633" s="16" t="str">
        <f>VLOOKUP(F633,[1]完整分类结果!$E:$G,3,0)</f>
        <v>烟草加工业</v>
      </c>
      <c r="J633" s="16">
        <f>VLOOKUP(I633,[2]行业排放因子!$A:$B,2,0)</f>
        <v>0.377769264521707</v>
      </c>
      <c r="K633" s="9" t="s">
        <v>1489</v>
      </c>
    </row>
    <row r="634" spans="1:11" ht="12.5" customHeight="1" x14ac:dyDescent="0.25">
      <c r="A634" s="5" t="s">
        <v>2245</v>
      </c>
      <c r="B634" s="6" t="s">
        <v>1484</v>
      </c>
      <c r="C634" s="6" t="s">
        <v>2133</v>
      </c>
      <c r="D634" s="9" t="s">
        <v>2175</v>
      </c>
      <c r="E634" s="6" t="s">
        <v>2246</v>
      </c>
      <c r="F634" s="6" t="s">
        <v>2247</v>
      </c>
      <c r="G634" s="6" t="s">
        <v>2178</v>
      </c>
      <c r="H634" s="9" t="s">
        <v>18</v>
      </c>
      <c r="I634" s="16" t="str">
        <f>VLOOKUP(F634,[1]完整分类结果!$E:$G,3,0)</f>
        <v>烟草加工业</v>
      </c>
      <c r="J634" s="16">
        <f>VLOOKUP(I634,[2]行业排放因子!$A:$B,2,0)</f>
        <v>0.377769264521707</v>
      </c>
      <c r="K634" s="9" t="s">
        <v>1489</v>
      </c>
    </row>
    <row r="635" spans="1:11" ht="12.5" customHeight="1" x14ac:dyDescent="0.25">
      <c r="A635" s="5" t="s">
        <v>2248</v>
      </c>
      <c r="B635" s="6" t="s">
        <v>1484</v>
      </c>
      <c r="C635" s="6" t="s">
        <v>2133</v>
      </c>
      <c r="D635" s="9" t="s">
        <v>2175</v>
      </c>
      <c r="E635" s="6" t="s">
        <v>2249</v>
      </c>
      <c r="F635" s="6" t="s">
        <v>2250</v>
      </c>
      <c r="G635" s="6" t="s">
        <v>2178</v>
      </c>
      <c r="H635" s="9" t="s">
        <v>18</v>
      </c>
      <c r="I635" s="16" t="str">
        <f>VLOOKUP(F635,[1]完整分类结果!$E:$G,3,0)</f>
        <v>烟草加工业</v>
      </c>
      <c r="J635" s="16">
        <f>VLOOKUP(I635,[2]行业排放因子!$A:$B,2,0)</f>
        <v>0.377769264521707</v>
      </c>
      <c r="K635" s="9" t="s">
        <v>1489</v>
      </c>
    </row>
    <row r="636" spans="1:11" ht="12.5" customHeight="1" x14ac:dyDescent="0.25">
      <c r="A636" s="5" t="s">
        <v>2251</v>
      </c>
      <c r="B636" s="6" t="s">
        <v>1484</v>
      </c>
      <c r="C636" s="6" t="s">
        <v>2133</v>
      </c>
      <c r="D636" s="9" t="s">
        <v>2175</v>
      </c>
      <c r="E636" s="6" t="s">
        <v>2240</v>
      </c>
      <c r="F636" s="6" t="s">
        <v>2241</v>
      </c>
      <c r="G636" s="6" t="s">
        <v>2178</v>
      </c>
      <c r="H636" s="9" t="s">
        <v>18</v>
      </c>
      <c r="I636" s="16" t="str">
        <f>VLOOKUP(F636,[1]完整分类结果!$E:$G,3,0)</f>
        <v>烟草加工业</v>
      </c>
      <c r="J636" s="16">
        <f>VLOOKUP(I636,[2]行业排放因子!$A:$B,2,0)</f>
        <v>0.377769264521707</v>
      </c>
      <c r="K636" s="9" t="s">
        <v>1489</v>
      </c>
    </row>
    <row r="637" spans="1:11" ht="12.5" customHeight="1" x14ac:dyDescent="0.25">
      <c r="A637" s="5" t="s">
        <v>2252</v>
      </c>
      <c r="B637" s="6" t="s">
        <v>1484</v>
      </c>
      <c r="C637" s="6" t="s">
        <v>2133</v>
      </c>
      <c r="D637" s="9" t="s">
        <v>2175</v>
      </c>
      <c r="E637" s="6" t="s">
        <v>2243</v>
      </c>
      <c r="F637" s="6" t="s">
        <v>2244</v>
      </c>
      <c r="G637" s="6" t="s">
        <v>2178</v>
      </c>
      <c r="H637" s="9" t="s">
        <v>18</v>
      </c>
      <c r="I637" s="16" t="str">
        <f>VLOOKUP(F637,[1]完整分类结果!$E:$G,3,0)</f>
        <v>烟草加工业</v>
      </c>
      <c r="J637" s="16">
        <f>VLOOKUP(I637,[2]行业排放因子!$A:$B,2,0)</f>
        <v>0.377769264521707</v>
      </c>
      <c r="K637" s="9" t="s">
        <v>1489</v>
      </c>
    </row>
    <row r="638" spans="1:11" ht="12.5" customHeight="1" x14ac:dyDescent="0.25">
      <c r="A638" s="5" t="s">
        <v>2253</v>
      </c>
      <c r="B638" s="6" t="s">
        <v>1484</v>
      </c>
      <c r="C638" s="6" t="s">
        <v>2133</v>
      </c>
      <c r="D638" s="9" t="s">
        <v>2175</v>
      </c>
      <c r="E638" s="6" t="s">
        <v>2246</v>
      </c>
      <c r="F638" s="6" t="s">
        <v>2247</v>
      </c>
      <c r="G638" s="6" t="s">
        <v>2178</v>
      </c>
      <c r="H638" s="9" t="s">
        <v>18</v>
      </c>
      <c r="I638" s="16" t="str">
        <f>VLOOKUP(F638,[1]完整分类结果!$E:$G,3,0)</f>
        <v>烟草加工业</v>
      </c>
      <c r="J638" s="16">
        <f>VLOOKUP(I638,[2]行业排放因子!$A:$B,2,0)</f>
        <v>0.377769264521707</v>
      </c>
      <c r="K638" s="9" t="s">
        <v>1489</v>
      </c>
    </row>
    <row r="639" spans="1:11" ht="12.5" customHeight="1" x14ac:dyDescent="0.25">
      <c r="A639" s="5" t="s">
        <v>2254</v>
      </c>
      <c r="B639" s="6" t="s">
        <v>1484</v>
      </c>
      <c r="C639" s="6" t="s">
        <v>2133</v>
      </c>
      <c r="D639" s="9" t="s">
        <v>2175</v>
      </c>
      <c r="E639" s="6" t="s">
        <v>2249</v>
      </c>
      <c r="F639" s="6" t="s">
        <v>2250</v>
      </c>
      <c r="G639" s="6" t="s">
        <v>2178</v>
      </c>
      <c r="H639" s="9" t="s">
        <v>18</v>
      </c>
      <c r="I639" s="16" t="str">
        <f>VLOOKUP(F639,[1]完整分类结果!$E:$G,3,0)</f>
        <v>烟草加工业</v>
      </c>
      <c r="J639" s="16">
        <f>VLOOKUP(I639,[2]行业排放因子!$A:$B,2,0)</f>
        <v>0.377769264521707</v>
      </c>
      <c r="K639" s="9" t="s">
        <v>1489</v>
      </c>
    </row>
    <row r="640" spans="1:11" ht="12.5" customHeight="1" x14ac:dyDescent="0.25">
      <c r="A640" s="5" t="s">
        <v>2255</v>
      </c>
      <c r="B640" s="6" t="s">
        <v>1484</v>
      </c>
      <c r="C640" s="6" t="s">
        <v>2133</v>
      </c>
      <c r="D640" s="9" t="s">
        <v>2175</v>
      </c>
      <c r="E640" s="6" t="s">
        <v>2256</v>
      </c>
      <c r="F640" s="6" t="s">
        <v>2257</v>
      </c>
      <c r="G640" s="6" t="s">
        <v>2178</v>
      </c>
      <c r="H640" s="9" t="s">
        <v>18</v>
      </c>
      <c r="I640" s="16" t="str">
        <f>VLOOKUP(F640,[1]完整分类结果!$E:$G,3,0)</f>
        <v>烟草加工业</v>
      </c>
      <c r="J640" s="16">
        <f>VLOOKUP(I640,[2]行业排放因子!$A:$B,2,0)</f>
        <v>0.377769264521707</v>
      </c>
      <c r="K640" s="9" t="s">
        <v>1489</v>
      </c>
    </row>
    <row r="641" spans="1:11" ht="12.5" customHeight="1" x14ac:dyDescent="0.25">
      <c r="A641" s="5" t="s">
        <v>2258</v>
      </c>
      <c r="B641" s="6" t="s">
        <v>1484</v>
      </c>
      <c r="C641" s="6" t="s">
        <v>2133</v>
      </c>
      <c r="D641" s="9" t="s">
        <v>2175</v>
      </c>
      <c r="E641" s="6" t="s">
        <v>2259</v>
      </c>
      <c r="F641" s="6" t="s">
        <v>2260</v>
      </c>
      <c r="G641" s="6" t="s">
        <v>2178</v>
      </c>
      <c r="H641" s="9" t="s">
        <v>18</v>
      </c>
      <c r="I641" s="16" t="str">
        <f>VLOOKUP(F641,[1]完整分类结果!$E:$G,3,0)</f>
        <v>烟草加工业</v>
      </c>
      <c r="J641" s="16">
        <f>VLOOKUP(I641,[2]行业排放因子!$A:$B,2,0)</f>
        <v>0.377769264521707</v>
      </c>
      <c r="K641" s="9" t="s">
        <v>1489</v>
      </c>
    </row>
    <row r="642" spans="1:11" ht="12.5" customHeight="1" x14ac:dyDescent="0.25">
      <c r="A642" s="5" t="s">
        <v>2261</v>
      </c>
      <c r="B642" s="6" t="s">
        <v>1484</v>
      </c>
      <c r="C642" s="6" t="s">
        <v>2133</v>
      </c>
      <c r="D642" s="9" t="s">
        <v>2175</v>
      </c>
      <c r="E642" s="6" t="s">
        <v>2262</v>
      </c>
      <c r="F642" s="6" t="s">
        <v>2263</v>
      </c>
      <c r="G642" s="6" t="s">
        <v>2178</v>
      </c>
      <c r="H642" s="9" t="s">
        <v>18</v>
      </c>
      <c r="I642" s="16" t="str">
        <f>VLOOKUP(F642,[1]完整分类结果!$E:$G,3,0)</f>
        <v>烟草加工业</v>
      </c>
      <c r="J642" s="16">
        <f>VLOOKUP(I642,[2]行业排放因子!$A:$B,2,0)</f>
        <v>0.377769264521707</v>
      </c>
      <c r="K642" s="9" t="s">
        <v>1489</v>
      </c>
    </row>
    <row r="643" spans="1:11" ht="12.5" customHeight="1" x14ac:dyDescent="0.25">
      <c r="A643" s="5" t="s">
        <v>2264</v>
      </c>
      <c r="B643" s="6" t="s">
        <v>1484</v>
      </c>
      <c r="C643" s="6" t="s">
        <v>2133</v>
      </c>
      <c r="D643" s="9" t="s">
        <v>2175</v>
      </c>
      <c r="E643" s="6" t="s">
        <v>2265</v>
      </c>
      <c r="F643" s="6" t="s">
        <v>2266</v>
      </c>
      <c r="G643" s="6" t="s">
        <v>2178</v>
      </c>
      <c r="H643" s="9" t="s">
        <v>18</v>
      </c>
      <c r="I643" s="16" t="str">
        <f>VLOOKUP(F643,[1]完整分类结果!$E:$G,3,0)</f>
        <v>烟草加工业</v>
      </c>
      <c r="J643" s="16">
        <f>VLOOKUP(I643,[2]行业排放因子!$A:$B,2,0)</f>
        <v>0.377769264521707</v>
      </c>
      <c r="K643" s="9" t="s">
        <v>1489</v>
      </c>
    </row>
    <row r="644" spans="1:11" ht="12.5" customHeight="1" x14ac:dyDescent="0.25">
      <c r="A644" s="5" t="s">
        <v>2267</v>
      </c>
      <c r="B644" s="6" t="s">
        <v>1484</v>
      </c>
      <c r="C644" s="6" t="s">
        <v>2133</v>
      </c>
      <c r="D644" s="9" t="s">
        <v>2175</v>
      </c>
      <c r="E644" s="6" t="s">
        <v>2268</v>
      </c>
      <c r="F644" s="6" t="s">
        <v>2269</v>
      </c>
      <c r="G644" s="6" t="s">
        <v>2178</v>
      </c>
      <c r="H644" s="9" t="s">
        <v>18</v>
      </c>
      <c r="I644" s="16" t="str">
        <f>VLOOKUP(F644,[1]完整分类结果!$E:$G,3,0)</f>
        <v>烟草加工业</v>
      </c>
      <c r="J644" s="16">
        <f>VLOOKUP(I644,[2]行业排放因子!$A:$B,2,0)</f>
        <v>0.377769264521707</v>
      </c>
      <c r="K644" s="9" t="s">
        <v>1489</v>
      </c>
    </row>
    <row r="645" spans="1:11" ht="12.5" customHeight="1" x14ac:dyDescent="0.25">
      <c r="A645" s="5" t="s">
        <v>2270</v>
      </c>
      <c r="B645" s="6" t="s">
        <v>1484</v>
      </c>
      <c r="C645" s="6" t="s">
        <v>2133</v>
      </c>
      <c r="D645" s="9" t="s">
        <v>2175</v>
      </c>
      <c r="E645" s="6" t="s">
        <v>2271</v>
      </c>
      <c r="F645" s="6" t="s">
        <v>2272</v>
      </c>
      <c r="G645" s="6" t="s">
        <v>2178</v>
      </c>
      <c r="H645" s="9" t="s">
        <v>18</v>
      </c>
      <c r="I645" s="16" t="str">
        <f>VLOOKUP(F645,[1]完整分类结果!$E:$G,3,0)</f>
        <v>烟草加工业</v>
      </c>
      <c r="J645" s="16">
        <f>VLOOKUP(I645,[2]行业排放因子!$A:$B,2,0)</f>
        <v>0.377769264521707</v>
      </c>
      <c r="K645" s="9" t="s">
        <v>1489</v>
      </c>
    </row>
    <row r="646" spans="1:11" ht="12.5" customHeight="1" x14ac:dyDescent="0.25">
      <c r="A646" s="5" t="s">
        <v>2273</v>
      </c>
      <c r="B646" s="6" t="s">
        <v>1484</v>
      </c>
      <c r="C646" s="6" t="s">
        <v>2133</v>
      </c>
      <c r="D646" s="9" t="s">
        <v>2175</v>
      </c>
      <c r="E646" s="6" t="s">
        <v>2274</v>
      </c>
      <c r="F646" s="6" t="s">
        <v>2275</v>
      </c>
      <c r="G646" s="6" t="s">
        <v>2178</v>
      </c>
      <c r="H646" s="9" t="s">
        <v>18</v>
      </c>
      <c r="I646" s="16" t="str">
        <f>VLOOKUP(F646,[1]完整分类结果!$E:$G,3,0)</f>
        <v>烟草加工业</v>
      </c>
      <c r="J646" s="16">
        <f>VLOOKUP(I646,[2]行业排放因子!$A:$B,2,0)</f>
        <v>0.377769264521707</v>
      </c>
      <c r="K646" s="9" t="s">
        <v>1489</v>
      </c>
    </row>
    <row r="647" spans="1:11" ht="12.5" customHeight="1" x14ac:dyDescent="0.25">
      <c r="A647" s="5" t="s">
        <v>2276</v>
      </c>
      <c r="B647" s="6" t="s">
        <v>1484</v>
      </c>
      <c r="C647" s="6" t="s">
        <v>2133</v>
      </c>
      <c r="D647" s="9" t="s">
        <v>2175</v>
      </c>
      <c r="E647" s="6" t="s">
        <v>2277</v>
      </c>
      <c r="F647" s="6" t="s">
        <v>2278</v>
      </c>
      <c r="G647" s="6" t="s">
        <v>2178</v>
      </c>
      <c r="H647" s="9" t="s">
        <v>18</v>
      </c>
      <c r="I647" s="16" t="str">
        <f>VLOOKUP(F647,[1]完整分类结果!$E:$G,3,0)</f>
        <v>烟草加工业</v>
      </c>
      <c r="J647" s="16">
        <f>VLOOKUP(I647,[2]行业排放因子!$A:$B,2,0)</f>
        <v>0.377769264521707</v>
      </c>
      <c r="K647" s="9" t="s">
        <v>1489</v>
      </c>
    </row>
    <row r="648" spans="1:11" ht="12.5" customHeight="1" x14ac:dyDescent="0.25">
      <c r="A648" s="5" t="s">
        <v>2279</v>
      </c>
      <c r="B648" s="6" t="s">
        <v>1484</v>
      </c>
      <c r="C648" s="6" t="s">
        <v>2133</v>
      </c>
      <c r="D648" s="9" t="s">
        <v>2175</v>
      </c>
      <c r="E648" s="6" t="s">
        <v>2280</v>
      </c>
      <c r="F648" s="6" t="s">
        <v>2281</v>
      </c>
      <c r="G648" s="6" t="s">
        <v>2178</v>
      </c>
      <c r="H648" s="9" t="s">
        <v>18</v>
      </c>
      <c r="I648" s="16" t="str">
        <f>VLOOKUP(F648,[1]完整分类结果!$E:$G,3,0)</f>
        <v>烟草加工业</v>
      </c>
      <c r="J648" s="16">
        <f>VLOOKUP(I648,[2]行业排放因子!$A:$B,2,0)</f>
        <v>0.377769264521707</v>
      </c>
      <c r="K648" s="9" t="s">
        <v>1489</v>
      </c>
    </row>
    <row r="649" spans="1:11" ht="12.5" customHeight="1" x14ac:dyDescent="0.25">
      <c r="A649" s="5" t="s">
        <v>2282</v>
      </c>
      <c r="B649" s="6" t="s">
        <v>1484</v>
      </c>
      <c r="C649" s="6" t="s">
        <v>2133</v>
      </c>
      <c r="D649" s="9" t="s">
        <v>2175</v>
      </c>
      <c r="E649" s="6" t="s">
        <v>2283</v>
      </c>
      <c r="F649" s="6" t="s">
        <v>2284</v>
      </c>
      <c r="G649" s="6" t="s">
        <v>2178</v>
      </c>
      <c r="H649" s="9" t="s">
        <v>18</v>
      </c>
      <c r="I649" s="16" t="str">
        <f>VLOOKUP(F649,[1]完整分类结果!$E:$G,3,0)</f>
        <v>烟草加工业</v>
      </c>
      <c r="J649" s="16">
        <f>VLOOKUP(I649,[2]行业排放因子!$A:$B,2,0)</f>
        <v>0.377769264521707</v>
      </c>
      <c r="K649" s="9" t="s">
        <v>1489</v>
      </c>
    </row>
    <row r="650" spans="1:11" ht="12.5" customHeight="1" x14ac:dyDescent="0.25">
      <c r="A650" s="5" t="s">
        <v>2285</v>
      </c>
      <c r="B650" s="6" t="s">
        <v>1484</v>
      </c>
      <c r="C650" s="6" t="s">
        <v>2133</v>
      </c>
      <c r="D650" s="9" t="s">
        <v>2175</v>
      </c>
      <c r="E650" s="6" t="s">
        <v>2286</v>
      </c>
      <c r="F650" s="6" t="s">
        <v>2287</v>
      </c>
      <c r="G650" s="6" t="s">
        <v>2178</v>
      </c>
      <c r="H650" s="9" t="s">
        <v>18</v>
      </c>
      <c r="I650" s="16" t="str">
        <f>VLOOKUP(F650,[1]完整分类结果!$E:$G,3,0)</f>
        <v>烟草加工业</v>
      </c>
      <c r="J650" s="16">
        <f>VLOOKUP(I650,[2]行业排放因子!$A:$B,2,0)</f>
        <v>0.377769264521707</v>
      </c>
      <c r="K650" s="9" t="s">
        <v>1489</v>
      </c>
    </row>
    <row r="651" spans="1:11" ht="12.5" customHeight="1" x14ac:dyDescent="0.25">
      <c r="A651" s="5" t="s">
        <v>2288</v>
      </c>
      <c r="B651" s="6" t="s">
        <v>1484</v>
      </c>
      <c r="C651" s="6" t="s">
        <v>2133</v>
      </c>
      <c r="D651" s="9" t="s">
        <v>2175</v>
      </c>
      <c r="E651" s="6" t="s">
        <v>2289</v>
      </c>
      <c r="F651" s="6" t="s">
        <v>2290</v>
      </c>
      <c r="G651" s="6" t="s">
        <v>2178</v>
      </c>
      <c r="H651" s="9" t="s">
        <v>18</v>
      </c>
      <c r="I651" s="16" t="str">
        <f>VLOOKUP(F651,[1]完整分类结果!$E:$G,3,0)</f>
        <v>烟草加工业</v>
      </c>
      <c r="J651" s="16">
        <f>VLOOKUP(I651,[2]行业排放因子!$A:$B,2,0)</f>
        <v>0.377769264521707</v>
      </c>
      <c r="K651" s="9" t="s">
        <v>1489</v>
      </c>
    </row>
    <row r="652" spans="1:11" ht="12.5" customHeight="1" x14ac:dyDescent="0.25">
      <c r="A652" s="5" t="s">
        <v>2291</v>
      </c>
      <c r="B652" s="6" t="s">
        <v>1484</v>
      </c>
      <c r="C652" s="6" t="s">
        <v>2133</v>
      </c>
      <c r="D652" s="9" t="s">
        <v>2175</v>
      </c>
      <c r="E652" s="6" t="s">
        <v>2292</v>
      </c>
      <c r="F652" s="6" t="s">
        <v>2293</v>
      </c>
      <c r="G652" s="6" t="s">
        <v>2178</v>
      </c>
      <c r="H652" s="9" t="s">
        <v>18</v>
      </c>
      <c r="I652" s="16" t="str">
        <f>VLOOKUP(F652,[1]完整分类结果!$E:$G,3,0)</f>
        <v>烟草加工业</v>
      </c>
      <c r="J652" s="16">
        <f>VLOOKUP(I652,[2]行业排放因子!$A:$B,2,0)</f>
        <v>0.377769264521707</v>
      </c>
      <c r="K652" s="9" t="s">
        <v>1489</v>
      </c>
    </row>
    <row r="653" spans="1:11" ht="12.5" customHeight="1" x14ac:dyDescent="0.25">
      <c r="A653" s="5" t="s">
        <v>2294</v>
      </c>
      <c r="B653" s="6" t="s">
        <v>1484</v>
      </c>
      <c r="C653" s="6" t="s">
        <v>2133</v>
      </c>
      <c r="D653" s="9" t="s">
        <v>2175</v>
      </c>
      <c r="E653" s="6" t="s">
        <v>2295</v>
      </c>
      <c r="F653" s="6" t="s">
        <v>2296</v>
      </c>
      <c r="G653" s="6" t="s">
        <v>2178</v>
      </c>
      <c r="H653" s="9" t="s">
        <v>18</v>
      </c>
      <c r="I653" s="16" t="str">
        <f>VLOOKUP(F653,[1]完整分类结果!$E:$G,3,0)</f>
        <v>烟草加工业</v>
      </c>
      <c r="J653" s="16">
        <f>VLOOKUP(I653,[2]行业排放因子!$A:$B,2,0)</f>
        <v>0.377769264521707</v>
      </c>
      <c r="K653" s="9" t="s">
        <v>1489</v>
      </c>
    </row>
    <row r="654" spans="1:11" ht="12.5" customHeight="1" x14ac:dyDescent="0.25">
      <c r="A654" s="5" t="s">
        <v>2297</v>
      </c>
      <c r="B654" s="6" t="s">
        <v>1484</v>
      </c>
      <c r="C654" s="6" t="s">
        <v>2133</v>
      </c>
      <c r="D654" s="9" t="s">
        <v>2175</v>
      </c>
      <c r="E654" s="6" t="s">
        <v>2298</v>
      </c>
      <c r="F654" s="6" t="s">
        <v>2299</v>
      </c>
      <c r="G654" s="6" t="s">
        <v>2178</v>
      </c>
      <c r="H654" s="9" t="s">
        <v>18</v>
      </c>
      <c r="I654" s="16" t="str">
        <f>VLOOKUP(F654,[1]完整分类结果!$E:$G,3,0)</f>
        <v>烟草加工业</v>
      </c>
      <c r="J654" s="16">
        <f>VLOOKUP(I654,[2]行业排放因子!$A:$B,2,0)</f>
        <v>0.377769264521707</v>
      </c>
      <c r="K654" s="9" t="s">
        <v>1489</v>
      </c>
    </row>
    <row r="655" spans="1:11" ht="12.5" customHeight="1" x14ac:dyDescent="0.25">
      <c r="A655" s="5" t="s">
        <v>2300</v>
      </c>
      <c r="B655" s="6" t="s">
        <v>1484</v>
      </c>
      <c r="C655" s="6" t="s">
        <v>2133</v>
      </c>
      <c r="D655" s="9" t="s">
        <v>2175</v>
      </c>
      <c r="E655" s="6" t="s">
        <v>2301</v>
      </c>
      <c r="F655" s="6" t="s">
        <v>2302</v>
      </c>
      <c r="G655" s="6" t="s">
        <v>2178</v>
      </c>
      <c r="H655" s="9" t="s">
        <v>18</v>
      </c>
      <c r="I655" s="16" t="str">
        <f>VLOOKUP(F655,[1]完整分类结果!$E:$G,3,0)</f>
        <v>烟草加工业</v>
      </c>
      <c r="J655" s="16">
        <f>VLOOKUP(I655,[2]行业排放因子!$A:$B,2,0)</f>
        <v>0.377769264521707</v>
      </c>
      <c r="K655" s="9" t="s">
        <v>1489</v>
      </c>
    </row>
    <row r="656" spans="1:11" ht="12.5" customHeight="1" x14ac:dyDescent="0.25">
      <c r="A656" s="5" t="s">
        <v>2303</v>
      </c>
      <c r="B656" s="6" t="s">
        <v>1484</v>
      </c>
      <c r="C656" s="6" t="s">
        <v>2133</v>
      </c>
      <c r="D656" s="9" t="s">
        <v>2175</v>
      </c>
      <c r="E656" s="6" t="s">
        <v>2304</v>
      </c>
      <c r="F656" s="6" t="s">
        <v>2305</v>
      </c>
      <c r="G656" s="6" t="s">
        <v>2178</v>
      </c>
      <c r="H656" s="9" t="s">
        <v>18</v>
      </c>
      <c r="I656" s="16" t="str">
        <f>VLOOKUP(F656,[1]完整分类结果!$E:$G,3,0)</f>
        <v>烟草加工业</v>
      </c>
      <c r="J656" s="16">
        <f>VLOOKUP(I656,[2]行业排放因子!$A:$B,2,0)</f>
        <v>0.377769264521707</v>
      </c>
      <c r="K656" s="9" t="s">
        <v>1489</v>
      </c>
    </row>
    <row r="657" spans="1:11" ht="12.5" customHeight="1" x14ac:dyDescent="0.25">
      <c r="A657" s="5" t="s">
        <v>2306</v>
      </c>
      <c r="B657" s="6" t="s">
        <v>1484</v>
      </c>
      <c r="C657" s="6" t="s">
        <v>2133</v>
      </c>
      <c r="D657" s="9" t="s">
        <v>2175</v>
      </c>
      <c r="E657" s="6" t="s">
        <v>2307</v>
      </c>
      <c r="F657" s="6" t="s">
        <v>2308</v>
      </c>
      <c r="G657" s="6" t="s">
        <v>2178</v>
      </c>
      <c r="H657" s="9" t="s">
        <v>18</v>
      </c>
      <c r="I657" s="16" t="str">
        <f>VLOOKUP(F657,[1]完整分类结果!$E:$G,3,0)</f>
        <v>烟草加工业</v>
      </c>
      <c r="J657" s="16">
        <f>VLOOKUP(I657,[2]行业排放因子!$A:$B,2,0)</f>
        <v>0.377769264521707</v>
      </c>
      <c r="K657" s="9" t="s">
        <v>1489</v>
      </c>
    </row>
    <row r="658" spans="1:11" ht="12.5" customHeight="1" x14ac:dyDescent="0.25">
      <c r="A658" s="5" t="s">
        <v>2309</v>
      </c>
      <c r="B658" s="6" t="s">
        <v>1484</v>
      </c>
      <c r="C658" s="6" t="s">
        <v>2133</v>
      </c>
      <c r="D658" s="9" t="s">
        <v>2175</v>
      </c>
      <c r="E658" s="6" t="s">
        <v>2310</v>
      </c>
      <c r="F658" s="6" t="s">
        <v>2311</v>
      </c>
      <c r="G658" s="6" t="s">
        <v>2178</v>
      </c>
      <c r="H658" s="9" t="s">
        <v>18</v>
      </c>
      <c r="I658" s="16" t="str">
        <f>VLOOKUP(F658,[1]完整分类结果!$E:$G,3,0)</f>
        <v>烟草加工业</v>
      </c>
      <c r="J658" s="16">
        <f>VLOOKUP(I658,[2]行业排放因子!$A:$B,2,0)</f>
        <v>0.377769264521707</v>
      </c>
      <c r="K658" s="9" t="s">
        <v>1489</v>
      </c>
    </row>
    <row r="659" spans="1:11" ht="12.5" customHeight="1" x14ac:dyDescent="0.25">
      <c r="A659" s="5" t="s">
        <v>2312</v>
      </c>
      <c r="B659" s="6" t="s">
        <v>1484</v>
      </c>
      <c r="C659" s="6" t="s">
        <v>2133</v>
      </c>
      <c r="D659" s="9" t="s">
        <v>2175</v>
      </c>
      <c r="E659" s="6" t="s">
        <v>2313</v>
      </c>
      <c r="F659" s="6" t="s">
        <v>2314</v>
      </c>
      <c r="G659" s="6" t="s">
        <v>2315</v>
      </c>
      <c r="H659" s="9" t="s">
        <v>18</v>
      </c>
      <c r="I659" s="16" t="str">
        <f>VLOOKUP(F659,[1]完整分类结果!$E:$G,3,0)</f>
        <v>烟草加工业</v>
      </c>
      <c r="J659" s="16">
        <f>VLOOKUP(I659,[2]行业排放因子!$A:$B,2,0)</f>
        <v>0.377769264521707</v>
      </c>
      <c r="K659" s="9" t="s">
        <v>1489</v>
      </c>
    </row>
    <row r="660" spans="1:11" ht="12.5" customHeight="1" x14ac:dyDescent="0.25">
      <c r="A660" s="5" t="s">
        <v>2316</v>
      </c>
      <c r="B660" s="6" t="s">
        <v>1484</v>
      </c>
      <c r="C660" s="6" t="s">
        <v>2133</v>
      </c>
      <c r="D660" s="9" t="s">
        <v>2175</v>
      </c>
      <c r="E660" s="6" t="s">
        <v>2317</v>
      </c>
      <c r="F660" s="6" t="s">
        <v>2318</v>
      </c>
      <c r="G660" s="6" t="s">
        <v>2315</v>
      </c>
      <c r="H660" s="9" t="s">
        <v>18</v>
      </c>
      <c r="I660" s="16" t="str">
        <f>VLOOKUP(F660,[1]完整分类结果!$E:$G,3,0)</f>
        <v>烟草加工业</v>
      </c>
      <c r="J660" s="16">
        <f>VLOOKUP(I660,[2]行业排放因子!$A:$B,2,0)</f>
        <v>0.377769264521707</v>
      </c>
      <c r="K660" s="9" t="s">
        <v>1489</v>
      </c>
    </row>
    <row r="661" spans="1:11" ht="12.5" customHeight="1" x14ac:dyDescent="0.25">
      <c r="A661" s="5" t="s">
        <v>2319</v>
      </c>
      <c r="B661" s="6" t="s">
        <v>1484</v>
      </c>
      <c r="C661" s="6" t="s">
        <v>2133</v>
      </c>
      <c r="D661" s="9" t="s">
        <v>2175</v>
      </c>
      <c r="E661" s="6" t="s">
        <v>2320</v>
      </c>
      <c r="F661" s="6" t="s">
        <v>2321</v>
      </c>
      <c r="G661" s="6" t="s">
        <v>2315</v>
      </c>
      <c r="H661" s="9" t="s">
        <v>18</v>
      </c>
      <c r="I661" s="16" t="str">
        <f>VLOOKUP(F661,[1]完整分类结果!$E:$G,3,0)</f>
        <v>烟草加工业</v>
      </c>
      <c r="J661" s="16">
        <f>VLOOKUP(I661,[2]行业排放因子!$A:$B,2,0)</f>
        <v>0.377769264521707</v>
      </c>
      <c r="K661" s="9" t="s">
        <v>1489</v>
      </c>
    </row>
    <row r="662" spans="1:11" ht="12.5" customHeight="1" x14ac:dyDescent="0.25">
      <c r="A662" s="5" t="s">
        <v>2322</v>
      </c>
      <c r="B662" s="6" t="s">
        <v>1484</v>
      </c>
      <c r="C662" s="6" t="s">
        <v>2133</v>
      </c>
      <c r="D662" s="9" t="s">
        <v>2175</v>
      </c>
      <c r="E662" s="6" t="s">
        <v>2323</v>
      </c>
      <c r="F662" s="6" t="s">
        <v>2324</v>
      </c>
      <c r="G662" s="6" t="s">
        <v>2315</v>
      </c>
      <c r="H662" s="9" t="s">
        <v>18</v>
      </c>
      <c r="I662" s="16" t="str">
        <f>VLOOKUP(F662,[1]完整分类结果!$E:$G,3,0)</f>
        <v>烟草加工业</v>
      </c>
      <c r="J662" s="16">
        <f>VLOOKUP(I662,[2]行业排放因子!$A:$B,2,0)</f>
        <v>0.377769264521707</v>
      </c>
      <c r="K662" s="9" t="s">
        <v>1489</v>
      </c>
    </row>
    <row r="663" spans="1:11" ht="12.5" customHeight="1" x14ac:dyDescent="0.25">
      <c r="A663" s="5" t="s">
        <v>2325</v>
      </c>
      <c r="B663" s="6" t="s">
        <v>1484</v>
      </c>
      <c r="C663" s="6" t="s">
        <v>2133</v>
      </c>
      <c r="D663" s="9" t="s">
        <v>2175</v>
      </c>
      <c r="E663" s="6" t="s">
        <v>2326</v>
      </c>
      <c r="F663" s="6" t="s">
        <v>2327</v>
      </c>
      <c r="G663" s="6" t="s">
        <v>2315</v>
      </c>
      <c r="H663" s="9" t="s">
        <v>18</v>
      </c>
      <c r="I663" s="16" t="str">
        <f>VLOOKUP(F663,[1]完整分类结果!$E:$G,3,0)</f>
        <v>烟草加工业</v>
      </c>
      <c r="J663" s="16">
        <f>VLOOKUP(I663,[2]行业排放因子!$A:$B,2,0)</f>
        <v>0.377769264521707</v>
      </c>
      <c r="K663" s="9" t="s">
        <v>1489</v>
      </c>
    </row>
    <row r="664" spans="1:11" ht="12.5" customHeight="1" x14ac:dyDescent="0.25">
      <c r="A664" s="5" t="s">
        <v>2328</v>
      </c>
      <c r="B664" s="6" t="s">
        <v>1484</v>
      </c>
      <c r="C664" s="6" t="s">
        <v>2133</v>
      </c>
      <c r="D664" s="9" t="s">
        <v>2175</v>
      </c>
      <c r="E664" s="6" t="s">
        <v>2329</v>
      </c>
      <c r="F664" s="6" t="s">
        <v>2330</v>
      </c>
      <c r="G664" s="6" t="s">
        <v>2315</v>
      </c>
      <c r="H664" s="9" t="s">
        <v>18</v>
      </c>
      <c r="I664" s="16" t="str">
        <f>VLOOKUP(F664,[1]完整分类结果!$E:$G,3,0)</f>
        <v>烟草加工业</v>
      </c>
      <c r="J664" s="16">
        <f>VLOOKUP(I664,[2]行业排放因子!$A:$B,2,0)</f>
        <v>0.377769264521707</v>
      </c>
      <c r="K664" s="9" t="s">
        <v>1489</v>
      </c>
    </row>
    <row r="665" spans="1:11" ht="12.5" customHeight="1" x14ac:dyDescent="0.25">
      <c r="A665" s="5" t="s">
        <v>2331</v>
      </c>
      <c r="B665" s="6" t="s">
        <v>1484</v>
      </c>
      <c r="C665" s="6" t="s">
        <v>2133</v>
      </c>
      <c r="D665" s="9" t="s">
        <v>2175</v>
      </c>
      <c r="E665" s="6" t="s">
        <v>2332</v>
      </c>
      <c r="F665" s="6" t="s">
        <v>2333</v>
      </c>
      <c r="G665" s="6" t="s">
        <v>2315</v>
      </c>
      <c r="H665" s="9" t="s">
        <v>18</v>
      </c>
      <c r="I665" s="16" t="str">
        <f>VLOOKUP(F665,[1]完整分类结果!$E:$G,3,0)</f>
        <v>烟草加工业</v>
      </c>
      <c r="J665" s="16">
        <f>VLOOKUP(I665,[2]行业排放因子!$A:$B,2,0)</f>
        <v>0.377769264521707</v>
      </c>
      <c r="K665" s="9" t="s">
        <v>1489</v>
      </c>
    </row>
    <row r="666" spans="1:11" ht="12.5" customHeight="1" x14ac:dyDescent="0.25">
      <c r="A666" s="5" t="s">
        <v>2334</v>
      </c>
      <c r="B666" s="6" t="s">
        <v>1484</v>
      </c>
      <c r="C666" s="6" t="s">
        <v>2133</v>
      </c>
      <c r="D666" s="9" t="s">
        <v>2175</v>
      </c>
      <c r="E666" s="6" t="s">
        <v>2335</v>
      </c>
      <c r="F666" s="6" t="s">
        <v>2336</v>
      </c>
      <c r="G666" s="6" t="s">
        <v>2315</v>
      </c>
      <c r="H666" s="9" t="s">
        <v>18</v>
      </c>
      <c r="I666" s="16" t="str">
        <f>VLOOKUP(F666,[1]完整分类结果!$E:$G,3,0)</f>
        <v>烟草加工业</v>
      </c>
      <c r="J666" s="16">
        <f>VLOOKUP(I666,[2]行业排放因子!$A:$B,2,0)</f>
        <v>0.377769264521707</v>
      </c>
      <c r="K666" s="9" t="s">
        <v>1489</v>
      </c>
    </row>
    <row r="667" spans="1:11" ht="12.5" customHeight="1" x14ac:dyDescent="0.25">
      <c r="A667" s="5" t="s">
        <v>2337</v>
      </c>
      <c r="B667" s="6" t="s">
        <v>1484</v>
      </c>
      <c r="C667" s="6" t="s">
        <v>2133</v>
      </c>
      <c r="D667" s="9" t="s">
        <v>2175</v>
      </c>
      <c r="E667" s="6" t="s">
        <v>2338</v>
      </c>
      <c r="F667" s="6" t="s">
        <v>2339</v>
      </c>
      <c r="G667" s="6" t="s">
        <v>2315</v>
      </c>
      <c r="H667" s="9" t="s">
        <v>18</v>
      </c>
      <c r="I667" s="16" t="str">
        <f>VLOOKUP(F667,[1]完整分类结果!$E:$G,3,0)</f>
        <v>烟草加工业</v>
      </c>
      <c r="J667" s="16">
        <f>VLOOKUP(I667,[2]行业排放因子!$A:$B,2,0)</f>
        <v>0.377769264521707</v>
      </c>
      <c r="K667" s="9" t="s">
        <v>1489</v>
      </c>
    </row>
    <row r="668" spans="1:11" ht="12.5" customHeight="1" x14ac:dyDescent="0.25">
      <c r="A668" s="5" t="s">
        <v>2340</v>
      </c>
      <c r="B668" s="6" t="s">
        <v>1484</v>
      </c>
      <c r="C668" s="6" t="s">
        <v>2133</v>
      </c>
      <c r="D668" s="9" t="s">
        <v>2175</v>
      </c>
      <c r="E668" s="6" t="s">
        <v>2341</v>
      </c>
      <c r="F668" s="6" t="s">
        <v>2342</v>
      </c>
      <c r="G668" s="6" t="s">
        <v>2315</v>
      </c>
      <c r="H668" s="9" t="s">
        <v>18</v>
      </c>
      <c r="I668" s="16" t="str">
        <f>VLOOKUP(F668,[1]完整分类结果!$E:$G,3,0)</f>
        <v>烟草加工业</v>
      </c>
      <c r="J668" s="16">
        <f>VLOOKUP(I668,[2]行业排放因子!$A:$B,2,0)</f>
        <v>0.377769264521707</v>
      </c>
      <c r="K668" s="9" t="s">
        <v>1489</v>
      </c>
    </row>
    <row r="669" spans="1:11" ht="12.5" customHeight="1" x14ac:dyDescent="0.25">
      <c r="A669" s="5" t="s">
        <v>2343</v>
      </c>
      <c r="B669" s="6" t="s">
        <v>1484</v>
      </c>
      <c r="C669" s="6" t="s">
        <v>2133</v>
      </c>
      <c r="D669" s="9" t="s">
        <v>2175</v>
      </c>
      <c r="E669" s="6" t="s">
        <v>2344</v>
      </c>
      <c r="F669" s="6" t="s">
        <v>2345</v>
      </c>
      <c r="G669" s="6" t="s">
        <v>2315</v>
      </c>
      <c r="H669" s="9" t="s">
        <v>18</v>
      </c>
      <c r="I669" s="16" t="str">
        <f>VLOOKUP(F669,[1]完整分类结果!$E:$G,3,0)</f>
        <v>烟草加工业</v>
      </c>
      <c r="J669" s="16">
        <f>VLOOKUP(I669,[2]行业排放因子!$A:$B,2,0)</f>
        <v>0.377769264521707</v>
      </c>
      <c r="K669" s="9" t="s">
        <v>1489</v>
      </c>
    </row>
    <row r="670" spans="1:11" ht="12.5" customHeight="1" x14ac:dyDescent="0.25">
      <c r="A670" s="5" t="s">
        <v>2346</v>
      </c>
      <c r="B670" s="6" t="s">
        <v>1484</v>
      </c>
      <c r="C670" s="6" t="s">
        <v>2133</v>
      </c>
      <c r="D670" s="9" t="s">
        <v>2175</v>
      </c>
      <c r="E670" s="6" t="s">
        <v>2347</v>
      </c>
      <c r="F670" s="6" t="s">
        <v>2348</v>
      </c>
      <c r="G670" s="6" t="s">
        <v>2315</v>
      </c>
      <c r="H670" s="9" t="s">
        <v>18</v>
      </c>
      <c r="I670" s="16" t="str">
        <f>VLOOKUP(F670,[1]完整分类结果!$E:$G,3,0)</f>
        <v>烟草加工业</v>
      </c>
      <c r="J670" s="16">
        <f>VLOOKUP(I670,[2]行业排放因子!$A:$B,2,0)</f>
        <v>0.377769264521707</v>
      </c>
      <c r="K670" s="9" t="s">
        <v>1489</v>
      </c>
    </row>
    <row r="671" spans="1:11" ht="12.5" customHeight="1" x14ac:dyDescent="0.25">
      <c r="A671" s="5" t="s">
        <v>2349</v>
      </c>
      <c r="B671" s="6" t="s">
        <v>1484</v>
      </c>
      <c r="C671" s="6" t="s">
        <v>2133</v>
      </c>
      <c r="D671" s="9" t="s">
        <v>2175</v>
      </c>
      <c r="E671" s="6" t="s">
        <v>2350</v>
      </c>
      <c r="F671" s="6" t="s">
        <v>2351</v>
      </c>
      <c r="G671" s="6" t="s">
        <v>2315</v>
      </c>
      <c r="H671" s="9" t="s">
        <v>18</v>
      </c>
      <c r="I671" s="16" t="str">
        <f>VLOOKUP(F671,[1]完整分类结果!$E:$G,3,0)</f>
        <v>烟草加工业</v>
      </c>
      <c r="J671" s="16">
        <f>VLOOKUP(I671,[2]行业排放因子!$A:$B,2,0)</f>
        <v>0.377769264521707</v>
      </c>
      <c r="K671" s="9" t="s">
        <v>1489</v>
      </c>
    </row>
    <row r="672" spans="1:11" ht="12.5" customHeight="1" x14ac:dyDescent="0.25">
      <c r="A672" s="5" t="s">
        <v>2352</v>
      </c>
      <c r="B672" s="6" t="s">
        <v>1484</v>
      </c>
      <c r="C672" s="6" t="s">
        <v>2133</v>
      </c>
      <c r="D672" s="9" t="s">
        <v>2175</v>
      </c>
      <c r="E672" s="6" t="s">
        <v>2353</v>
      </c>
      <c r="F672" s="6" t="s">
        <v>2354</v>
      </c>
      <c r="G672" s="6" t="s">
        <v>2315</v>
      </c>
      <c r="H672" s="9" t="s">
        <v>18</v>
      </c>
      <c r="I672" s="16" t="str">
        <f>VLOOKUP(F672,[1]完整分类结果!$E:$G,3,0)</f>
        <v>烟草加工业</v>
      </c>
      <c r="J672" s="16">
        <f>VLOOKUP(I672,[2]行业排放因子!$A:$B,2,0)</f>
        <v>0.377769264521707</v>
      </c>
      <c r="K672" s="9" t="s">
        <v>1489</v>
      </c>
    </row>
    <row r="673" spans="1:11" ht="12.5" customHeight="1" x14ac:dyDescent="0.25">
      <c r="A673" s="5" t="s">
        <v>2355</v>
      </c>
      <c r="B673" s="6" t="s">
        <v>1484</v>
      </c>
      <c r="C673" s="6" t="s">
        <v>2133</v>
      </c>
      <c r="D673" s="9" t="s">
        <v>2175</v>
      </c>
      <c r="E673" s="6" t="s">
        <v>2356</v>
      </c>
      <c r="F673" s="6" t="s">
        <v>2357</v>
      </c>
      <c r="G673" s="6" t="s">
        <v>2315</v>
      </c>
      <c r="H673" s="9" t="s">
        <v>18</v>
      </c>
      <c r="I673" s="16" t="str">
        <f>VLOOKUP(F673,[1]完整分类结果!$E:$G,3,0)</f>
        <v>烟草加工业</v>
      </c>
      <c r="J673" s="16">
        <f>VLOOKUP(I673,[2]行业排放因子!$A:$B,2,0)</f>
        <v>0.377769264521707</v>
      </c>
      <c r="K673" s="9" t="s">
        <v>1489</v>
      </c>
    </row>
    <row r="674" spans="1:11" ht="12.5" customHeight="1" x14ac:dyDescent="0.25">
      <c r="A674" s="5" t="s">
        <v>2358</v>
      </c>
      <c r="B674" s="6" t="s">
        <v>1484</v>
      </c>
      <c r="C674" s="6" t="s">
        <v>2133</v>
      </c>
      <c r="D674" s="9" t="s">
        <v>2175</v>
      </c>
      <c r="E674" s="6" t="s">
        <v>2359</v>
      </c>
      <c r="F674" s="6" t="s">
        <v>2360</v>
      </c>
      <c r="G674" s="6" t="s">
        <v>2315</v>
      </c>
      <c r="H674" s="9" t="s">
        <v>18</v>
      </c>
      <c r="I674" s="16" t="str">
        <f>VLOOKUP(F674,[1]完整分类结果!$E:$G,3,0)</f>
        <v>烟草加工业</v>
      </c>
      <c r="J674" s="16">
        <f>VLOOKUP(I674,[2]行业排放因子!$A:$B,2,0)</f>
        <v>0.377769264521707</v>
      </c>
      <c r="K674" s="9" t="s">
        <v>1489</v>
      </c>
    </row>
    <row r="675" spans="1:11" ht="12.5" customHeight="1" x14ac:dyDescent="0.25">
      <c r="A675" s="5" t="s">
        <v>2361</v>
      </c>
      <c r="B675" s="6" t="s">
        <v>1484</v>
      </c>
      <c r="C675" s="6" t="s">
        <v>2133</v>
      </c>
      <c r="D675" s="9" t="s">
        <v>2175</v>
      </c>
      <c r="E675" s="6" t="s">
        <v>2362</v>
      </c>
      <c r="F675" s="6" t="s">
        <v>2363</v>
      </c>
      <c r="G675" s="6" t="s">
        <v>2315</v>
      </c>
      <c r="H675" s="9" t="s">
        <v>18</v>
      </c>
      <c r="I675" s="16" t="str">
        <f>VLOOKUP(F675,[1]完整分类结果!$E:$G,3,0)</f>
        <v>烟草加工业</v>
      </c>
      <c r="J675" s="16">
        <f>VLOOKUP(I675,[2]行业排放因子!$A:$B,2,0)</f>
        <v>0.377769264521707</v>
      </c>
      <c r="K675" s="9" t="s">
        <v>1489</v>
      </c>
    </row>
    <row r="676" spans="1:11" ht="12.5" customHeight="1" x14ac:dyDescent="0.25">
      <c r="A676" s="5" t="s">
        <v>2364</v>
      </c>
      <c r="B676" s="6" t="s">
        <v>1484</v>
      </c>
      <c r="C676" s="6" t="s">
        <v>2133</v>
      </c>
      <c r="D676" s="9" t="s">
        <v>2175</v>
      </c>
      <c r="E676" s="6" t="s">
        <v>2365</v>
      </c>
      <c r="F676" s="6" t="s">
        <v>2366</v>
      </c>
      <c r="G676" s="6" t="s">
        <v>2315</v>
      </c>
      <c r="H676" s="9" t="s">
        <v>18</v>
      </c>
      <c r="I676" s="16" t="str">
        <f>VLOOKUP(F676,[1]完整分类结果!$E:$G,3,0)</f>
        <v>烟草加工业</v>
      </c>
      <c r="J676" s="16">
        <f>VLOOKUP(I676,[2]行业排放因子!$A:$B,2,0)</f>
        <v>0.377769264521707</v>
      </c>
      <c r="K676" s="9" t="s">
        <v>1489</v>
      </c>
    </row>
    <row r="677" spans="1:11" ht="12.5" customHeight="1" x14ac:dyDescent="0.25">
      <c r="A677" s="5" t="s">
        <v>2367</v>
      </c>
      <c r="B677" s="6" t="s">
        <v>1484</v>
      </c>
      <c r="C677" s="6" t="s">
        <v>2133</v>
      </c>
      <c r="D677" s="9" t="s">
        <v>2175</v>
      </c>
      <c r="E677" s="6" t="s">
        <v>2368</v>
      </c>
      <c r="F677" s="6" t="s">
        <v>2369</v>
      </c>
      <c r="G677" s="6" t="s">
        <v>2315</v>
      </c>
      <c r="H677" s="9" t="s">
        <v>18</v>
      </c>
      <c r="I677" s="16" t="str">
        <f>VLOOKUP(F677,[1]完整分类结果!$E:$G,3,0)</f>
        <v>烟草加工业</v>
      </c>
      <c r="J677" s="16">
        <f>VLOOKUP(I677,[2]行业排放因子!$A:$B,2,0)</f>
        <v>0.377769264521707</v>
      </c>
      <c r="K677" s="9" t="s">
        <v>1489</v>
      </c>
    </row>
    <row r="678" spans="1:11" ht="12.5" customHeight="1" x14ac:dyDescent="0.25">
      <c r="A678" s="5" t="s">
        <v>2370</v>
      </c>
      <c r="B678" s="6" t="s">
        <v>1484</v>
      </c>
      <c r="C678" s="6" t="s">
        <v>2133</v>
      </c>
      <c r="D678" s="9" t="s">
        <v>2175</v>
      </c>
      <c r="E678" s="6" t="s">
        <v>2371</v>
      </c>
      <c r="F678" s="6" t="s">
        <v>2372</v>
      </c>
      <c r="G678" s="6" t="s">
        <v>2315</v>
      </c>
      <c r="H678" s="9" t="s">
        <v>18</v>
      </c>
      <c r="I678" s="16" t="str">
        <f>VLOOKUP(F678,[1]完整分类结果!$E:$G,3,0)</f>
        <v>烟草加工业</v>
      </c>
      <c r="J678" s="16">
        <f>VLOOKUP(I678,[2]行业排放因子!$A:$B,2,0)</f>
        <v>0.377769264521707</v>
      </c>
      <c r="K678" s="9" t="s">
        <v>1489</v>
      </c>
    </row>
    <row r="679" spans="1:11" ht="12.5" customHeight="1" x14ac:dyDescent="0.25">
      <c r="A679" s="5" t="s">
        <v>2373</v>
      </c>
      <c r="B679" s="6" t="s">
        <v>1484</v>
      </c>
      <c r="C679" s="6" t="s">
        <v>2133</v>
      </c>
      <c r="D679" s="9" t="s">
        <v>2175</v>
      </c>
      <c r="E679" s="6" t="s">
        <v>2374</v>
      </c>
      <c r="F679" s="6" t="s">
        <v>2375</v>
      </c>
      <c r="G679" s="6" t="s">
        <v>2315</v>
      </c>
      <c r="H679" s="9" t="s">
        <v>18</v>
      </c>
      <c r="I679" s="16" t="str">
        <f>VLOOKUP(F679,[1]完整分类结果!$E:$G,3,0)</f>
        <v>烟草加工业</v>
      </c>
      <c r="J679" s="16">
        <f>VLOOKUP(I679,[2]行业排放因子!$A:$B,2,0)</f>
        <v>0.377769264521707</v>
      </c>
      <c r="K679" s="9" t="s">
        <v>1489</v>
      </c>
    </row>
    <row r="680" spans="1:11" ht="12.5" customHeight="1" x14ac:dyDescent="0.25">
      <c r="A680" s="5" t="s">
        <v>2376</v>
      </c>
      <c r="B680" s="6" t="s">
        <v>1484</v>
      </c>
      <c r="C680" s="6" t="s">
        <v>2133</v>
      </c>
      <c r="D680" s="9" t="s">
        <v>2175</v>
      </c>
      <c r="E680" s="6" t="s">
        <v>2377</v>
      </c>
      <c r="F680" s="6" t="s">
        <v>2378</v>
      </c>
      <c r="G680" s="6" t="s">
        <v>2315</v>
      </c>
      <c r="H680" s="9" t="s">
        <v>18</v>
      </c>
      <c r="I680" s="16" t="str">
        <f>VLOOKUP(F680,[1]完整分类结果!$E:$G,3,0)</f>
        <v>烟草加工业</v>
      </c>
      <c r="J680" s="16">
        <f>VLOOKUP(I680,[2]行业排放因子!$A:$B,2,0)</f>
        <v>0.377769264521707</v>
      </c>
      <c r="K680" s="9" t="s">
        <v>1489</v>
      </c>
    </row>
    <row r="681" spans="1:11" ht="12.5" customHeight="1" x14ac:dyDescent="0.25">
      <c r="A681" s="5" t="s">
        <v>2379</v>
      </c>
      <c r="B681" s="6" t="s">
        <v>1484</v>
      </c>
      <c r="C681" s="6" t="s">
        <v>2133</v>
      </c>
      <c r="D681" s="9" t="s">
        <v>2175</v>
      </c>
      <c r="E681" s="6" t="s">
        <v>2380</v>
      </c>
      <c r="F681" s="6" t="s">
        <v>2381</v>
      </c>
      <c r="G681" s="6" t="s">
        <v>2315</v>
      </c>
      <c r="H681" s="9" t="s">
        <v>18</v>
      </c>
      <c r="I681" s="16" t="str">
        <f>VLOOKUP(F681,[1]完整分类结果!$E:$G,3,0)</f>
        <v>烟草加工业</v>
      </c>
      <c r="J681" s="16">
        <f>VLOOKUP(I681,[2]行业排放因子!$A:$B,2,0)</f>
        <v>0.377769264521707</v>
      </c>
      <c r="K681" s="9" t="s">
        <v>1489</v>
      </c>
    </row>
    <row r="682" spans="1:11" ht="12.5" customHeight="1" x14ac:dyDescent="0.25">
      <c r="A682" s="5" t="s">
        <v>2382</v>
      </c>
      <c r="B682" s="6" t="s">
        <v>1484</v>
      </c>
      <c r="C682" s="6" t="s">
        <v>2133</v>
      </c>
      <c r="D682" s="9" t="s">
        <v>2175</v>
      </c>
      <c r="E682" s="6" t="s">
        <v>2383</v>
      </c>
      <c r="F682" s="6" t="s">
        <v>2384</v>
      </c>
      <c r="G682" s="6" t="s">
        <v>2315</v>
      </c>
      <c r="H682" s="9" t="s">
        <v>18</v>
      </c>
      <c r="I682" s="16" t="str">
        <f>VLOOKUP(F682,[1]完整分类结果!$E:$G,3,0)</f>
        <v>烟草加工业</v>
      </c>
      <c r="J682" s="16">
        <f>VLOOKUP(I682,[2]行业排放因子!$A:$B,2,0)</f>
        <v>0.377769264521707</v>
      </c>
      <c r="K682" s="9" t="s">
        <v>1489</v>
      </c>
    </row>
    <row r="683" spans="1:11" ht="12.5" customHeight="1" x14ac:dyDescent="0.25">
      <c r="A683" s="5" t="s">
        <v>2385</v>
      </c>
      <c r="B683" s="6" t="s">
        <v>1484</v>
      </c>
      <c r="C683" s="6" t="s">
        <v>2133</v>
      </c>
      <c r="D683" s="9" t="s">
        <v>2175</v>
      </c>
      <c r="E683" s="6" t="s">
        <v>2386</v>
      </c>
      <c r="F683" s="6" t="s">
        <v>2387</v>
      </c>
      <c r="G683" s="6" t="s">
        <v>2315</v>
      </c>
      <c r="H683" s="9" t="s">
        <v>18</v>
      </c>
      <c r="I683" s="16" t="str">
        <f>VLOOKUP(F683,[1]完整分类结果!$E:$G,3,0)</f>
        <v>烟草加工业</v>
      </c>
      <c r="J683" s="16">
        <f>VLOOKUP(I683,[2]行业排放因子!$A:$B,2,0)</f>
        <v>0.377769264521707</v>
      </c>
      <c r="K683" s="9" t="s">
        <v>1489</v>
      </c>
    </row>
    <row r="684" spans="1:11" ht="12.5" customHeight="1" x14ac:dyDescent="0.25">
      <c r="A684" s="5" t="s">
        <v>2388</v>
      </c>
      <c r="B684" s="6" t="s">
        <v>1484</v>
      </c>
      <c r="C684" s="6" t="s">
        <v>2133</v>
      </c>
      <c r="D684" s="9" t="s">
        <v>2175</v>
      </c>
      <c r="E684" s="6" t="s">
        <v>2389</v>
      </c>
      <c r="F684" s="6" t="s">
        <v>2390</v>
      </c>
      <c r="G684" s="6" t="s">
        <v>2315</v>
      </c>
      <c r="H684" s="9" t="s">
        <v>18</v>
      </c>
      <c r="I684" s="16" t="str">
        <f>VLOOKUP(F684,[1]完整分类结果!$E:$G,3,0)</f>
        <v>烟草加工业</v>
      </c>
      <c r="J684" s="16">
        <f>VLOOKUP(I684,[2]行业排放因子!$A:$B,2,0)</f>
        <v>0.377769264521707</v>
      </c>
      <c r="K684" s="9" t="s">
        <v>1489</v>
      </c>
    </row>
    <row r="685" spans="1:11" ht="12.5" customHeight="1" x14ac:dyDescent="0.25">
      <c r="A685" s="5" t="s">
        <v>2391</v>
      </c>
      <c r="B685" s="6" t="s">
        <v>1484</v>
      </c>
      <c r="C685" s="6" t="s">
        <v>2133</v>
      </c>
      <c r="D685" s="9" t="s">
        <v>2175</v>
      </c>
      <c r="E685" s="6" t="s">
        <v>2392</v>
      </c>
      <c r="F685" s="6" t="s">
        <v>2393</v>
      </c>
      <c r="G685" s="6" t="s">
        <v>2315</v>
      </c>
      <c r="H685" s="9" t="s">
        <v>18</v>
      </c>
      <c r="I685" s="16" t="str">
        <f>VLOOKUP(F685,[1]完整分类结果!$E:$G,3,0)</f>
        <v>烟草加工业</v>
      </c>
      <c r="J685" s="16">
        <f>VLOOKUP(I685,[2]行业排放因子!$A:$B,2,0)</f>
        <v>0.377769264521707</v>
      </c>
      <c r="K685" s="9" t="s">
        <v>1489</v>
      </c>
    </row>
    <row r="686" spans="1:11" ht="12.5" customHeight="1" x14ac:dyDescent="0.25">
      <c r="A686" s="5" t="s">
        <v>2394</v>
      </c>
      <c r="B686" s="6" t="s">
        <v>1484</v>
      </c>
      <c r="C686" s="6" t="s">
        <v>2133</v>
      </c>
      <c r="D686" s="9" t="s">
        <v>2175</v>
      </c>
      <c r="E686" s="6" t="s">
        <v>2395</v>
      </c>
      <c r="F686" s="6" t="s">
        <v>2396</v>
      </c>
      <c r="G686" s="6" t="s">
        <v>2315</v>
      </c>
      <c r="H686" s="9" t="s">
        <v>18</v>
      </c>
      <c r="I686" s="16" t="str">
        <f>VLOOKUP(F686,[1]完整分类结果!$E:$G,3,0)</f>
        <v>烟草加工业</v>
      </c>
      <c r="J686" s="16">
        <f>VLOOKUP(I686,[2]行业排放因子!$A:$B,2,0)</f>
        <v>0.377769264521707</v>
      </c>
      <c r="K686" s="9" t="s">
        <v>1489</v>
      </c>
    </row>
    <row r="687" spans="1:11" ht="12.5" customHeight="1" x14ac:dyDescent="0.25">
      <c r="A687" s="5" t="s">
        <v>2397</v>
      </c>
      <c r="B687" s="6" t="s">
        <v>1484</v>
      </c>
      <c r="C687" s="6" t="s">
        <v>2133</v>
      </c>
      <c r="D687" s="9" t="s">
        <v>2175</v>
      </c>
      <c r="E687" s="6" t="s">
        <v>2398</v>
      </c>
      <c r="F687" s="6" t="s">
        <v>2399</v>
      </c>
      <c r="G687" s="6" t="s">
        <v>2315</v>
      </c>
      <c r="H687" s="9" t="s">
        <v>18</v>
      </c>
      <c r="I687" s="16" t="str">
        <f>VLOOKUP(F687,[1]完整分类结果!$E:$G,3,0)</f>
        <v>烟草加工业</v>
      </c>
      <c r="J687" s="16">
        <f>VLOOKUP(I687,[2]行业排放因子!$A:$B,2,0)</f>
        <v>0.377769264521707</v>
      </c>
      <c r="K687" s="9" t="s">
        <v>1489</v>
      </c>
    </row>
    <row r="688" spans="1:11" ht="12.5" customHeight="1" x14ac:dyDescent="0.25">
      <c r="A688" s="5" t="s">
        <v>2400</v>
      </c>
      <c r="B688" s="6" t="s">
        <v>1484</v>
      </c>
      <c r="C688" s="6" t="s">
        <v>2133</v>
      </c>
      <c r="D688" s="9" t="s">
        <v>2175</v>
      </c>
      <c r="E688" s="6" t="s">
        <v>2401</v>
      </c>
      <c r="F688" s="6" t="s">
        <v>2402</v>
      </c>
      <c r="G688" s="6" t="s">
        <v>2315</v>
      </c>
      <c r="H688" s="9" t="s">
        <v>18</v>
      </c>
      <c r="I688" s="16" t="str">
        <f>VLOOKUP(F688,[1]完整分类结果!$E:$G,3,0)</f>
        <v>烟草加工业</v>
      </c>
      <c r="J688" s="16">
        <f>VLOOKUP(I688,[2]行业排放因子!$A:$B,2,0)</f>
        <v>0.377769264521707</v>
      </c>
      <c r="K688" s="9" t="s">
        <v>1489</v>
      </c>
    </row>
    <row r="689" spans="1:11" ht="12.5" customHeight="1" x14ac:dyDescent="0.25">
      <c r="A689" s="5" t="s">
        <v>2403</v>
      </c>
      <c r="B689" s="6" t="s">
        <v>1484</v>
      </c>
      <c r="C689" s="6" t="s">
        <v>2133</v>
      </c>
      <c r="D689" s="9" t="s">
        <v>2175</v>
      </c>
      <c r="E689" s="6" t="s">
        <v>2404</v>
      </c>
      <c r="F689" s="6" t="s">
        <v>2405</v>
      </c>
      <c r="G689" s="6" t="s">
        <v>2315</v>
      </c>
      <c r="H689" s="9" t="s">
        <v>18</v>
      </c>
      <c r="I689" s="16" t="str">
        <f>VLOOKUP(F689,[1]完整分类结果!$E:$G,3,0)</f>
        <v>烟草加工业</v>
      </c>
      <c r="J689" s="16">
        <f>VLOOKUP(I689,[2]行业排放因子!$A:$B,2,0)</f>
        <v>0.377769264521707</v>
      </c>
      <c r="K689" s="9" t="s">
        <v>1489</v>
      </c>
    </row>
    <row r="690" spans="1:11" ht="12.5" customHeight="1" x14ac:dyDescent="0.25">
      <c r="A690" s="5" t="s">
        <v>2406</v>
      </c>
      <c r="B690" s="6" t="s">
        <v>1484</v>
      </c>
      <c r="C690" s="6" t="s">
        <v>2133</v>
      </c>
      <c r="D690" s="9" t="s">
        <v>2175</v>
      </c>
      <c r="E690" s="6" t="s">
        <v>2407</v>
      </c>
      <c r="F690" s="6" t="s">
        <v>2408</v>
      </c>
      <c r="G690" s="6" t="s">
        <v>2315</v>
      </c>
      <c r="H690" s="9" t="s">
        <v>18</v>
      </c>
      <c r="I690" s="16" t="str">
        <f>VLOOKUP(F690,[1]完整分类结果!$E:$G,3,0)</f>
        <v>烟草加工业</v>
      </c>
      <c r="J690" s="16">
        <f>VLOOKUP(I690,[2]行业排放因子!$A:$B,2,0)</f>
        <v>0.377769264521707</v>
      </c>
      <c r="K690" s="9" t="s">
        <v>1489</v>
      </c>
    </row>
    <row r="691" spans="1:11" ht="12.5" customHeight="1" x14ac:dyDescent="0.25">
      <c r="A691" s="5" t="s">
        <v>2409</v>
      </c>
      <c r="B691" s="6" t="s">
        <v>1484</v>
      </c>
      <c r="C691" s="6" t="s">
        <v>2133</v>
      </c>
      <c r="D691" s="9" t="s">
        <v>2175</v>
      </c>
      <c r="E691" s="6" t="s">
        <v>2410</v>
      </c>
      <c r="F691" s="6" t="s">
        <v>2411</v>
      </c>
      <c r="G691" s="6" t="s">
        <v>2315</v>
      </c>
      <c r="H691" s="9" t="s">
        <v>18</v>
      </c>
      <c r="I691" s="16" t="str">
        <f>VLOOKUP(F691,[1]完整分类结果!$E:$G,3,0)</f>
        <v>烟草加工业</v>
      </c>
      <c r="J691" s="16">
        <f>VLOOKUP(I691,[2]行业排放因子!$A:$B,2,0)</f>
        <v>0.377769264521707</v>
      </c>
      <c r="K691" s="9" t="s">
        <v>1489</v>
      </c>
    </row>
    <row r="692" spans="1:11" ht="12.5" customHeight="1" x14ac:dyDescent="0.25">
      <c r="A692" s="5" t="s">
        <v>2412</v>
      </c>
      <c r="B692" s="6" t="s">
        <v>1484</v>
      </c>
      <c r="C692" s="6" t="s">
        <v>2133</v>
      </c>
      <c r="D692" s="9" t="s">
        <v>2175</v>
      </c>
      <c r="E692" s="6" t="s">
        <v>2413</v>
      </c>
      <c r="F692" s="6" t="s">
        <v>2414</v>
      </c>
      <c r="G692" s="6" t="s">
        <v>2315</v>
      </c>
      <c r="H692" s="9" t="s">
        <v>18</v>
      </c>
      <c r="I692" s="16" t="str">
        <f>VLOOKUP(F692,[1]完整分类结果!$E:$G,3,0)</f>
        <v>烟草加工业</v>
      </c>
      <c r="J692" s="16">
        <f>VLOOKUP(I692,[2]行业排放因子!$A:$B,2,0)</f>
        <v>0.377769264521707</v>
      </c>
      <c r="K692" s="9" t="s">
        <v>1489</v>
      </c>
    </row>
    <row r="693" spans="1:11" ht="12.5" customHeight="1" x14ac:dyDescent="0.25">
      <c r="A693" s="5" t="s">
        <v>2415</v>
      </c>
      <c r="B693" s="6" t="s">
        <v>1484</v>
      </c>
      <c r="C693" s="6" t="s">
        <v>2133</v>
      </c>
      <c r="D693" s="9" t="s">
        <v>2175</v>
      </c>
      <c r="E693" s="6" t="s">
        <v>2416</v>
      </c>
      <c r="F693" s="6" t="s">
        <v>2417</v>
      </c>
      <c r="G693" s="6" t="s">
        <v>2315</v>
      </c>
      <c r="H693" s="9" t="s">
        <v>18</v>
      </c>
      <c r="I693" s="16" t="str">
        <f>VLOOKUP(F693,[1]完整分类结果!$E:$G,3,0)</f>
        <v>烟草加工业</v>
      </c>
      <c r="J693" s="16">
        <f>VLOOKUP(I693,[2]行业排放因子!$A:$B,2,0)</f>
        <v>0.377769264521707</v>
      </c>
      <c r="K693" s="9" t="s">
        <v>1489</v>
      </c>
    </row>
    <row r="694" spans="1:11" ht="12.5" customHeight="1" x14ac:dyDescent="0.25">
      <c r="A694" s="5" t="s">
        <v>2418</v>
      </c>
      <c r="B694" s="6" t="s">
        <v>1484</v>
      </c>
      <c r="C694" s="6" t="s">
        <v>2133</v>
      </c>
      <c r="D694" s="9" t="s">
        <v>2175</v>
      </c>
      <c r="E694" s="6" t="s">
        <v>2419</v>
      </c>
      <c r="F694" s="6" t="s">
        <v>2420</v>
      </c>
      <c r="G694" s="6" t="s">
        <v>2315</v>
      </c>
      <c r="H694" s="9" t="s">
        <v>18</v>
      </c>
      <c r="I694" s="16" t="str">
        <f>VLOOKUP(F694,[1]完整分类结果!$E:$G,3,0)</f>
        <v>烟草加工业</v>
      </c>
      <c r="J694" s="16">
        <f>VLOOKUP(I694,[2]行业排放因子!$A:$B,2,0)</f>
        <v>0.377769264521707</v>
      </c>
      <c r="K694" s="9" t="s">
        <v>1489</v>
      </c>
    </row>
    <row r="695" spans="1:11" ht="12.5" customHeight="1" x14ac:dyDescent="0.25">
      <c r="A695" s="5" t="s">
        <v>2421</v>
      </c>
      <c r="B695" s="6" t="s">
        <v>1484</v>
      </c>
      <c r="C695" s="6" t="s">
        <v>2133</v>
      </c>
      <c r="D695" s="9" t="s">
        <v>2175</v>
      </c>
      <c r="E695" s="6" t="s">
        <v>2422</v>
      </c>
      <c r="F695" s="6" t="s">
        <v>2423</v>
      </c>
      <c r="G695" s="6" t="s">
        <v>2315</v>
      </c>
      <c r="H695" s="9" t="s">
        <v>18</v>
      </c>
      <c r="I695" s="16" t="str">
        <f>VLOOKUP(F695,[1]完整分类结果!$E:$G,3,0)</f>
        <v>烟草加工业</v>
      </c>
      <c r="J695" s="16">
        <f>VLOOKUP(I695,[2]行业排放因子!$A:$B,2,0)</f>
        <v>0.377769264521707</v>
      </c>
      <c r="K695" s="9" t="s">
        <v>1489</v>
      </c>
    </row>
    <row r="696" spans="1:11" ht="12.5" customHeight="1" x14ac:dyDescent="0.25">
      <c r="A696" s="5" t="s">
        <v>2424</v>
      </c>
      <c r="B696" s="6" t="s">
        <v>1484</v>
      </c>
      <c r="C696" s="6" t="s">
        <v>2133</v>
      </c>
      <c r="D696" s="9" t="s">
        <v>2175</v>
      </c>
      <c r="E696" s="6" t="s">
        <v>2425</v>
      </c>
      <c r="F696" s="6" t="s">
        <v>2426</v>
      </c>
      <c r="G696" s="6" t="s">
        <v>2315</v>
      </c>
      <c r="H696" s="9" t="s">
        <v>18</v>
      </c>
      <c r="I696" s="16" t="str">
        <f>VLOOKUP(F696,[1]完整分类结果!$E:$G,3,0)</f>
        <v>烟草加工业</v>
      </c>
      <c r="J696" s="16">
        <f>VLOOKUP(I696,[2]行业排放因子!$A:$B,2,0)</f>
        <v>0.377769264521707</v>
      </c>
      <c r="K696" s="9" t="s">
        <v>1489</v>
      </c>
    </row>
    <row r="697" spans="1:11" ht="12.5" customHeight="1" x14ac:dyDescent="0.25">
      <c r="A697" s="5" t="s">
        <v>2427</v>
      </c>
      <c r="B697" s="6" t="s">
        <v>1484</v>
      </c>
      <c r="C697" s="6" t="s">
        <v>2133</v>
      </c>
      <c r="D697" s="9" t="s">
        <v>2175</v>
      </c>
      <c r="E697" s="6" t="s">
        <v>2428</v>
      </c>
      <c r="F697" s="6" t="s">
        <v>2429</v>
      </c>
      <c r="G697" s="6" t="s">
        <v>2315</v>
      </c>
      <c r="H697" s="9" t="s">
        <v>18</v>
      </c>
      <c r="I697" s="16" t="str">
        <f>VLOOKUP(F697,[1]完整分类结果!$E:$G,3,0)</f>
        <v>烟草加工业</v>
      </c>
      <c r="J697" s="16">
        <f>VLOOKUP(I697,[2]行业排放因子!$A:$B,2,0)</f>
        <v>0.377769264521707</v>
      </c>
      <c r="K697" s="9" t="s">
        <v>1489</v>
      </c>
    </row>
    <row r="698" spans="1:11" ht="12.5" customHeight="1" x14ac:dyDescent="0.25">
      <c r="A698" s="5" t="s">
        <v>2430</v>
      </c>
      <c r="B698" s="6" t="s">
        <v>1484</v>
      </c>
      <c r="C698" s="6" t="s">
        <v>2133</v>
      </c>
      <c r="D698" s="9" t="s">
        <v>2175</v>
      </c>
      <c r="E698" s="6" t="s">
        <v>2431</v>
      </c>
      <c r="F698" s="6" t="s">
        <v>2432</v>
      </c>
      <c r="G698" s="6" t="s">
        <v>2315</v>
      </c>
      <c r="H698" s="9" t="s">
        <v>18</v>
      </c>
      <c r="I698" s="16" t="str">
        <f>VLOOKUP(F698,[1]完整分类结果!$E:$G,3,0)</f>
        <v>烟草加工业</v>
      </c>
      <c r="J698" s="16">
        <f>VLOOKUP(I698,[2]行业排放因子!$A:$B,2,0)</f>
        <v>0.377769264521707</v>
      </c>
      <c r="K698" s="9" t="s">
        <v>1489</v>
      </c>
    </row>
    <row r="699" spans="1:11" ht="12.5" customHeight="1" x14ac:dyDescent="0.25">
      <c r="A699" s="5" t="s">
        <v>2433</v>
      </c>
      <c r="B699" s="6" t="s">
        <v>1484</v>
      </c>
      <c r="C699" s="6" t="s">
        <v>2133</v>
      </c>
      <c r="D699" s="9" t="s">
        <v>2175</v>
      </c>
      <c r="E699" s="6" t="s">
        <v>2434</v>
      </c>
      <c r="F699" s="6" t="s">
        <v>2435</v>
      </c>
      <c r="G699" s="6" t="s">
        <v>2315</v>
      </c>
      <c r="H699" s="9" t="s">
        <v>18</v>
      </c>
      <c r="I699" s="16" t="str">
        <f>VLOOKUP(F699,[1]完整分类结果!$E:$G,3,0)</f>
        <v>烟草加工业</v>
      </c>
      <c r="J699" s="16">
        <f>VLOOKUP(I699,[2]行业排放因子!$A:$B,2,0)</f>
        <v>0.377769264521707</v>
      </c>
      <c r="K699" s="9" t="s">
        <v>1489</v>
      </c>
    </row>
    <row r="700" spans="1:11" ht="12.5" customHeight="1" x14ac:dyDescent="0.25">
      <c r="A700" s="5" t="s">
        <v>2436</v>
      </c>
      <c r="B700" s="6" t="s">
        <v>1484</v>
      </c>
      <c r="C700" s="6" t="s">
        <v>2133</v>
      </c>
      <c r="D700" s="9" t="s">
        <v>2175</v>
      </c>
      <c r="E700" s="6" t="s">
        <v>2437</v>
      </c>
      <c r="F700" s="6" t="s">
        <v>2438</v>
      </c>
      <c r="G700" s="6" t="s">
        <v>2315</v>
      </c>
      <c r="H700" s="9" t="s">
        <v>18</v>
      </c>
      <c r="I700" s="16" t="str">
        <f>VLOOKUP(F700,[1]完整分类结果!$E:$G,3,0)</f>
        <v>烟草加工业</v>
      </c>
      <c r="J700" s="16">
        <f>VLOOKUP(I700,[2]行业排放因子!$A:$B,2,0)</f>
        <v>0.377769264521707</v>
      </c>
      <c r="K700" s="9" t="s">
        <v>1489</v>
      </c>
    </row>
    <row r="701" spans="1:11" ht="12.5" customHeight="1" x14ac:dyDescent="0.25">
      <c r="A701" s="5" t="s">
        <v>2439</v>
      </c>
      <c r="B701" s="6" t="s">
        <v>1484</v>
      </c>
      <c r="C701" s="6" t="s">
        <v>2133</v>
      </c>
      <c r="D701" s="9" t="s">
        <v>2175</v>
      </c>
      <c r="E701" s="6" t="s">
        <v>2440</v>
      </c>
      <c r="F701" s="6" t="s">
        <v>2441</v>
      </c>
      <c r="G701" s="6" t="s">
        <v>2315</v>
      </c>
      <c r="H701" s="9" t="s">
        <v>18</v>
      </c>
      <c r="I701" s="16" t="str">
        <f>VLOOKUP(F701,[1]完整分类结果!$E:$G,3,0)</f>
        <v>烟草加工业</v>
      </c>
      <c r="J701" s="16">
        <f>VLOOKUP(I701,[2]行业排放因子!$A:$B,2,0)</f>
        <v>0.377769264521707</v>
      </c>
      <c r="K701" s="9" t="s">
        <v>1489</v>
      </c>
    </row>
    <row r="702" spans="1:11" ht="12.5" customHeight="1" x14ac:dyDescent="0.25">
      <c r="A702" s="5" t="s">
        <v>2442</v>
      </c>
      <c r="B702" s="6" t="s">
        <v>1484</v>
      </c>
      <c r="C702" s="6" t="s">
        <v>2133</v>
      </c>
      <c r="D702" s="9" t="s">
        <v>2175</v>
      </c>
      <c r="E702" s="6" t="s">
        <v>2443</v>
      </c>
      <c r="F702" s="6" t="s">
        <v>2444</v>
      </c>
      <c r="G702" s="6" t="s">
        <v>2315</v>
      </c>
      <c r="H702" s="9" t="s">
        <v>18</v>
      </c>
      <c r="I702" s="16" t="str">
        <f>VLOOKUP(F702,[1]完整分类结果!$E:$G,3,0)</f>
        <v>烟草加工业</v>
      </c>
      <c r="J702" s="16">
        <f>VLOOKUP(I702,[2]行业排放因子!$A:$B,2,0)</f>
        <v>0.377769264521707</v>
      </c>
      <c r="K702" s="9" t="s">
        <v>1489</v>
      </c>
    </row>
    <row r="703" spans="1:11" ht="12.5" customHeight="1" x14ac:dyDescent="0.25">
      <c r="A703" s="5" t="s">
        <v>2445</v>
      </c>
      <c r="B703" s="6" t="s">
        <v>1484</v>
      </c>
      <c r="C703" s="6" t="s">
        <v>2133</v>
      </c>
      <c r="D703" s="9" t="s">
        <v>2175</v>
      </c>
      <c r="E703" s="6" t="s">
        <v>2446</v>
      </c>
      <c r="F703" s="6" t="s">
        <v>2447</v>
      </c>
      <c r="G703" s="6" t="s">
        <v>2315</v>
      </c>
      <c r="H703" s="9" t="s">
        <v>18</v>
      </c>
      <c r="I703" s="16" t="str">
        <f>VLOOKUP(F703,[1]完整分类结果!$E:$G,3,0)</f>
        <v>烟草加工业</v>
      </c>
      <c r="J703" s="16">
        <f>VLOOKUP(I703,[2]行业排放因子!$A:$B,2,0)</f>
        <v>0.377769264521707</v>
      </c>
      <c r="K703" s="9" t="s">
        <v>1489</v>
      </c>
    </row>
    <row r="704" spans="1:11" ht="12.5" customHeight="1" x14ac:dyDescent="0.25">
      <c r="A704" s="5" t="s">
        <v>2448</v>
      </c>
      <c r="B704" s="6" t="s">
        <v>1484</v>
      </c>
      <c r="C704" s="6" t="s">
        <v>2133</v>
      </c>
      <c r="D704" s="9" t="s">
        <v>2175</v>
      </c>
      <c r="E704" s="6" t="s">
        <v>2449</v>
      </c>
      <c r="F704" s="6" t="s">
        <v>2450</v>
      </c>
      <c r="G704" s="6" t="s">
        <v>2315</v>
      </c>
      <c r="H704" s="9" t="s">
        <v>18</v>
      </c>
      <c r="I704" s="16" t="str">
        <f>VLOOKUP(F704,[1]完整分类结果!$E:$G,3,0)</f>
        <v>烟草加工业</v>
      </c>
      <c r="J704" s="16">
        <f>VLOOKUP(I704,[2]行业排放因子!$A:$B,2,0)</f>
        <v>0.377769264521707</v>
      </c>
      <c r="K704" s="9" t="s">
        <v>1489</v>
      </c>
    </row>
    <row r="705" spans="1:11" ht="12.5" customHeight="1" x14ac:dyDescent="0.25">
      <c r="A705" s="5" t="s">
        <v>2451</v>
      </c>
      <c r="B705" s="6" t="s">
        <v>1484</v>
      </c>
      <c r="C705" s="6" t="s">
        <v>2133</v>
      </c>
      <c r="D705" s="9" t="s">
        <v>2175</v>
      </c>
      <c r="E705" s="6" t="s">
        <v>2452</v>
      </c>
      <c r="F705" s="6" t="s">
        <v>2453</v>
      </c>
      <c r="G705" s="6" t="s">
        <v>2315</v>
      </c>
      <c r="H705" s="9" t="s">
        <v>18</v>
      </c>
      <c r="I705" s="16" t="str">
        <f>VLOOKUP(F705,[1]完整分类结果!$E:$G,3,0)</f>
        <v>烟草加工业</v>
      </c>
      <c r="J705" s="16">
        <f>VLOOKUP(I705,[2]行业排放因子!$A:$B,2,0)</f>
        <v>0.377769264521707</v>
      </c>
      <c r="K705" s="9" t="s">
        <v>1489</v>
      </c>
    </row>
    <row r="706" spans="1:11" ht="12.5" customHeight="1" x14ac:dyDescent="0.25">
      <c r="A706" s="5" t="s">
        <v>2454</v>
      </c>
      <c r="B706" s="6" t="s">
        <v>1484</v>
      </c>
      <c r="C706" s="6" t="s">
        <v>2133</v>
      </c>
      <c r="D706" s="9" t="s">
        <v>2175</v>
      </c>
      <c r="E706" s="6" t="s">
        <v>2455</v>
      </c>
      <c r="F706" s="6" t="s">
        <v>2456</v>
      </c>
      <c r="G706" s="6" t="s">
        <v>2315</v>
      </c>
      <c r="H706" s="9" t="s">
        <v>18</v>
      </c>
      <c r="I706" s="16" t="str">
        <f>VLOOKUP(F706,[1]完整分类结果!$E:$G,3,0)</f>
        <v>烟草加工业</v>
      </c>
      <c r="J706" s="16">
        <f>VLOOKUP(I706,[2]行业排放因子!$A:$B,2,0)</f>
        <v>0.377769264521707</v>
      </c>
      <c r="K706" s="9" t="s">
        <v>1489</v>
      </c>
    </row>
    <row r="707" spans="1:11" ht="12.5" customHeight="1" x14ac:dyDescent="0.25">
      <c r="A707" s="5" t="s">
        <v>2457</v>
      </c>
      <c r="B707" s="6" t="s">
        <v>1484</v>
      </c>
      <c r="C707" s="6" t="s">
        <v>2133</v>
      </c>
      <c r="D707" s="9" t="s">
        <v>2175</v>
      </c>
      <c r="E707" s="6" t="s">
        <v>2458</v>
      </c>
      <c r="F707" s="6" t="s">
        <v>2459</v>
      </c>
      <c r="G707" s="6" t="s">
        <v>2315</v>
      </c>
      <c r="H707" s="9" t="s">
        <v>18</v>
      </c>
      <c r="I707" s="16" t="str">
        <f>VLOOKUP(F707,[1]完整分类结果!$E:$G,3,0)</f>
        <v>烟草加工业</v>
      </c>
      <c r="J707" s="16">
        <f>VLOOKUP(I707,[2]行业排放因子!$A:$B,2,0)</f>
        <v>0.377769264521707</v>
      </c>
      <c r="K707" s="9" t="s">
        <v>1489</v>
      </c>
    </row>
    <row r="708" spans="1:11" ht="12.5" customHeight="1" x14ac:dyDescent="0.25">
      <c r="A708" s="5" t="s">
        <v>2460</v>
      </c>
      <c r="B708" s="6" t="s">
        <v>1484</v>
      </c>
      <c r="C708" s="6" t="s">
        <v>2133</v>
      </c>
      <c r="D708" s="9" t="s">
        <v>2175</v>
      </c>
      <c r="E708" s="6" t="s">
        <v>2461</v>
      </c>
      <c r="F708" s="6" t="s">
        <v>2462</v>
      </c>
      <c r="G708" s="6" t="s">
        <v>2315</v>
      </c>
      <c r="H708" s="9" t="s">
        <v>18</v>
      </c>
      <c r="I708" s="16" t="str">
        <f>VLOOKUP(F708,[1]完整分类结果!$E:$G,3,0)</f>
        <v>烟草加工业</v>
      </c>
      <c r="J708" s="16">
        <f>VLOOKUP(I708,[2]行业排放因子!$A:$B,2,0)</f>
        <v>0.377769264521707</v>
      </c>
      <c r="K708" s="9" t="s">
        <v>1489</v>
      </c>
    </row>
    <row r="709" spans="1:11" ht="12.5" customHeight="1" x14ac:dyDescent="0.25">
      <c r="A709" s="5" t="s">
        <v>2463</v>
      </c>
      <c r="B709" s="6" t="s">
        <v>1484</v>
      </c>
      <c r="C709" s="6" t="s">
        <v>2133</v>
      </c>
      <c r="D709" s="9" t="s">
        <v>2175</v>
      </c>
      <c r="E709" s="6" t="s">
        <v>2464</v>
      </c>
      <c r="F709" s="6" t="s">
        <v>2465</v>
      </c>
      <c r="G709" s="6" t="s">
        <v>2315</v>
      </c>
      <c r="H709" s="9" t="s">
        <v>18</v>
      </c>
      <c r="I709" s="16" t="str">
        <f>VLOOKUP(F709,[1]完整分类结果!$E:$G,3,0)</f>
        <v>烟草加工业</v>
      </c>
      <c r="J709" s="16">
        <f>VLOOKUP(I709,[2]行业排放因子!$A:$B,2,0)</f>
        <v>0.377769264521707</v>
      </c>
      <c r="K709" s="9" t="s">
        <v>1489</v>
      </c>
    </row>
    <row r="710" spans="1:11" ht="12.5" customHeight="1" x14ac:dyDescent="0.25">
      <c r="A710" s="5" t="s">
        <v>2466</v>
      </c>
      <c r="B710" s="6" t="s">
        <v>1484</v>
      </c>
      <c r="C710" s="6" t="s">
        <v>2133</v>
      </c>
      <c r="D710" s="9" t="s">
        <v>2175</v>
      </c>
      <c r="E710" s="6" t="s">
        <v>2467</v>
      </c>
      <c r="F710" s="6" t="s">
        <v>2468</v>
      </c>
      <c r="G710" s="6" t="s">
        <v>2315</v>
      </c>
      <c r="H710" s="9" t="s">
        <v>18</v>
      </c>
      <c r="I710" s="16" t="str">
        <f>VLOOKUP(F710,[1]完整分类结果!$E:$G,3,0)</f>
        <v>烟草加工业</v>
      </c>
      <c r="J710" s="16">
        <f>VLOOKUP(I710,[2]行业排放因子!$A:$B,2,0)</f>
        <v>0.377769264521707</v>
      </c>
      <c r="K710" s="9" t="s">
        <v>1489</v>
      </c>
    </row>
    <row r="711" spans="1:11" ht="12.5" customHeight="1" x14ac:dyDescent="0.25">
      <c r="A711" s="5" t="s">
        <v>2469</v>
      </c>
      <c r="B711" s="6" t="s">
        <v>1484</v>
      </c>
      <c r="C711" s="6" t="s">
        <v>2133</v>
      </c>
      <c r="D711" s="9" t="s">
        <v>2175</v>
      </c>
      <c r="E711" s="6" t="s">
        <v>2470</v>
      </c>
      <c r="F711" s="6" t="s">
        <v>2471</v>
      </c>
      <c r="G711" s="6" t="s">
        <v>2315</v>
      </c>
      <c r="H711" s="9" t="s">
        <v>18</v>
      </c>
      <c r="I711" s="16" t="str">
        <f>VLOOKUP(F711,[1]完整分类结果!$E:$G,3,0)</f>
        <v>烟草加工业</v>
      </c>
      <c r="J711" s="16">
        <f>VLOOKUP(I711,[2]行业排放因子!$A:$B,2,0)</f>
        <v>0.377769264521707</v>
      </c>
      <c r="K711" s="9" t="s">
        <v>1489</v>
      </c>
    </row>
    <row r="712" spans="1:11" ht="12.5" customHeight="1" x14ac:dyDescent="0.25">
      <c r="A712" s="5" t="s">
        <v>2472</v>
      </c>
      <c r="B712" s="6" t="s">
        <v>1484</v>
      </c>
      <c r="C712" s="6" t="s">
        <v>2133</v>
      </c>
      <c r="D712" s="9" t="s">
        <v>2175</v>
      </c>
      <c r="E712" s="6" t="s">
        <v>2473</v>
      </c>
      <c r="F712" s="6" t="s">
        <v>2474</v>
      </c>
      <c r="G712" s="6" t="s">
        <v>2315</v>
      </c>
      <c r="H712" s="9" t="s">
        <v>18</v>
      </c>
      <c r="I712" s="16" t="str">
        <f>VLOOKUP(F712,[1]完整分类结果!$E:$G,3,0)</f>
        <v>烟草加工业</v>
      </c>
      <c r="J712" s="16">
        <f>VLOOKUP(I712,[2]行业排放因子!$A:$B,2,0)</f>
        <v>0.377769264521707</v>
      </c>
      <c r="K712" s="9" t="s">
        <v>1489</v>
      </c>
    </row>
    <row r="713" spans="1:11" ht="12.5" customHeight="1" x14ac:dyDescent="0.25">
      <c r="A713" s="5" t="s">
        <v>2475</v>
      </c>
      <c r="B713" s="6" t="s">
        <v>1484</v>
      </c>
      <c r="C713" s="6" t="s">
        <v>2133</v>
      </c>
      <c r="D713" s="9" t="s">
        <v>2175</v>
      </c>
      <c r="E713" s="6" t="s">
        <v>2476</v>
      </c>
      <c r="F713" s="6" t="s">
        <v>2477</v>
      </c>
      <c r="G713" s="6" t="s">
        <v>2315</v>
      </c>
      <c r="H713" s="9" t="s">
        <v>18</v>
      </c>
      <c r="I713" s="16" t="str">
        <f>VLOOKUP(F713,[1]完整分类结果!$E:$G,3,0)</f>
        <v>烟草加工业</v>
      </c>
      <c r="J713" s="16">
        <f>VLOOKUP(I713,[2]行业排放因子!$A:$B,2,0)</f>
        <v>0.377769264521707</v>
      </c>
      <c r="K713" s="9" t="s">
        <v>1489</v>
      </c>
    </row>
    <row r="714" spans="1:11" ht="12.5" customHeight="1" x14ac:dyDescent="0.25">
      <c r="A714" s="5" t="s">
        <v>2478</v>
      </c>
      <c r="B714" s="6" t="s">
        <v>1484</v>
      </c>
      <c r="C714" s="6" t="s">
        <v>2133</v>
      </c>
      <c r="D714" s="9" t="s">
        <v>2175</v>
      </c>
      <c r="E714" s="6" t="s">
        <v>2479</v>
      </c>
      <c r="F714" s="6" t="s">
        <v>2480</v>
      </c>
      <c r="G714" s="6" t="s">
        <v>2315</v>
      </c>
      <c r="H714" s="9" t="s">
        <v>18</v>
      </c>
      <c r="I714" s="16" t="str">
        <f>VLOOKUP(F714,[1]完整分类结果!$E:$G,3,0)</f>
        <v>烟草加工业</v>
      </c>
      <c r="J714" s="16">
        <f>VLOOKUP(I714,[2]行业排放因子!$A:$B,2,0)</f>
        <v>0.377769264521707</v>
      </c>
      <c r="K714" s="9" t="s">
        <v>1489</v>
      </c>
    </row>
    <row r="715" spans="1:11" ht="12.5" customHeight="1" x14ac:dyDescent="0.25">
      <c r="A715" s="5" t="s">
        <v>2481</v>
      </c>
      <c r="B715" s="6" t="s">
        <v>1484</v>
      </c>
      <c r="C715" s="6" t="s">
        <v>2133</v>
      </c>
      <c r="D715" s="9" t="s">
        <v>2175</v>
      </c>
      <c r="E715" s="6" t="s">
        <v>2482</v>
      </c>
      <c r="F715" s="6" t="s">
        <v>2483</v>
      </c>
      <c r="G715" s="6" t="s">
        <v>2315</v>
      </c>
      <c r="H715" s="9" t="s">
        <v>18</v>
      </c>
      <c r="I715" s="16" t="str">
        <f>VLOOKUP(F715,[1]完整分类结果!$E:$G,3,0)</f>
        <v>烟草加工业</v>
      </c>
      <c r="J715" s="16">
        <f>VLOOKUP(I715,[2]行业排放因子!$A:$B,2,0)</f>
        <v>0.377769264521707</v>
      </c>
      <c r="K715" s="9" t="s">
        <v>1489</v>
      </c>
    </row>
    <row r="716" spans="1:11" ht="12.5" customHeight="1" x14ac:dyDescent="0.25">
      <c r="A716" s="5" t="s">
        <v>2484</v>
      </c>
      <c r="B716" s="6" t="s">
        <v>1484</v>
      </c>
      <c r="C716" s="6" t="s">
        <v>2133</v>
      </c>
      <c r="D716" s="9" t="s">
        <v>2175</v>
      </c>
      <c r="E716" s="6" t="s">
        <v>2485</v>
      </c>
      <c r="F716" s="6" t="s">
        <v>2486</v>
      </c>
      <c r="G716" s="6" t="s">
        <v>2315</v>
      </c>
      <c r="H716" s="9" t="s">
        <v>18</v>
      </c>
      <c r="I716" s="16" t="str">
        <f>VLOOKUP(F716,[1]完整分类结果!$E:$G,3,0)</f>
        <v>烟草加工业</v>
      </c>
      <c r="J716" s="16">
        <f>VLOOKUP(I716,[2]行业排放因子!$A:$B,2,0)</f>
        <v>0.377769264521707</v>
      </c>
      <c r="K716" s="9" t="s">
        <v>1489</v>
      </c>
    </row>
    <row r="717" spans="1:11" ht="12.5" customHeight="1" x14ac:dyDescent="0.25">
      <c r="A717" s="5" t="s">
        <v>2487</v>
      </c>
      <c r="B717" s="6" t="s">
        <v>1484</v>
      </c>
      <c r="C717" s="6" t="s">
        <v>2133</v>
      </c>
      <c r="D717" s="9" t="s">
        <v>2175</v>
      </c>
      <c r="E717" s="6" t="s">
        <v>2488</v>
      </c>
      <c r="F717" s="6" t="s">
        <v>2489</v>
      </c>
      <c r="G717" s="6" t="s">
        <v>2315</v>
      </c>
      <c r="H717" s="9" t="s">
        <v>18</v>
      </c>
      <c r="I717" s="16" t="str">
        <f>VLOOKUP(F717,[1]完整分类结果!$E:$G,3,0)</f>
        <v>烟草加工业</v>
      </c>
      <c r="J717" s="16">
        <f>VLOOKUP(I717,[2]行业排放因子!$A:$B,2,0)</f>
        <v>0.377769264521707</v>
      </c>
      <c r="K717" s="9" t="s">
        <v>1489</v>
      </c>
    </row>
    <row r="718" spans="1:11" ht="12.5" customHeight="1" x14ac:dyDescent="0.25">
      <c r="A718" s="5" t="s">
        <v>2490</v>
      </c>
      <c r="B718" s="6" t="s">
        <v>1484</v>
      </c>
      <c r="C718" s="6" t="s">
        <v>2133</v>
      </c>
      <c r="D718" s="9" t="s">
        <v>2175</v>
      </c>
      <c r="E718" s="6" t="s">
        <v>2491</v>
      </c>
      <c r="F718" s="6" t="s">
        <v>2492</v>
      </c>
      <c r="G718" s="6" t="s">
        <v>2315</v>
      </c>
      <c r="H718" s="9" t="s">
        <v>18</v>
      </c>
      <c r="I718" s="16" t="str">
        <f>VLOOKUP(F718,[1]完整分类结果!$E:$G,3,0)</f>
        <v>烟草加工业</v>
      </c>
      <c r="J718" s="16">
        <f>VLOOKUP(I718,[2]行业排放因子!$A:$B,2,0)</f>
        <v>0.377769264521707</v>
      </c>
      <c r="K718" s="9" t="s">
        <v>1489</v>
      </c>
    </row>
    <row r="719" spans="1:11" ht="12.5" customHeight="1" x14ac:dyDescent="0.25">
      <c r="A719" s="5" t="s">
        <v>2493</v>
      </c>
      <c r="B719" s="6" t="s">
        <v>1484</v>
      </c>
      <c r="C719" s="6" t="s">
        <v>2133</v>
      </c>
      <c r="D719" s="9" t="s">
        <v>2175</v>
      </c>
      <c r="E719" s="6" t="s">
        <v>2494</v>
      </c>
      <c r="F719" s="6" t="s">
        <v>2495</v>
      </c>
      <c r="G719" s="6" t="s">
        <v>2315</v>
      </c>
      <c r="H719" s="9" t="s">
        <v>18</v>
      </c>
      <c r="I719" s="16" t="str">
        <f>VLOOKUP(F719,[1]完整分类结果!$E:$G,3,0)</f>
        <v>烟草加工业</v>
      </c>
      <c r="J719" s="16">
        <f>VLOOKUP(I719,[2]行业排放因子!$A:$B,2,0)</f>
        <v>0.377769264521707</v>
      </c>
      <c r="K719" s="9" t="s">
        <v>1489</v>
      </c>
    </row>
    <row r="720" spans="1:11" ht="12.5" customHeight="1" x14ac:dyDescent="0.25">
      <c r="A720" s="5" t="s">
        <v>2496</v>
      </c>
      <c r="B720" s="6" t="s">
        <v>1484</v>
      </c>
      <c r="C720" s="6" t="s">
        <v>2133</v>
      </c>
      <c r="D720" s="9" t="s">
        <v>2175</v>
      </c>
      <c r="E720" s="6" t="s">
        <v>2497</v>
      </c>
      <c r="F720" s="6" t="s">
        <v>2498</v>
      </c>
      <c r="G720" s="6" t="s">
        <v>2315</v>
      </c>
      <c r="H720" s="9" t="s">
        <v>18</v>
      </c>
      <c r="I720" s="16" t="str">
        <f>VLOOKUP(F720,[1]完整分类结果!$E:$G,3,0)</f>
        <v>烟草加工业</v>
      </c>
      <c r="J720" s="16">
        <f>VLOOKUP(I720,[2]行业排放因子!$A:$B,2,0)</f>
        <v>0.377769264521707</v>
      </c>
      <c r="K720" s="9" t="s">
        <v>1489</v>
      </c>
    </row>
    <row r="721" spans="1:11" ht="12.5" customHeight="1" x14ac:dyDescent="0.25">
      <c r="A721" s="5" t="s">
        <v>2499</v>
      </c>
      <c r="B721" s="6" t="s">
        <v>1484</v>
      </c>
      <c r="C721" s="6" t="s">
        <v>2133</v>
      </c>
      <c r="D721" s="9" t="s">
        <v>2175</v>
      </c>
      <c r="E721" s="6" t="s">
        <v>2500</v>
      </c>
      <c r="F721" s="6" t="s">
        <v>2501</v>
      </c>
      <c r="G721" s="6" t="s">
        <v>2315</v>
      </c>
      <c r="H721" s="9" t="s">
        <v>18</v>
      </c>
      <c r="I721" s="16" t="str">
        <f>VLOOKUP(F721,[1]完整分类结果!$E:$G,3,0)</f>
        <v>烟草加工业</v>
      </c>
      <c r="J721" s="16">
        <f>VLOOKUP(I721,[2]行业排放因子!$A:$B,2,0)</f>
        <v>0.377769264521707</v>
      </c>
      <c r="K721" s="9" t="s">
        <v>1489</v>
      </c>
    </row>
    <row r="722" spans="1:11" ht="12.5" customHeight="1" x14ac:dyDescent="0.25">
      <c r="A722" s="5" t="s">
        <v>2502</v>
      </c>
      <c r="B722" s="6" t="s">
        <v>1484</v>
      </c>
      <c r="C722" s="6" t="s">
        <v>2133</v>
      </c>
      <c r="D722" s="9" t="s">
        <v>2175</v>
      </c>
      <c r="E722" s="6" t="s">
        <v>2503</v>
      </c>
      <c r="F722" s="6" t="s">
        <v>2504</v>
      </c>
      <c r="G722" s="6" t="s">
        <v>2315</v>
      </c>
      <c r="H722" s="9" t="s">
        <v>18</v>
      </c>
      <c r="I722" s="16" t="str">
        <f>VLOOKUP(F722,[1]完整分类结果!$E:$G,3,0)</f>
        <v>烟草加工业</v>
      </c>
      <c r="J722" s="16">
        <f>VLOOKUP(I722,[2]行业排放因子!$A:$B,2,0)</f>
        <v>0.377769264521707</v>
      </c>
      <c r="K722" s="9" t="s">
        <v>1489</v>
      </c>
    </row>
    <row r="723" spans="1:11" ht="12.5" customHeight="1" x14ac:dyDescent="0.25">
      <c r="A723" s="5" t="s">
        <v>2505</v>
      </c>
      <c r="B723" s="6" t="s">
        <v>1484</v>
      </c>
      <c r="C723" s="6" t="s">
        <v>2133</v>
      </c>
      <c r="D723" s="9" t="s">
        <v>2175</v>
      </c>
      <c r="E723" s="6" t="s">
        <v>2506</v>
      </c>
      <c r="F723" s="6" t="s">
        <v>2507</v>
      </c>
      <c r="G723" s="6" t="s">
        <v>2315</v>
      </c>
      <c r="H723" s="9" t="s">
        <v>18</v>
      </c>
      <c r="I723" s="16" t="str">
        <f>VLOOKUP(F723,[1]完整分类结果!$E:$G,3,0)</f>
        <v>烟草加工业</v>
      </c>
      <c r="J723" s="16">
        <f>VLOOKUP(I723,[2]行业排放因子!$A:$B,2,0)</f>
        <v>0.377769264521707</v>
      </c>
      <c r="K723" s="9" t="s">
        <v>1489</v>
      </c>
    </row>
    <row r="724" spans="1:11" ht="12.5" customHeight="1" x14ac:dyDescent="0.25">
      <c r="A724" s="5" t="s">
        <v>2508</v>
      </c>
      <c r="B724" s="6" t="s">
        <v>1484</v>
      </c>
      <c r="C724" s="6" t="s">
        <v>2133</v>
      </c>
      <c r="D724" s="9" t="s">
        <v>2175</v>
      </c>
      <c r="E724" s="6" t="s">
        <v>2509</v>
      </c>
      <c r="F724" s="6" t="s">
        <v>2510</v>
      </c>
      <c r="G724" s="6" t="s">
        <v>2315</v>
      </c>
      <c r="H724" s="9" t="s">
        <v>18</v>
      </c>
      <c r="I724" s="16" t="str">
        <f>VLOOKUP(F724,[1]完整分类结果!$E:$G,3,0)</f>
        <v>烟草加工业</v>
      </c>
      <c r="J724" s="16">
        <f>VLOOKUP(I724,[2]行业排放因子!$A:$B,2,0)</f>
        <v>0.377769264521707</v>
      </c>
      <c r="K724" s="9" t="s">
        <v>1489</v>
      </c>
    </row>
    <row r="725" spans="1:11" ht="12.5" customHeight="1" x14ac:dyDescent="0.25">
      <c r="A725" s="5" t="s">
        <v>2511</v>
      </c>
      <c r="B725" s="6" t="s">
        <v>1484</v>
      </c>
      <c r="C725" s="6" t="s">
        <v>2133</v>
      </c>
      <c r="D725" s="9" t="s">
        <v>2175</v>
      </c>
      <c r="E725" s="6" t="s">
        <v>2512</v>
      </c>
      <c r="F725" s="6" t="s">
        <v>2513</v>
      </c>
      <c r="G725" s="6" t="s">
        <v>2315</v>
      </c>
      <c r="H725" s="9" t="s">
        <v>18</v>
      </c>
      <c r="I725" s="16" t="str">
        <f>VLOOKUP(F725,[1]完整分类结果!$E:$G,3,0)</f>
        <v>烟草加工业</v>
      </c>
      <c r="J725" s="16">
        <f>VLOOKUP(I725,[2]行业排放因子!$A:$B,2,0)</f>
        <v>0.377769264521707</v>
      </c>
      <c r="K725" s="9" t="s">
        <v>1489</v>
      </c>
    </row>
    <row r="726" spans="1:11" ht="12.5" customHeight="1" x14ac:dyDescent="0.25">
      <c r="A726" s="5" t="s">
        <v>2514</v>
      </c>
      <c r="B726" s="6" t="s">
        <v>1484</v>
      </c>
      <c r="C726" s="6" t="s">
        <v>2133</v>
      </c>
      <c r="D726" s="9" t="s">
        <v>2175</v>
      </c>
      <c r="E726" s="6" t="s">
        <v>2515</v>
      </c>
      <c r="F726" s="6" t="s">
        <v>2516</v>
      </c>
      <c r="G726" s="6" t="s">
        <v>2315</v>
      </c>
      <c r="H726" s="9" t="s">
        <v>18</v>
      </c>
      <c r="I726" s="16" t="str">
        <f>VLOOKUP(F726,[1]完整分类结果!$E:$G,3,0)</f>
        <v>烟草加工业</v>
      </c>
      <c r="J726" s="16">
        <f>VLOOKUP(I726,[2]行业排放因子!$A:$B,2,0)</f>
        <v>0.377769264521707</v>
      </c>
      <c r="K726" s="9" t="s">
        <v>1489</v>
      </c>
    </row>
    <row r="727" spans="1:11" ht="12.5" customHeight="1" x14ac:dyDescent="0.25">
      <c r="A727" s="5" t="s">
        <v>2517</v>
      </c>
      <c r="B727" s="6" t="s">
        <v>1484</v>
      </c>
      <c r="C727" s="6" t="s">
        <v>2133</v>
      </c>
      <c r="D727" s="9" t="s">
        <v>2175</v>
      </c>
      <c r="E727" s="6" t="s">
        <v>2518</v>
      </c>
      <c r="F727" s="6" t="s">
        <v>2519</v>
      </c>
      <c r="G727" s="6" t="s">
        <v>2315</v>
      </c>
      <c r="H727" s="9" t="s">
        <v>18</v>
      </c>
      <c r="I727" s="16" t="str">
        <f>VLOOKUP(F727,[1]完整分类结果!$E:$G,3,0)</f>
        <v>烟草加工业</v>
      </c>
      <c r="J727" s="16">
        <f>VLOOKUP(I727,[2]行业排放因子!$A:$B,2,0)</f>
        <v>0.377769264521707</v>
      </c>
      <c r="K727" s="9" t="s">
        <v>1489</v>
      </c>
    </row>
    <row r="728" spans="1:11" ht="12.5" customHeight="1" x14ac:dyDescent="0.25">
      <c r="A728" s="5" t="s">
        <v>2520</v>
      </c>
      <c r="B728" s="6" t="s">
        <v>1484</v>
      </c>
      <c r="C728" s="6" t="s">
        <v>2133</v>
      </c>
      <c r="D728" s="9" t="s">
        <v>2175</v>
      </c>
      <c r="E728" s="6" t="s">
        <v>2521</v>
      </c>
      <c r="F728" s="6" t="s">
        <v>2522</v>
      </c>
      <c r="G728" s="6" t="s">
        <v>2315</v>
      </c>
      <c r="H728" s="9" t="s">
        <v>18</v>
      </c>
      <c r="I728" s="16" t="str">
        <f>VLOOKUP(F728,[1]完整分类结果!$E:$G,3,0)</f>
        <v>烟草加工业</v>
      </c>
      <c r="J728" s="16">
        <f>VLOOKUP(I728,[2]行业排放因子!$A:$B,2,0)</f>
        <v>0.377769264521707</v>
      </c>
      <c r="K728" s="9" t="s">
        <v>1489</v>
      </c>
    </row>
    <row r="729" spans="1:11" ht="12.5" customHeight="1" x14ac:dyDescent="0.25">
      <c r="A729" s="5" t="s">
        <v>2523</v>
      </c>
      <c r="B729" s="6" t="s">
        <v>1484</v>
      </c>
      <c r="C729" s="6" t="s">
        <v>2133</v>
      </c>
      <c r="D729" s="9" t="s">
        <v>2175</v>
      </c>
      <c r="E729" s="6" t="s">
        <v>2524</v>
      </c>
      <c r="F729" s="6" t="s">
        <v>2525</v>
      </c>
      <c r="G729" s="6" t="s">
        <v>2315</v>
      </c>
      <c r="H729" s="9" t="s">
        <v>18</v>
      </c>
      <c r="I729" s="16" t="str">
        <f>VLOOKUP(F729,[1]完整分类结果!$E:$G,3,0)</f>
        <v>烟草加工业</v>
      </c>
      <c r="J729" s="16">
        <f>VLOOKUP(I729,[2]行业排放因子!$A:$B,2,0)</f>
        <v>0.377769264521707</v>
      </c>
      <c r="K729" s="9" t="s">
        <v>1489</v>
      </c>
    </row>
    <row r="730" spans="1:11" ht="12.5" customHeight="1" x14ac:dyDescent="0.25">
      <c r="A730" s="5" t="s">
        <v>2526</v>
      </c>
      <c r="B730" s="6" t="s">
        <v>1484</v>
      </c>
      <c r="C730" s="6" t="s">
        <v>2133</v>
      </c>
      <c r="D730" s="9" t="s">
        <v>2175</v>
      </c>
      <c r="E730" s="6" t="s">
        <v>2527</v>
      </c>
      <c r="F730" s="6" t="s">
        <v>2528</v>
      </c>
      <c r="G730" s="6" t="s">
        <v>2315</v>
      </c>
      <c r="H730" s="9" t="s">
        <v>18</v>
      </c>
      <c r="I730" s="16" t="str">
        <f>VLOOKUP(F730,[1]完整分类结果!$E:$G,3,0)</f>
        <v>烟草加工业</v>
      </c>
      <c r="J730" s="16">
        <f>VLOOKUP(I730,[2]行业排放因子!$A:$B,2,0)</f>
        <v>0.377769264521707</v>
      </c>
      <c r="K730" s="9" t="s">
        <v>1489</v>
      </c>
    </row>
    <row r="731" spans="1:11" ht="12.5" customHeight="1" x14ac:dyDescent="0.25">
      <c r="A731" s="5" t="s">
        <v>2529</v>
      </c>
      <c r="B731" s="6" t="s">
        <v>1484</v>
      </c>
      <c r="C731" s="6" t="s">
        <v>2133</v>
      </c>
      <c r="D731" s="9" t="s">
        <v>2175</v>
      </c>
      <c r="E731" s="6" t="s">
        <v>2530</v>
      </c>
      <c r="F731" s="6" t="s">
        <v>2531</v>
      </c>
      <c r="G731" s="6" t="s">
        <v>2315</v>
      </c>
      <c r="H731" s="9" t="s">
        <v>18</v>
      </c>
      <c r="I731" s="16" t="str">
        <f>VLOOKUP(F731,[1]完整分类结果!$E:$G,3,0)</f>
        <v>烟草加工业</v>
      </c>
      <c r="J731" s="16">
        <f>VLOOKUP(I731,[2]行业排放因子!$A:$B,2,0)</f>
        <v>0.377769264521707</v>
      </c>
      <c r="K731" s="9" t="s">
        <v>1489</v>
      </c>
    </row>
    <row r="732" spans="1:11" ht="12.5" customHeight="1" x14ac:dyDescent="0.25">
      <c r="A732" s="5" t="s">
        <v>2532</v>
      </c>
      <c r="B732" s="6" t="s">
        <v>1484</v>
      </c>
      <c r="C732" s="6" t="s">
        <v>2133</v>
      </c>
      <c r="D732" s="9" t="s">
        <v>2175</v>
      </c>
      <c r="E732" s="6" t="s">
        <v>2533</v>
      </c>
      <c r="F732" s="6" t="s">
        <v>2534</v>
      </c>
      <c r="G732" s="6" t="s">
        <v>2315</v>
      </c>
      <c r="H732" s="9" t="s">
        <v>18</v>
      </c>
      <c r="I732" s="16" t="str">
        <f>VLOOKUP(F732,[1]完整分类结果!$E:$G,3,0)</f>
        <v>烟草加工业</v>
      </c>
      <c r="J732" s="16">
        <f>VLOOKUP(I732,[2]行业排放因子!$A:$B,2,0)</f>
        <v>0.377769264521707</v>
      </c>
      <c r="K732" s="9" t="s">
        <v>1489</v>
      </c>
    </row>
    <row r="733" spans="1:11" ht="12.5" customHeight="1" x14ac:dyDescent="0.25">
      <c r="A733" s="5" t="s">
        <v>2535</v>
      </c>
      <c r="B733" s="6" t="s">
        <v>1484</v>
      </c>
      <c r="C733" s="6" t="s">
        <v>2133</v>
      </c>
      <c r="D733" s="9" t="s">
        <v>2175</v>
      </c>
      <c r="E733" s="6" t="s">
        <v>2536</v>
      </c>
      <c r="F733" s="6" t="s">
        <v>2537</v>
      </c>
      <c r="G733" s="6" t="s">
        <v>2315</v>
      </c>
      <c r="H733" s="9" t="s">
        <v>18</v>
      </c>
      <c r="I733" s="16" t="str">
        <f>VLOOKUP(F733,[1]完整分类结果!$E:$G,3,0)</f>
        <v>烟草加工业</v>
      </c>
      <c r="J733" s="16">
        <f>VLOOKUP(I733,[2]行业排放因子!$A:$B,2,0)</f>
        <v>0.377769264521707</v>
      </c>
      <c r="K733" s="9" t="s">
        <v>1489</v>
      </c>
    </row>
    <row r="734" spans="1:11" ht="12.5" customHeight="1" x14ac:dyDescent="0.25">
      <c r="A734" s="5" t="s">
        <v>2538</v>
      </c>
      <c r="B734" s="6" t="s">
        <v>1484</v>
      </c>
      <c r="C734" s="6" t="s">
        <v>2133</v>
      </c>
      <c r="D734" s="9" t="s">
        <v>2175</v>
      </c>
      <c r="E734" s="6" t="s">
        <v>2539</v>
      </c>
      <c r="F734" s="6" t="s">
        <v>2540</v>
      </c>
      <c r="G734" s="6" t="s">
        <v>2315</v>
      </c>
      <c r="H734" s="9" t="s">
        <v>18</v>
      </c>
      <c r="I734" s="16" t="str">
        <f>VLOOKUP(F734,[1]完整分类结果!$E:$G,3,0)</f>
        <v>烟草加工业</v>
      </c>
      <c r="J734" s="16">
        <f>VLOOKUP(I734,[2]行业排放因子!$A:$B,2,0)</f>
        <v>0.377769264521707</v>
      </c>
      <c r="K734" s="9" t="s">
        <v>1489</v>
      </c>
    </row>
    <row r="735" spans="1:11" ht="12.5" customHeight="1" x14ac:dyDescent="0.25">
      <c r="A735" s="5" t="s">
        <v>2541</v>
      </c>
      <c r="B735" s="6" t="s">
        <v>1484</v>
      </c>
      <c r="C735" s="6" t="s">
        <v>2133</v>
      </c>
      <c r="D735" s="9" t="s">
        <v>2175</v>
      </c>
      <c r="E735" s="6" t="s">
        <v>2542</v>
      </c>
      <c r="F735" s="6" t="s">
        <v>2543</v>
      </c>
      <c r="G735" s="6" t="s">
        <v>2315</v>
      </c>
      <c r="H735" s="9" t="s">
        <v>18</v>
      </c>
      <c r="I735" s="16" t="str">
        <f>VLOOKUP(F735,[1]完整分类结果!$E:$G,3,0)</f>
        <v>烟草加工业</v>
      </c>
      <c r="J735" s="16">
        <f>VLOOKUP(I735,[2]行业排放因子!$A:$B,2,0)</f>
        <v>0.377769264521707</v>
      </c>
      <c r="K735" s="9" t="s">
        <v>1489</v>
      </c>
    </row>
    <row r="736" spans="1:11" ht="12.5" customHeight="1" x14ac:dyDescent="0.25">
      <c r="A736" s="5" t="s">
        <v>2544</v>
      </c>
      <c r="B736" s="6" t="s">
        <v>1484</v>
      </c>
      <c r="C736" s="6" t="s">
        <v>2133</v>
      </c>
      <c r="D736" s="9" t="s">
        <v>2175</v>
      </c>
      <c r="E736" s="6" t="s">
        <v>2545</v>
      </c>
      <c r="F736" s="6" t="s">
        <v>2546</v>
      </c>
      <c r="G736" s="6" t="s">
        <v>2315</v>
      </c>
      <c r="H736" s="9" t="s">
        <v>18</v>
      </c>
      <c r="I736" s="16" t="str">
        <f>VLOOKUP(F736,[1]完整分类结果!$E:$G,3,0)</f>
        <v>烟草加工业</v>
      </c>
      <c r="J736" s="16">
        <f>VLOOKUP(I736,[2]行业排放因子!$A:$B,2,0)</f>
        <v>0.377769264521707</v>
      </c>
      <c r="K736" s="9" t="s">
        <v>1489</v>
      </c>
    </row>
    <row r="737" spans="1:11" ht="12.5" customHeight="1" x14ac:dyDescent="0.25">
      <c r="A737" s="5" t="s">
        <v>2547</v>
      </c>
      <c r="B737" s="6" t="s">
        <v>1484</v>
      </c>
      <c r="C737" s="6" t="s">
        <v>2133</v>
      </c>
      <c r="D737" s="9" t="s">
        <v>2175</v>
      </c>
      <c r="E737" s="6" t="s">
        <v>2548</v>
      </c>
      <c r="F737" s="6" t="s">
        <v>2549</v>
      </c>
      <c r="G737" s="6" t="s">
        <v>2315</v>
      </c>
      <c r="H737" s="9" t="s">
        <v>18</v>
      </c>
      <c r="I737" s="16" t="str">
        <f>VLOOKUP(F737,[1]完整分类结果!$E:$G,3,0)</f>
        <v>烟草加工业</v>
      </c>
      <c r="J737" s="16">
        <f>VLOOKUP(I737,[2]行业排放因子!$A:$B,2,0)</f>
        <v>0.377769264521707</v>
      </c>
      <c r="K737" s="9" t="s">
        <v>1489</v>
      </c>
    </row>
    <row r="738" spans="1:11" ht="12.5" customHeight="1" x14ac:dyDescent="0.25">
      <c r="A738" s="5" t="s">
        <v>2550</v>
      </c>
      <c r="B738" s="6" t="s">
        <v>1484</v>
      </c>
      <c r="C738" s="6" t="s">
        <v>2133</v>
      </c>
      <c r="D738" s="9" t="s">
        <v>2175</v>
      </c>
      <c r="E738" s="6" t="s">
        <v>2551</v>
      </c>
      <c r="F738" s="6" t="s">
        <v>2552</v>
      </c>
      <c r="G738" s="6" t="s">
        <v>2315</v>
      </c>
      <c r="H738" s="9" t="s">
        <v>18</v>
      </c>
      <c r="I738" s="16" t="str">
        <f>VLOOKUP(F738,[1]完整分类结果!$E:$G,3,0)</f>
        <v>烟草加工业</v>
      </c>
      <c r="J738" s="16">
        <f>VLOOKUP(I738,[2]行业排放因子!$A:$B,2,0)</f>
        <v>0.377769264521707</v>
      </c>
      <c r="K738" s="9" t="s">
        <v>1489</v>
      </c>
    </row>
    <row r="739" spans="1:11" ht="12.5" customHeight="1" x14ac:dyDescent="0.25">
      <c r="A739" s="5" t="s">
        <v>2553</v>
      </c>
      <c r="B739" s="6" t="s">
        <v>1484</v>
      </c>
      <c r="C739" s="6" t="s">
        <v>2133</v>
      </c>
      <c r="D739" s="9" t="s">
        <v>2175</v>
      </c>
      <c r="E739" s="6" t="s">
        <v>2554</v>
      </c>
      <c r="F739" s="6" t="s">
        <v>2555</v>
      </c>
      <c r="G739" s="6" t="s">
        <v>2315</v>
      </c>
      <c r="H739" s="9" t="s">
        <v>18</v>
      </c>
      <c r="I739" s="16" t="str">
        <f>VLOOKUP(F739,[1]完整分类结果!$E:$G,3,0)</f>
        <v>烟草加工业</v>
      </c>
      <c r="J739" s="16">
        <f>VLOOKUP(I739,[2]行业排放因子!$A:$B,2,0)</f>
        <v>0.377769264521707</v>
      </c>
      <c r="K739" s="9" t="s">
        <v>1489</v>
      </c>
    </row>
    <row r="740" spans="1:11" ht="12.5" customHeight="1" x14ac:dyDescent="0.25">
      <c r="A740" s="5" t="s">
        <v>2556</v>
      </c>
      <c r="B740" s="6" t="s">
        <v>1484</v>
      </c>
      <c r="C740" s="6" t="s">
        <v>2133</v>
      </c>
      <c r="D740" s="9" t="s">
        <v>2175</v>
      </c>
      <c r="E740" s="6" t="s">
        <v>2557</v>
      </c>
      <c r="F740" s="6" t="s">
        <v>2558</v>
      </c>
      <c r="G740" s="6" t="s">
        <v>2315</v>
      </c>
      <c r="H740" s="9" t="s">
        <v>18</v>
      </c>
      <c r="I740" s="16" t="str">
        <f>VLOOKUP(F740,[1]完整分类结果!$E:$G,3,0)</f>
        <v>烟草加工业</v>
      </c>
      <c r="J740" s="16">
        <f>VLOOKUP(I740,[2]行业排放因子!$A:$B,2,0)</f>
        <v>0.377769264521707</v>
      </c>
      <c r="K740" s="9" t="s">
        <v>1489</v>
      </c>
    </row>
    <row r="741" spans="1:11" ht="12.5" customHeight="1" x14ac:dyDescent="0.25">
      <c r="A741" s="5" t="s">
        <v>2559</v>
      </c>
      <c r="B741" s="6" t="s">
        <v>1484</v>
      </c>
      <c r="C741" s="6" t="s">
        <v>2133</v>
      </c>
      <c r="D741" s="9" t="s">
        <v>2175</v>
      </c>
      <c r="E741" s="6" t="s">
        <v>2560</v>
      </c>
      <c r="F741" s="6" t="s">
        <v>2561</v>
      </c>
      <c r="G741" s="6" t="s">
        <v>2315</v>
      </c>
      <c r="H741" s="9" t="s">
        <v>18</v>
      </c>
      <c r="I741" s="16" t="str">
        <f>VLOOKUP(F741,[1]完整分类结果!$E:$G,3,0)</f>
        <v>烟草加工业</v>
      </c>
      <c r="J741" s="16">
        <f>VLOOKUP(I741,[2]行业排放因子!$A:$B,2,0)</f>
        <v>0.377769264521707</v>
      </c>
      <c r="K741" s="9" t="s">
        <v>1489</v>
      </c>
    </row>
    <row r="742" spans="1:11" ht="12.5" customHeight="1" x14ac:dyDescent="0.25">
      <c r="A742" s="5" t="s">
        <v>2562</v>
      </c>
      <c r="B742" s="6" t="s">
        <v>1484</v>
      </c>
      <c r="C742" s="6" t="s">
        <v>2133</v>
      </c>
      <c r="D742" s="9" t="s">
        <v>2175</v>
      </c>
      <c r="E742" s="6" t="s">
        <v>2563</v>
      </c>
      <c r="F742" s="6" t="s">
        <v>2564</v>
      </c>
      <c r="G742" s="6" t="s">
        <v>2315</v>
      </c>
      <c r="H742" s="9" t="s">
        <v>18</v>
      </c>
      <c r="I742" s="16" t="str">
        <f>VLOOKUP(F742,[1]完整分类结果!$E:$G,3,0)</f>
        <v>烟草加工业</v>
      </c>
      <c r="J742" s="16">
        <f>VLOOKUP(I742,[2]行业排放因子!$A:$B,2,0)</f>
        <v>0.377769264521707</v>
      </c>
      <c r="K742" s="9" t="s">
        <v>1489</v>
      </c>
    </row>
    <row r="743" spans="1:11" ht="12.5" customHeight="1" x14ac:dyDescent="0.25">
      <c r="A743" s="5" t="s">
        <v>2565</v>
      </c>
      <c r="B743" s="6" t="s">
        <v>1484</v>
      </c>
      <c r="C743" s="6" t="s">
        <v>2133</v>
      </c>
      <c r="D743" s="9" t="s">
        <v>2175</v>
      </c>
      <c r="E743" s="6" t="s">
        <v>2566</v>
      </c>
      <c r="F743" s="6" t="s">
        <v>2567</v>
      </c>
      <c r="G743" s="6" t="s">
        <v>2315</v>
      </c>
      <c r="H743" s="9" t="s">
        <v>18</v>
      </c>
      <c r="I743" s="16" t="str">
        <f>VLOOKUP(F743,[1]完整分类结果!$E:$G,3,0)</f>
        <v>烟草加工业</v>
      </c>
      <c r="J743" s="16">
        <f>VLOOKUP(I743,[2]行业排放因子!$A:$B,2,0)</f>
        <v>0.377769264521707</v>
      </c>
      <c r="K743" s="9" t="s">
        <v>1489</v>
      </c>
    </row>
    <row r="744" spans="1:11" ht="12.5" customHeight="1" x14ac:dyDescent="0.25">
      <c r="A744" s="5" t="s">
        <v>2568</v>
      </c>
      <c r="B744" s="6" t="s">
        <v>1484</v>
      </c>
      <c r="C744" s="6" t="s">
        <v>2133</v>
      </c>
      <c r="D744" s="9" t="s">
        <v>2175</v>
      </c>
      <c r="E744" s="6" t="s">
        <v>2569</v>
      </c>
      <c r="F744" s="6" t="s">
        <v>2570</v>
      </c>
      <c r="G744" s="6" t="s">
        <v>2315</v>
      </c>
      <c r="H744" s="9" t="s">
        <v>18</v>
      </c>
      <c r="I744" s="16" t="str">
        <f>VLOOKUP(F744,[1]完整分类结果!$E:$G,3,0)</f>
        <v>烟草加工业</v>
      </c>
      <c r="J744" s="16">
        <f>VLOOKUP(I744,[2]行业排放因子!$A:$B,2,0)</f>
        <v>0.377769264521707</v>
      </c>
      <c r="K744" s="9" t="s">
        <v>1489</v>
      </c>
    </row>
    <row r="745" spans="1:11" ht="12.5" customHeight="1" x14ac:dyDescent="0.25">
      <c r="A745" s="5" t="s">
        <v>2571</v>
      </c>
      <c r="B745" s="6" t="s">
        <v>1484</v>
      </c>
      <c r="C745" s="6" t="s">
        <v>2133</v>
      </c>
      <c r="D745" s="9" t="s">
        <v>2175</v>
      </c>
      <c r="E745" s="6" t="s">
        <v>2572</v>
      </c>
      <c r="F745" s="6" t="s">
        <v>2573</v>
      </c>
      <c r="G745" s="6" t="s">
        <v>2315</v>
      </c>
      <c r="H745" s="9" t="s">
        <v>18</v>
      </c>
      <c r="I745" s="16" t="str">
        <f>VLOOKUP(F745,[1]完整分类结果!$E:$G,3,0)</f>
        <v>烟草加工业</v>
      </c>
      <c r="J745" s="16">
        <f>VLOOKUP(I745,[2]行业排放因子!$A:$B,2,0)</f>
        <v>0.377769264521707</v>
      </c>
      <c r="K745" s="9" t="s">
        <v>1489</v>
      </c>
    </row>
    <row r="746" spans="1:11" ht="12.5" customHeight="1" x14ac:dyDescent="0.25">
      <c r="A746" s="5" t="s">
        <v>2574</v>
      </c>
      <c r="B746" s="6" t="s">
        <v>1484</v>
      </c>
      <c r="C746" s="6" t="s">
        <v>2133</v>
      </c>
      <c r="D746" s="9" t="s">
        <v>2175</v>
      </c>
      <c r="E746" s="6" t="s">
        <v>2575</v>
      </c>
      <c r="F746" s="6" t="s">
        <v>2576</v>
      </c>
      <c r="G746" s="6" t="s">
        <v>2315</v>
      </c>
      <c r="H746" s="9" t="s">
        <v>18</v>
      </c>
      <c r="I746" s="16" t="str">
        <f>VLOOKUP(F746,[1]完整分类结果!$E:$G,3,0)</f>
        <v>烟草加工业</v>
      </c>
      <c r="J746" s="16">
        <f>VLOOKUP(I746,[2]行业排放因子!$A:$B,2,0)</f>
        <v>0.377769264521707</v>
      </c>
      <c r="K746" s="9" t="s">
        <v>1489</v>
      </c>
    </row>
    <row r="747" spans="1:11" ht="12.5" customHeight="1" x14ac:dyDescent="0.25">
      <c r="A747" s="5" t="s">
        <v>2577</v>
      </c>
      <c r="B747" s="6" t="s">
        <v>1484</v>
      </c>
      <c r="C747" s="6" t="s">
        <v>2133</v>
      </c>
      <c r="D747" s="9" t="s">
        <v>2175</v>
      </c>
      <c r="E747" s="6" t="s">
        <v>2578</v>
      </c>
      <c r="F747" s="6" t="s">
        <v>2579</v>
      </c>
      <c r="G747" s="6" t="s">
        <v>2315</v>
      </c>
      <c r="H747" s="9" t="s">
        <v>18</v>
      </c>
      <c r="I747" s="16" t="str">
        <f>VLOOKUP(F747,[1]完整分类结果!$E:$G,3,0)</f>
        <v>烟草加工业</v>
      </c>
      <c r="J747" s="16">
        <f>VLOOKUP(I747,[2]行业排放因子!$A:$B,2,0)</f>
        <v>0.377769264521707</v>
      </c>
      <c r="K747" s="9" t="s">
        <v>1489</v>
      </c>
    </row>
    <row r="748" spans="1:11" ht="12.5" customHeight="1" x14ac:dyDescent="0.25">
      <c r="A748" s="5" t="s">
        <v>2580</v>
      </c>
      <c r="B748" s="6" t="s">
        <v>1484</v>
      </c>
      <c r="C748" s="6" t="s">
        <v>2133</v>
      </c>
      <c r="D748" s="9" t="s">
        <v>2175</v>
      </c>
      <c r="E748" s="6" t="s">
        <v>2581</v>
      </c>
      <c r="F748" s="6" t="s">
        <v>2582</v>
      </c>
      <c r="G748" s="6" t="s">
        <v>2315</v>
      </c>
      <c r="H748" s="9" t="s">
        <v>18</v>
      </c>
      <c r="I748" s="16" t="str">
        <f>VLOOKUP(F748,[1]完整分类结果!$E:$G,3,0)</f>
        <v>烟草加工业</v>
      </c>
      <c r="J748" s="16">
        <f>VLOOKUP(I748,[2]行业排放因子!$A:$B,2,0)</f>
        <v>0.377769264521707</v>
      </c>
      <c r="K748" s="9" t="s">
        <v>1489</v>
      </c>
    </row>
    <row r="749" spans="1:11" ht="12.5" customHeight="1" x14ac:dyDescent="0.25">
      <c r="A749" s="5" t="s">
        <v>2583</v>
      </c>
      <c r="B749" s="6" t="s">
        <v>1484</v>
      </c>
      <c r="C749" s="6" t="s">
        <v>2133</v>
      </c>
      <c r="D749" s="9" t="s">
        <v>2175</v>
      </c>
      <c r="E749" s="6" t="s">
        <v>2584</v>
      </c>
      <c r="F749" s="6" t="s">
        <v>2585</v>
      </c>
      <c r="G749" s="6" t="s">
        <v>2315</v>
      </c>
      <c r="H749" s="9" t="s">
        <v>18</v>
      </c>
      <c r="I749" s="16" t="str">
        <f>VLOOKUP(F749,[1]完整分类结果!$E:$G,3,0)</f>
        <v>烟草加工业</v>
      </c>
      <c r="J749" s="16">
        <f>VLOOKUP(I749,[2]行业排放因子!$A:$B,2,0)</f>
        <v>0.377769264521707</v>
      </c>
      <c r="K749" s="9" t="s">
        <v>1489</v>
      </c>
    </row>
    <row r="750" spans="1:11" ht="12.5" customHeight="1" x14ac:dyDescent="0.25">
      <c r="A750" s="5" t="s">
        <v>2586</v>
      </c>
      <c r="B750" s="6" t="s">
        <v>1484</v>
      </c>
      <c r="C750" s="6" t="s">
        <v>2133</v>
      </c>
      <c r="D750" s="9" t="s">
        <v>2175</v>
      </c>
      <c r="E750" s="6" t="s">
        <v>2587</v>
      </c>
      <c r="F750" s="6" t="s">
        <v>2588</v>
      </c>
      <c r="G750" s="6" t="s">
        <v>2315</v>
      </c>
      <c r="H750" s="9" t="s">
        <v>18</v>
      </c>
      <c r="I750" s="16" t="str">
        <f>VLOOKUP(F750,[1]完整分类结果!$E:$G,3,0)</f>
        <v>烟草加工业</v>
      </c>
      <c r="J750" s="16">
        <f>VLOOKUP(I750,[2]行业排放因子!$A:$B,2,0)</f>
        <v>0.377769264521707</v>
      </c>
      <c r="K750" s="9" t="s">
        <v>1489</v>
      </c>
    </row>
    <row r="751" spans="1:11" ht="12.5" customHeight="1" x14ac:dyDescent="0.25">
      <c r="A751" s="5" t="s">
        <v>2589</v>
      </c>
      <c r="B751" s="6" t="s">
        <v>1484</v>
      </c>
      <c r="C751" s="6" t="s">
        <v>2133</v>
      </c>
      <c r="D751" s="9" t="s">
        <v>2175</v>
      </c>
      <c r="E751" s="6" t="s">
        <v>2590</v>
      </c>
      <c r="F751" s="6" t="s">
        <v>2591</v>
      </c>
      <c r="G751" s="6" t="s">
        <v>2315</v>
      </c>
      <c r="H751" s="9" t="s">
        <v>18</v>
      </c>
      <c r="I751" s="16" t="str">
        <f>VLOOKUP(F751,[1]完整分类结果!$E:$G,3,0)</f>
        <v>烟草加工业</v>
      </c>
      <c r="J751" s="16">
        <f>VLOOKUP(I751,[2]行业排放因子!$A:$B,2,0)</f>
        <v>0.377769264521707</v>
      </c>
      <c r="K751" s="9" t="s">
        <v>1489</v>
      </c>
    </row>
    <row r="752" spans="1:11" ht="12.5" customHeight="1" x14ac:dyDescent="0.25">
      <c r="A752" s="5" t="s">
        <v>2592</v>
      </c>
      <c r="B752" s="6" t="s">
        <v>1484</v>
      </c>
      <c r="C752" s="6" t="s">
        <v>2133</v>
      </c>
      <c r="D752" s="9" t="s">
        <v>2175</v>
      </c>
      <c r="E752" s="6" t="s">
        <v>2593</v>
      </c>
      <c r="F752" s="6" t="s">
        <v>2594</v>
      </c>
      <c r="G752" s="6" t="s">
        <v>2315</v>
      </c>
      <c r="H752" s="9" t="s">
        <v>18</v>
      </c>
      <c r="I752" s="16" t="str">
        <f>VLOOKUP(F752,[1]完整分类结果!$E:$G,3,0)</f>
        <v>烟草加工业</v>
      </c>
      <c r="J752" s="16">
        <f>VLOOKUP(I752,[2]行业排放因子!$A:$B,2,0)</f>
        <v>0.377769264521707</v>
      </c>
      <c r="K752" s="9" t="s">
        <v>1489</v>
      </c>
    </row>
    <row r="753" spans="1:11" ht="12.5" customHeight="1" x14ac:dyDescent="0.25">
      <c r="A753" s="5" t="s">
        <v>2595</v>
      </c>
      <c r="B753" s="6" t="s">
        <v>1484</v>
      </c>
      <c r="C753" s="6" t="s">
        <v>2133</v>
      </c>
      <c r="D753" s="9" t="s">
        <v>2175</v>
      </c>
      <c r="E753" s="6" t="s">
        <v>2596</v>
      </c>
      <c r="F753" s="6" t="s">
        <v>2597</v>
      </c>
      <c r="G753" s="6" t="s">
        <v>2315</v>
      </c>
      <c r="H753" s="9" t="s">
        <v>18</v>
      </c>
      <c r="I753" s="16" t="str">
        <f>VLOOKUP(F753,[1]完整分类结果!$E:$G,3,0)</f>
        <v>烟草加工业</v>
      </c>
      <c r="J753" s="16">
        <f>VLOOKUP(I753,[2]行业排放因子!$A:$B,2,0)</f>
        <v>0.377769264521707</v>
      </c>
      <c r="K753" s="9" t="s">
        <v>1489</v>
      </c>
    </row>
    <row r="754" spans="1:11" ht="12.5" customHeight="1" x14ac:dyDescent="0.25">
      <c r="A754" s="5" t="s">
        <v>2598</v>
      </c>
      <c r="B754" s="6" t="s">
        <v>1484</v>
      </c>
      <c r="C754" s="6" t="s">
        <v>2133</v>
      </c>
      <c r="D754" s="9" t="s">
        <v>2175</v>
      </c>
      <c r="E754" s="6" t="s">
        <v>2599</v>
      </c>
      <c r="F754" s="6" t="s">
        <v>2600</v>
      </c>
      <c r="G754" s="6" t="s">
        <v>2315</v>
      </c>
      <c r="H754" s="9" t="s">
        <v>18</v>
      </c>
      <c r="I754" s="16" t="str">
        <f>VLOOKUP(F754,[1]完整分类结果!$E:$G,3,0)</f>
        <v>烟草加工业</v>
      </c>
      <c r="J754" s="16">
        <f>VLOOKUP(I754,[2]行业排放因子!$A:$B,2,0)</f>
        <v>0.377769264521707</v>
      </c>
      <c r="K754" s="9" t="s">
        <v>1489</v>
      </c>
    </row>
    <row r="755" spans="1:11" ht="12.5" customHeight="1" x14ac:dyDescent="0.25">
      <c r="A755" s="5" t="s">
        <v>2601</v>
      </c>
      <c r="B755" s="6" t="s">
        <v>1484</v>
      </c>
      <c r="C755" s="6" t="s">
        <v>2133</v>
      </c>
      <c r="D755" s="9" t="s">
        <v>2175</v>
      </c>
      <c r="E755" s="6" t="s">
        <v>2602</v>
      </c>
      <c r="F755" s="6" t="s">
        <v>2603</v>
      </c>
      <c r="G755" s="6" t="s">
        <v>2315</v>
      </c>
      <c r="H755" s="9" t="s">
        <v>18</v>
      </c>
      <c r="I755" s="16" t="str">
        <f>VLOOKUP(F755,[1]完整分类结果!$E:$G,3,0)</f>
        <v>烟草加工业</v>
      </c>
      <c r="J755" s="16">
        <f>VLOOKUP(I755,[2]行业排放因子!$A:$B,2,0)</f>
        <v>0.377769264521707</v>
      </c>
      <c r="K755" s="9" t="s">
        <v>1489</v>
      </c>
    </row>
    <row r="756" spans="1:11" ht="12.5" customHeight="1" x14ac:dyDescent="0.25">
      <c r="A756" s="5" t="s">
        <v>2604</v>
      </c>
      <c r="B756" s="6" t="s">
        <v>1484</v>
      </c>
      <c r="C756" s="6" t="s">
        <v>2133</v>
      </c>
      <c r="D756" s="9" t="s">
        <v>2175</v>
      </c>
      <c r="E756" s="6" t="s">
        <v>2605</v>
      </c>
      <c r="F756" s="6" t="s">
        <v>2606</v>
      </c>
      <c r="G756" s="6" t="s">
        <v>2315</v>
      </c>
      <c r="H756" s="9" t="s">
        <v>18</v>
      </c>
      <c r="I756" s="16" t="str">
        <f>VLOOKUP(F756,[1]完整分类结果!$E:$G,3,0)</f>
        <v>烟草加工业</v>
      </c>
      <c r="J756" s="16">
        <f>VLOOKUP(I756,[2]行业排放因子!$A:$B,2,0)</f>
        <v>0.377769264521707</v>
      </c>
      <c r="K756" s="9" t="s">
        <v>1489</v>
      </c>
    </row>
    <row r="757" spans="1:11" ht="12.5" customHeight="1" x14ac:dyDescent="0.25">
      <c r="A757" s="5" t="s">
        <v>2607</v>
      </c>
      <c r="B757" s="6" t="s">
        <v>1484</v>
      </c>
      <c r="C757" s="6" t="s">
        <v>2133</v>
      </c>
      <c r="D757" s="9" t="s">
        <v>2175</v>
      </c>
      <c r="E757" s="6" t="s">
        <v>2608</v>
      </c>
      <c r="F757" s="6" t="s">
        <v>2609</v>
      </c>
      <c r="G757" s="6" t="s">
        <v>2315</v>
      </c>
      <c r="H757" s="9" t="s">
        <v>18</v>
      </c>
      <c r="I757" s="16" t="str">
        <f>VLOOKUP(F757,[1]完整分类结果!$E:$G,3,0)</f>
        <v>烟草加工业</v>
      </c>
      <c r="J757" s="16">
        <f>VLOOKUP(I757,[2]行业排放因子!$A:$B,2,0)</f>
        <v>0.377769264521707</v>
      </c>
      <c r="K757" s="9" t="s">
        <v>1489</v>
      </c>
    </row>
    <row r="758" spans="1:11" ht="12.5" customHeight="1" x14ac:dyDescent="0.25">
      <c r="A758" s="5" t="s">
        <v>2610</v>
      </c>
      <c r="B758" s="6" t="s">
        <v>1484</v>
      </c>
      <c r="C758" s="6" t="s">
        <v>2133</v>
      </c>
      <c r="D758" s="9" t="s">
        <v>2175</v>
      </c>
      <c r="E758" s="6" t="s">
        <v>2611</v>
      </c>
      <c r="F758" s="6" t="s">
        <v>2612</v>
      </c>
      <c r="G758" s="6" t="s">
        <v>2315</v>
      </c>
      <c r="H758" s="9" t="s">
        <v>18</v>
      </c>
      <c r="I758" s="16" t="str">
        <f>VLOOKUP(F758,[1]完整分类结果!$E:$G,3,0)</f>
        <v>烟草加工业</v>
      </c>
      <c r="J758" s="16">
        <f>VLOOKUP(I758,[2]行业排放因子!$A:$B,2,0)</f>
        <v>0.377769264521707</v>
      </c>
      <c r="K758" s="9" t="s">
        <v>1489</v>
      </c>
    </row>
    <row r="759" spans="1:11" ht="12.5" customHeight="1" x14ac:dyDescent="0.25">
      <c r="A759" s="5" t="s">
        <v>2613</v>
      </c>
      <c r="B759" s="6" t="s">
        <v>1484</v>
      </c>
      <c r="C759" s="6" t="s">
        <v>2133</v>
      </c>
      <c r="D759" s="9" t="s">
        <v>2175</v>
      </c>
      <c r="E759" s="6" t="s">
        <v>2614</v>
      </c>
      <c r="F759" s="6" t="s">
        <v>2615</v>
      </c>
      <c r="G759" s="6" t="s">
        <v>2315</v>
      </c>
      <c r="H759" s="9" t="s">
        <v>18</v>
      </c>
      <c r="I759" s="16" t="str">
        <f>VLOOKUP(F759,[1]完整分类结果!$E:$G,3,0)</f>
        <v>烟草加工业</v>
      </c>
      <c r="J759" s="16">
        <f>VLOOKUP(I759,[2]行业排放因子!$A:$B,2,0)</f>
        <v>0.377769264521707</v>
      </c>
      <c r="K759" s="9" t="s">
        <v>1489</v>
      </c>
    </row>
    <row r="760" spans="1:11" ht="12.5" customHeight="1" x14ac:dyDescent="0.25">
      <c r="A760" s="5" t="s">
        <v>2616</v>
      </c>
      <c r="B760" s="6" t="s">
        <v>1484</v>
      </c>
      <c r="C760" s="6" t="s">
        <v>2133</v>
      </c>
      <c r="D760" s="9" t="s">
        <v>2175</v>
      </c>
      <c r="E760" s="6" t="s">
        <v>2617</v>
      </c>
      <c r="F760" s="6" t="s">
        <v>2618</v>
      </c>
      <c r="G760" s="6" t="s">
        <v>2315</v>
      </c>
      <c r="H760" s="9" t="s">
        <v>18</v>
      </c>
      <c r="I760" s="16" t="str">
        <f>VLOOKUP(F760,[1]完整分类结果!$E:$G,3,0)</f>
        <v>烟草加工业</v>
      </c>
      <c r="J760" s="16">
        <f>VLOOKUP(I760,[2]行业排放因子!$A:$B,2,0)</f>
        <v>0.377769264521707</v>
      </c>
      <c r="K760" s="9" t="s">
        <v>1489</v>
      </c>
    </row>
    <row r="761" spans="1:11" ht="12.5" customHeight="1" x14ac:dyDescent="0.25">
      <c r="A761" s="5" t="s">
        <v>2619</v>
      </c>
      <c r="B761" s="6" t="s">
        <v>1484</v>
      </c>
      <c r="C761" s="6" t="s">
        <v>2133</v>
      </c>
      <c r="D761" s="9" t="s">
        <v>2175</v>
      </c>
      <c r="E761" s="6" t="s">
        <v>2620</v>
      </c>
      <c r="F761" s="6" t="s">
        <v>2621</v>
      </c>
      <c r="G761" s="6" t="s">
        <v>2315</v>
      </c>
      <c r="H761" s="9" t="s">
        <v>18</v>
      </c>
      <c r="I761" s="16" t="str">
        <f>VLOOKUP(F761,[1]完整分类结果!$E:$G,3,0)</f>
        <v>烟草加工业</v>
      </c>
      <c r="J761" s="16">
        <f>VLOOKUP(I761,[2]行业排放因子!$A:$B,2,0)</f>
        <v>0.377769264521707</v>
      </c>
      <c r="K761" s="9" t="s">
        <v>1489</v>
      </c>
    </row>
    <row r="762" spans="1:11" ht="12.5" customHeight="1" x14ac:dyDescent="0.25">
      <c r="A762" s="5" t="s">
        <v>2622</v>
      </c>
      <c r="B762" s="6" t="s">
        <v>1484</v>
      </c>
      <c r="C762" s="6" t="s">
        <v>2133</v>
      </c>
      <c r="D762" s="9" t="s">
        <v>2175</v>
      </c>
      <c r="E762" s="6" t="s">
        <v>2623</v>
      </c>
      <c r="F762" s="6" t="s">
        <v>2624</v>
      </c>
      <c r="G762" s="6" t="s">
        <v>2315</v>
      </c>
      <c r="H762" s="9" t="s">
        <v>18</v>
      </c>
      <c r="I762" s="16" t="str">
        <f>VLOOKUP(F762,[1]完整分类结果!$E:$G,3,0)</f>
        <v>烟草加工业</v>
      </c>
      <c r="J762" s="16">
        <f>VLOOKUP(I762,[2]行业排放因子!$A:$B,2,0)</f>
        <v>0.377769264521707</v>
      </c>
      <c r="K762" s="9" t="s">
        <v>1489</v>
      </c>
    </row>
    <row r="763" spans="1:11" ht="12.5" customHeight="1" x14ac:dyDescent="0.25">
      <c r="A763" s="5" t="s">
        <v>2625</v>
      </c>
      <c r="B763" s="6" t="s">
        <v>1484</v>
      </c>
      <c r="C763" s="6" t="s">
        <v>2133</v>
      </c>
      <c r="D763" s="9" t="s">
        <v>2175</v>
      </c>
      <c r="E763" s="6" t="s">
        <v>2626</v>
      </c>
      <c r="F763" s="6" t="s">
        <v>2627</v>
      </c>
      <c r="G763" s="6" t="s">
        <v>2315</v>
      </c>
      <c r="H763" s="9" t="s">
        <v>18</v>
      </c>
      <c r="I763" s="16" t="str">
        <f>VLOOKUP(F763,[1]完整分类结果!$E:$G,3,0)</f>
        <v>烟草加工业</v>
      </c>
      <c r="J763" s="16">
        <f>VLOOKUP(I763,[2]行业排放因子!$A:$B,2,0)</f>
        <v>0.377769264521707</v>
      </c>
      <c r="K763" s="9" t="s">
        <v>1489</v>
      </c>
    </row>
    <row r="764" spans="1:11" ht="12.5" customHeight="1" x14ac:dyDescent="0.25">
      <c r="A764" s="5" t="s">
        <v>2628</v>
      </c>
      <c r="B764" s="6" t="s">
        <v>1484</v>
      </c>
      <c r="C764" s="6" t="s">
        <v>2133</v>
      </c>
      <c r="D764" s="9" t="s">
        <v>2175</v>
      </c>
      <c r="E764" s="6" t="s">
        <v>2629</v>
      </c>
      <c r="F764" s="6" t="s">
        <v>2630</v>
      </c>
      <c r="G764" s="6" t="s">
        <v>2315</v>
      </c>
      <c r="H764" s="9" t="s">
        <v>18</v>
      </c>
      <c r="I764" s="16" t="str">
        <f>VLOOKUP(F764,[1]完整分类结果!$E:$G,3,0)</f>
        <v>烟草加工业</v>
      </c>
      <c r="J764" s="16">
        <f>VLOOKUP(I764,[2]行业排放因子!$A:$B,2,0)</f>
        <v>0.377769264521707</v>
      </c>
      <c r="K764" s="9" t="s">
        <v>1489</v>
      </c>
    </row>
    <row r="765" spans="1:11" ht="12.5" customHeight="1" x14ac:dyDescent="0.25">
      <c r="A765" s="5" t="s">
        <v>2631</v>
      </c>
      <c r="B765" s="6" t="s">
        <v>1484</v>
      </c>
      <c r="C765" s="6" t="s">
        <v>2133</v>
      </c>
      <c r="D765" s="9" t="s">
        <v>2175</v>
      </c>
      <c r="E765" s="6" t="s">
        <v>2632</v>
      </c>
      <c r="F765" s="6" t="s">
        <v>2633</v>
      </c>
      <c r="G765" s="6" t="s">
        <v>2315</v>
      </c>
      <c r="H765" s="9" t="s">
        <v>18</v>
      </c>
      <c r="I765" s="16" t="str">
        <f>VLOOKUP(F765,[1]完整分类结果!$E:$G,3,0)</f>
        <v>烟草加工业</v>
      </c>
      <c r="J765" s="16">
        <f>VLOOKUP(I765,[2]行业排放因子!$A:$B,2,0)</f>
        <v>0.377769264521707</v>
      </c>
      <c r="K765" s="9" t="s">
        <v>1489</v>
      </c>
    </row>
    <row r="766" spans="1:11" ht="12.5" customHeight="1" x14ac:dyDescent="0.25">
      <c r="A766" s="5" t="s">
        <v>2634</v>
      </c>
      <c r="B766" s="6" t="s">
        <v>1484</v>
      </c>
      <c r="C766" s="6" t="s">
        <v>2133</v>
      </c>
      <c r="D766" s="9" t="s">
        <v>2175</v>
      </c>
      <c r="E766" s="6" t="s">
        <v>2635</v>
      </c>
      <c r="F766" s="6" t="s">
        <v>2636</v>
      </c>
      <c r="G766" s="6" t="s">
        <v>2315</v>
      </c>
      <c r="H766" s="9" t="s">
        <v>18</v>
      </c>
      <c r="I766" s="16" t="str">
        <f>VLOOKUP(F766,[1]完整分类结果!$E:$G,3,0)</f>
        <v>烟草加工业</v>
      </c>
      <c r="J766" s="16">
        <f>VLOOKUP(I766,[2]行业排放因子!$A:$B,2,0)</f>
        <v>0.377769264521707</v>
      </c>
      <c r="K766" s="9" t="s">
        <v>1489</v>
      </c>
    </row>
    <row r="767" spans="1:11" ht="12.5" customHeight="1" x14ac:dyDescent="0.25">
      <c r="A767" s="5" t="s">
        <v>2637</v>
      </c>
      <c r="B767" s="6" t="s">
        <v>1484</v>
      </c>
      <c r="C767" s="6" t="s">
        <v>2133</v>
      </c>
      <c r="D767" s="9" t="s">
        <v>2175</v>
      </c>
      <c r="E767" s="6" t="s">
        <v>2638</v>
      </c>
      <c r="F767" s="6" t="s">
        <v>2639</v>
      </c>
      <c r="G767" s="6" t="s">
        <v>2315</v>
      </c>
      <c r="H767" s="9" t="s">
        <v>18</v>
      </c>
      <c r="I767" s="16" t="str">
        <f>VLOOKUP(F767,[1]完整分类结果!$E:$G,3,0)</f>
        <v>烟草加工业</v>
      </c>
      <c r="J767" s="16">
        <f>VLOOKUP(I767,[2]行业排放因子!$A:$B,2,0)</f>
        <v>0.377769264521707</v>
      </c>
      <c r="K767" s="9" t="s">
        <v>1489</v>
      </c>
    </row>
    <row r="768" spans="1:11" ht="12.5" customHeight="1" x14ac:dyDescent="0.25">
      <c r="A768" s="5" t="s">
        <v>2640</v>
      </c>
      <c r="B768" s="6" t="s">
        <v>1484</v>
      </c>
      <c r="C768" s="6" t="s">
        <v>2133</v>
      </c>
      <c r="D768" s="9" t="s">
        <v>2175</v>
      </c>
      <c r="E768" s="6" t="s">
        <v>2641</v>
      </c>
      <c r="F768" s="6" t="s">
        <v>2642</v>
      </c>
      <c r="G768" s="6" t="s">
        <v>2315</v>
      </c>
      <c r="H768" s="9" t="s">
        <v>18</v>
      </c>
      <c r="I768" s="16" t="str">
        <f>VLOOKUP(F768,[1]完整分类结果!$E:$G,3,0)</f>
        <v>烟草加工业</v>
      </c>
      <c r="J768" s="16">
        <f>VLOOKUP(I768,[2]行业排放因子!$A:$B,2,0)</f>
        <v>0.377769264521707</v>
      </c>
      <c r="K768" s="9" t="s">
        <v>1489</v>
      </c>
    </row>
    <row r="769" spans="1:11" ht="12.5" customHeight="1" x14ac:dyDescent="0.25">
      <c r="A769" s="5" t="s">
        <v>2643</v>
      </c>
      <c r="B769" s="6" t="s">
        <v>1484</v>
      </c>
      <c r="C769" s="6" t="s">
        <v>2133</v>
      </c>
      <c r="D769" s="9" t="s">
        <v>2175</v>
      </c>
      <c r="E769" s="6" t="s">
        <v>2644</v>
      </c>
      <c r="F769" s="6" t="s">
        <v>2645</v>
      </c>
      <c r="G769" s="6" t="s">
        <v>2315</v>
      </c>
      <c r="H769" s="9" t="s">
        <v>18</v>
      </c>
      <c r="I769" s="16" t="str">
        <f>VLOOKUP(F769,[1]完整分类结果!$E:$G,3,0)</f>
        <v>烟草加工业</v>
      </c>
      <c r="J769" s="16">
        <f>VLOOKUP(I769,[2]行业排放因子!$A:$B,2,0)</f>
        <v>0.377769264521707</v>
      </c>
      <c r="K769" s="9" t="s">
        <v>1489</v>
      </c>
    </row>
    <row r="770" spans="1:11" ht="12.5" customHeight="1" x14ac:dyDescent="0.25">
      <c r="A770" s="5" t="s">
        <v>2646</v>
      </c>
      <c r="B770" s="6" t="s">
        <v>1484</v>
      </c>
      <c r="C770" s="6" t="s">
        <v>2133</v>
      </c>
      <c r="D770" s="9" t="s">
        <v>2175</v>
      </c>
      <c r="E770" s="6" t="s">
        <v>2647</v>
      </c>
      <c r="F770" s="6" t="s">
        <v>2648</v>
      </c>
      <c r="G770" s="6" t="s">
        <v>2315</v>
      </c>
      <c r="H770" s="9" t="s">
        <v>18</v>
      </c>
      <c r="I770" s="16" t="str">
        <f>VLOOKUP(F770,[1]完整分类结果!$E:$G,3,0)</f>
        <v>烟草加工业</v>
      </c>
      <c r="J770" s="16">
        <f>VLOOKUP(I770,[2]行业排放因子!$A:$B,2,0)</f>
        <v>0.377769264521707</v>
      </c>
      <c r="K770" s="9" t="s">
        <v>1489</v>
      </c>
    </row>
    <row r="771" spans="1:11" ht="12.5" customHeight="1" x14ac:dyDescent="0.25">
      <c r="A771" s="5" t="s">
        <v>2649</v>
      </c>
      <c r="B771" s="6" t="s">
        <v>1484</v>
      </c>
      <c r="C771" s="6" t="s">
        <v>2133</v>
      </c>
      <c r="D771" s="9" t="s">
        <v>2175</v>
      </c>
      <c r="E771" s="6" t="s">
        <v>2650</v>
      </c>
      <c r="F771" s="6" t="s">
        <v>2651</v>
      </c>
      <c r="G771" s="6" t="s">
        <v>2315</v>
      </c>
      <c r="H771" s="9" t="s">
        <v>18</v>
      </c>
      <c r="I771" s="16" t="str">
        <f>VLOOKUP(F771,[1]完整分类结果!$E:$G,3,0)</f>
        <v>烟草加工业</v>
      </c>
      <c r="J771" s="16">
        <f>VLOOKUP(I771,[2]行业排放因子!$A:$B,2,0)</f>
        <v>0.377769264521707</v>
      </c>
      <c r="K771" s="9" t="s">
        <v>1489</v>
      </c>
    </row>
    <row r="772" spans="1:11" ht="12.5" customHeight="1" x14ac:dyDescent="0.25">
      <c r="A772" s="5" t="s">
        <v>2652</v>
      </c>
      <c r="B772" s="6" t="s">
        <v>1484</v>
      </c>
      <c r="C772" s="6" t="s">
        <v>2133</v>
      </c>
      <c r="D772" s="9" t="s">
        <v>2175</v>
      </c>
      <c r="E772" s="6" t="s">
        <v>2653</v>
      </c>
      <c r="F772" s="6" t="s">
        <v>2654</v>
      </c>
      <c r="G772" s="6" t="s">
        <v>2315</v>
      </c>
      <c r="H772" s="9" t="s">
        <v>18</v>
      </c>
      <c r="I772" s="16" t="str">
        <f>VLOOKUP(F772,[1]完整分类结果!$E:$G,3,0)</f>
        <v>烟草加工业</v>
      </c>
      <c r="J772" s="16">
        <f>VLOOKUP(I772,[2]行业排放因子!$A:$B,2,0)</f>
        <v>0.377769264521707</v>
      </c>
      <c r="K772" s="9" t="s">
        <v>1489</v>
      </c>
    </row>
    <row r="773" spans="1:11" ht="12.5" customHeight="1" x14ac:dyDescent="0.25">
      <c r="A773" s="5" t="s">
        <v>2655</v>
      </c>
      <c r="B773" s="6" t="s">
        <v>1484</v>
      </c>
      <c r="C773" s="6" t="s">
        <v>2133</v>
      </c>
      <c r="D773" s="9" t="s">
        <v>2175</v>
      </c>
      <c r="E773" s="6" t="s">
        <v>2656</v>
      </c>
      <c r="F773" s="6" t="s">
        <v>2657</v>
      </c>
      <c r="G773" s="6" t="s">
        <v>2315</v>
      </c>
      <c r="H773" s="9" t="s">
        <v>18</v>
      </c>
      <c r="I773" s="16" t="str">
        <f>VLOOKUP(F773,[1]完整分类结果!$E:$G,3,0)</f>
        <v>烟草加工业</v>
      </c>
      <c r="J773" s="16">
        <f>VLOOKUP(I773,[2]行业排放因子!$A:$B,2,0)</f>
        <v>0.377769264521707</v>
      </c>
      <c r="K773" s="9" t="s">
        <v>1489</v>
      </c>
    </row>
    <row r="774" spans="1:11" ht="12.5" customHeight="1" x14ac:dyDescent="0.25">
      <c r="A774" s="5" t="s">
        <v>2658</v>
      </c>
      <c r="B774" s="6" t="s">
        <v>1484</v>
      </c>
      <c r="C774" s="6" t="s">
        <v>2133</v>
      </c>
      <c r="D774" s="9" t="s">
        <v>2175</v>
      </c>
      <c r="E774" s="6" t="s">
        <v>2659</v>
      </c>
      <c r="F774" s="6" t="s">
        <v>2660</v>
      </c>
      <c r="G774" s="6" t="s">
        <v>2315</v>
      </c>
      <c r="H774" s="9" t="s">
        <v>18</v>
      </c>
      <c r="I774" s="16" t="str">
        <f>VLOOKUP(F774,[1]完整分类结果!$E:$G,3,0)</f>
        <v>烟草加工业</v>
      </c>
      <c r="J774" s="16">
        <f>VLOOKUP(I774,[2]行业排放因子!$A:$B,2,0)</f>
        <v>0.377769264521707</v>
      </c>
      <c r="K774" s="9" t="s">
        <v>1489</v>
      </c>
    </row>
    <row r="775" spans="1:11" ht="12.5" customHeight="1" x14ac:dyDescent="0.25">
      <c r="A775" s="5" t="s">
        <v>2661</v>
      </c>
      <c r="B775" s="6" t="s">
        <v>1484</v>
      </c>
      <c r="C775" s="6" t="s">
        <v>2133</v>
      </c>
      <c r="D775" s="9" t="s">
        <v>2175</v>
      </c>
      <c r="E775" s="6" t="s">
        <v>2662</v>
      </c>
      <c r="F775" s="6" t="s">
        <v>2663</v>
      </c>
      <c r="G775" s="6" t="s">
        <v>2315</v>
      </c>
      <c r="H775" s="9" t="s">
        <v>18</v>
      </c>
      <c r="I775" s="16" t="str">
        <f>VLOOKUP(F775,[1]完整分类结果!$E:$G,3,0)</f>
        <v>烟草加工业</v>
      </c>
      <c r="J775" s="16">
        <f>VLOOKUP(I775,[2]行业排放因子!$A:$B,2,0)</f>
        <v>0.377769264521707</v>
      </c>
      <c r="K775" s="9" t="s">
        <v>1489</v>
      </c>
    </row>
    <row r="776" spans="1:11" ht="12.5" customHeight="1" x14ac:dyDescent="0.25">
      <c r="A776" s="5" t="s">
        <v>2664</v>
      </c>
      <c r="B776" s="6" t="s">
        <v>1484</v>
      </c>
      <c r="C776" s="6" t="s">
        <v>2133</v>
      </c>
      <c r="D776" s="9" t="s">
        <v>2175</v>
      </c>
      <c r="E776" s="6" t="s">
        <v>2665</v>
      </c>
      <c r="F776" s="6" t="s">
        <v>2666</v>
      </c>
      <c r="G776" s="6" t="s">
        <v>2315</v>
      </c>
      <c r="H776" s="9" t="s">
        <v>18</v>
      </c>
      <c r="I776" s="16" t="str">
        <f>VLOOKUP(F776,[1]完整分类结果!$E:$G,3,0)</f>
        <v>烟草加工业</v>
      </c>
      <c r="J776" s="16">
        <f>VLOOKUP(I776,[2]行业排放因子!$A:$B,2,0)</f>
        <v>0.377769264521707</v>
      </c>
      <c r="K776" s="9" t="s">
        <v>1489</v>
      </c>
    </row>
    <row r="777" spans="1:11" ht="12.5" customHeight="1" x14ac:dyDescent="0.25">
      <c r="A777" s="5" t="s">
        <v>2667</v>
      </c>
      <c r="B777" s="6" t="s">
        <v>1484</v>
      </c>
      <c r="C777" s="6" t="s">
        <v>2133</v>
      </c>
      <c r="D777" s="9" t="s">
        <v>2175</v>
      </c>
      <c r="E777" s="6" t="s">
        <v>2668</v>
      </c>
      <c r="F777" s="6" t="s">
        <v>2669</v>
      </c>
      <c r="G777" s="6" t="s">
        <v>2315</v>
      </c>
      <c r="H777" s="9" t="s">
        <v>18</v>
      </c>
      <c r="I777" s="16" t="str">
        <f>VLOOKUP(F777,[1]完整分类结果!$E:$G,3,0)</f>
        <v>烟草加工业</v>
      </c>
      <c r="J777" s="16">
        <f>VLOOKUP(I777,[2]行业排放因子!$A:$B,2,0)</f>
        <v>0.377769264521707</v>
      </c>
      <c r="K777" s="9" t="s">
        <v>1489</v>
      </c>
    </row>
    <row r="778" spans="1:11" ht="12.5" customHeight="1" x14ac:dyDescent="0.25">
      <c r="A778" s="5" t="s">
        <v>2670</v>
      </c>
      <c r="B778" s="6" t="s">
        <v>1484</v>
      </c>
      <c r="C778" s="6" t="s">
        <v>2133</v>
      </c>
      <c r="D778" s="9" t="s">
        <v>2175</v>
      </c>
      <c r="E778" s="6" t="s">
        <v>2671</v>
      </c>
      <c r="F778" s="6" t="s">
        <v>2672</v>
      </c>
      <c r="G778" s="6" t="s">
        <v>2315</v>
      </c>
      <c r="H778" s="9" t="s">
        <v>18</v>
      </c>
      <c r="I778" s="16" t="str">
        <f>VLOOKUP(F778,[1]完整分类结果!$E:$G,3,0)</f>
        <v>烟草加工业</v>
      </c>
      <c r="J778" s="16">
        <f>VLOOKUP(I778,[2]行业排放因子!$A:$B,2,0)</f>
        <v>0.377769264521707</v>
      </c>
      <c r="K778" s="9" t="s">
        <v>1489</v>
      </c>
    </row>
    <row r="779" spans="1:11" ht="12.5" customHeight="1" x14ac:dyDescent="0.25">
      <c r="A779" s="5" t="s">
        <v>2673</v>
      </c>
      <c r="B779" s="6" t="s">
        <v>1484</v>
      </c>
      <c r="C779" s="6" t="s">
        <v>2133</v>
      </c>
      <c r="D779" s="9" t="s">
        <v>2175</v>
      </c>
      <c r="E779" s="6" t="s">
        <v>2674</v>
      </c>
      <c r="F779" s="6" t="s">
        <v>2675</v>
      </c>
      <c r="G779" s="6" t="s">
        <v>2315</v>
      </c>
      <c r="H779" s="9" t="s">
        <v>18</v>
      </c>
      <c r="I779" s="16" t="str">
        <f>VLOOKUP(F779,[1]完整分类结果!$E:$G,3,0)</f>
        <v>烟草加工业</v>
      </c>
      <c r="J779" s="16">
        <f>VLOOKUP(I779,[2]行业排放因子!$A:$B,2,0)</f>
        <v>0.377769264521707</v>
      </c>
      <c r="K779" s="9" t="s">
        <v>1489</v>
      </c>
    </row>
    <row r="780" spans="1:11" ht="12.5" customHeight="1" x14ac:dyDescent="0.25">
      <c r="A780" s="5" t="s">
        <v>2676</v>
      </c>
      <c r="B780" s="6" t="s">
        <v>1484</v>
      </c>
      <c r="C780" s="6" t="s">
        <v>2133</v>
      </c>
      <c r="D780" s="9" t="s">
        <v>2175</v>
      </c>
      <c r="E780" s="6" t="s">
        <v>2677</v>
      </c>
      <c r="F780" s="6" t="s">
        <v>2678</v>
      </c>
      <c r="G780" s="6" t="s">
        <v>2315</v>
      </c>
      <c r="H780" s="9" t="s">
        <v>18</v>
      </c>
      <c r="I780" s="16" t="str">
        <f>VLOOKUP(F780,[1]完整分类结果!$E:$G,3,0)</f>
        <v>烟草加工业</v>
      </c>
      <c r="J780" s="16">
        <f>VLOOKUP(I780,[2]行业排放因子!$A:$B,2,0)</f>
        <v>0.377769264521707</v>
      </c>
      <c r="K780" s="9" t="s">
        <v>1489</v>
      </c>
    </row>
    <row r="781" spans="1:11" ht="12.5" customHeight="1" x14ac:dyDescent="0.25">
      <c r="A781" s="5" t="s">
        <v>2679</v>
      </c>
      <c r="B781" s="6" t="s">
        <v>1484</v>
      </c>
      <c r="C781" s="6" t="s">
        <v>2133</v>
      </c>
      <c r="D781" s="9" t="s">
        <v>2175</v>
      </c>
      <c r="E781" s="6" t="s">
        <v>2680</v>
      </c>
      <c r="F781" s="6" t="s">
        <v>2681</v>
      </c>
      <c r="G781" s="6" t="s">
        <v>2315</v>
      </c>
      <c r="H781" s="9" t="s">
        <v>18</v>
      </c>
      <c r="I781" s="16" t="str">
        <f>VLOOKUP(F781,[1]完整分类结果!$E:$G,3,0)</f>
        <v>烟草加工业</v>
      </c>
      <c r="J781" s="16">
        <f>VLOOKUP(I781,[2]行业排放因子!$A:$B,2,0)</f>
        <v>0.377769264521707</v>
      </c>
      <c r="K781" s="9" t="s">
        <v>1489</v>
      </c>
    </row>
    <row r="782" spans="1:11" ht="12.5" customHeight="1" x14ac:dyDescent="0.25">
      <c r="A782" s="5" t="s">
        <v>2682</v>
      </c>
      <c r="B782" s="6" t="s">
        <v>1484</v>
      </c>
      <c r="C782" s="6" t="s">
        <v>2133</v>
      </c>
      <c r="D782" s="9" t="s">
        <v>2175</v>
      </c>
      <c r="E782" s="6" t="s">
        <v>2683</v>
      </c>
      <c r="F782" s="6" t="s">
        <v>2684</v>
      </c>
      <c r="G782" s="6" t="s">
        <v>2315</v>
      </c>
      <c r="H782" s="9" t="s">
        <v>18</v>
      </c>
      <c r="I782" s="16" t="str">
        <f>VLOOKUP(F782,[1]完整分类结果!$E:$G,3,0)</f>
        <v>烟草加工业</v>
      </c>
      <c r="J782" s="16">
        <f>VLOOKUP(I782,[2]行业排放因子!$A:$B,2,0)</f>
        <v>0.377769264521707</v>
      </c>
      <c r="K782" s="9" t="s">
        <v>1489</v>
      </c>
    </row>
    <row r="783" spans="1:11" ht="12.5" customHeight="1" x14ac:dyDescent="0.25">
      <c r="A783" s="5" t="s">
        <v>2685</v>
      </c>
      <c r="B783" s="6" t="s">
        <v>1484</v>
      </c>
      <c r="C783" s="6" t="s">
        <v>2133</v>
      </c>
      <c r="D783" s="9" t="s">
        <v>2175</v>
      </c>
      <c r="E783" s="6" t="s">
        <v>2686</v>
      </c>
      <c r="F783" s="6" t="s">
        <v>2687</v>
      </c>
      <c r="G783" s="6" t="s">
        <v>2315</v>
      </c>
      <c r="H783" s="9" t="s">
        <v>18</v>
      </c>
      <c r="I783" s="16" t="str">
        <f>VLOOKUP(F783,[1]完整分类结果!$E:$G,3,0)</f>
        <v>烟草加工业</v>
      </c>
      <c r="J783" s="16">
        <f>VLOOKUP(I783,[2]行业排放因子!$A:$B,2,0)</f>
        <v>0.377769264521707</v>
      </c>
      <c r="K783" s="9" t="s">
        <v>1489</v>
      </c>
    </row>
    <row r="784" spans="1:11" ht="12.5" customHeight="1" x14ac:dyDescent="0.25">
      <c r="A784" s="5" t="s">
        <v>2688</v>
      </c>
      <c r="B784" s="6" t="s">
        <v>1484</v>
      </c>
      <c r="C784" s="6" t="s">
        <v>2133</v>
      </c>
      <c r="D784" s="9" t="s">
        <v>2175</v>
      </c>
      <c r="E784" s="6" t="s">
        <v>2689</v>
      </c>
      <c r="F784" s="6" t="s">
        <v>2690</v>
      </c>
      <c r="G784" s="6" t="s">
        <v>2315</v>
      </c>
      <c r="H784" s="9" t="s">
        <v>18</v>
      </c>
      <c r="I784" s="16" t="str">
        <f>VLOOKUP(F784,[1]完整分类结果!$E:$G,3,0)</f>
        <v>烟草加工业</v>
      </c>
      <c r="J784" s="16">
        <f>VLOOKUP(I784,[2]行业排放因子!$A:$B,2,0)</f>
        <v>0.377769264521707</v>
      </c>
      <c r="K784" s="9" t="s">
        <v>1489</v>
      </c>
    </row>
    <row r="785" spans="1:11" ht="12.5" customHeight="1" x14ac:dyDescent="0.25">
      <c r="A785" s="5" t="s">
        <v>2691</v>
      </c>
      <c r="B785" s="6" t="s">
        <v>1484</v>
      </c>
      <c r="C785" s="6" t="s">
        <v>2133</v>
      </c>
      <c r="D785" s="9" t="s">
        <v>2175</v>
      </c>
      <c r="E785" s="6" t="s">
        <v>2692</v>
      </c>
      <c r="F785" s="6" t="s">
        <v>2693</v>
      </c>
      <c r="G785" s="6" t="s">
        <v>2315</v>
      </c>
      <c r="H785" s="9" t="s">
        <v>18</v>
      </c>
      <c r="I785" s="16" t="str">
        <f>VLOOKUP(F785,[1]完整分类结果!$E:$G,3,0)</f>
        <v>烟草加工业</v>
      </c>
      <c r="J785" s="16">
        <f>VLOOKUP(I785,[2]行业排放因子!$A:$B,2,0)</f>
        <v>0.377769264521707</v>
      </c>
      <c r="K785" s="9" t="s">
        <v>1489</v>
      </c>
    </row>
    <row r="786" spans="1:11" ht="12.5" customHeight="1" x14ac:dyDescent="0.25">
      <c r="A786" s="5" t="s">
        <v>2694</v>
      </c>
      <c r="B786" s="6" t="s">
        <v>1484</v>
      </c>
      <c r="C786" s="6" t="s">
        <v>2133</v>
      </c>
      <c r="D786" s="9" t="s">
        <v>2175</v>
      </c>
      <c r="E786" s="6" t="s">
        <v>2695</v>
      </c>
      <c r="F786" s="6" t="s">
        <v>2696</v>
      </c>
      <c r="G786" s="6" t="s">
        <v>2315</v>
      </c>
      <c r="H786" s="9" t="s">
        <v>18</v>
      </c>
      <c r="I786" s="16" t="str">
        <f>VLOOKUP(F786,[1]完整分类结果!$E:$G,3,0)</f>
        <v>烟草加工业</v>
      </c>
      <c r="J786" s="16">
        <f>VLOOKUP(I786,[2]行业排放因子!$A:$B,2,0)</f>
        <v>0.377769264521707</v>
      </c>
      <c r="K786" s="9" t="s">
        <v>1489</v>
      </c>
    </row>
    <row r="787" spans="1:11" ht="12.5" customHeight="1" x14ac:dyDescent="0.25">
      <c r="A787" s="5" t="s">
        <v>2697</v>
      </c>
      <c r="B787" s="6" t="s">
        <v>1484</v>
      </c>
      <c r="C787" s="6" t="s">
        <v>2133</v>
      </c>
      <c r="D787" s="9" t="s">
        <v>2175</v>
      </c>
      <c r="E787" s="6" t="s">
        <v>2698</v>
      </c>
      <c r="F787" s="6" t="s">
        <v>2699</v>
      </c>
      <c r="G787" s="6" t="s">
        <v>2315</v>
      </c>
      <c r="H787" s="9" t="s">
        <v>18</v>
      </c>
      <c r="I787" s="16" t="str">
        <f>VLOOKUP(F787,[1]完整分类结果!$E:$G,3,0)</f>
        <v>烟草加工业</v>
      </c>
      <c r="J787" s="16">
        <f>VLOOKUP(I787,[2]行业排放因子!$A:$B,2,0)</f>
        <v>0.377769264521707</v>
      </c>
      <c r="K787" s="9" t="s">
        <v>1489</v>
      </c>
    </row>
    <row r="788" spans="1:11" ht="12.5" customHeight="1" x14ac:dyDescent="0.25">
      <c r="A788" s="5" t="s">
        <v>2700</v>
      </c>
      <c r="B788" s="6" t="s">
        <v>1484</v>
      </c>
      <c r="C788" s="6" t="s">
        <v>2133</v>
      </c>
      <c r="D788" s="9" t="s">
        <v>2175</v>
      </c>
      <c r="E788" s="6" t="s">
        <v>2701</v>
      </c>
      <c r="F788" s="6" t="s">
        <v>2702</v>
      </c>
      <c r="G788" s="6" t="s">
        <v>2315</v>
      </c>
      <c r="H788" s="9" t="s">
        <v>18</v>
      </c>
      <c r="I788" s="16" t="str">
        <f>VLOOKUP(F788,[1]完整分类结果!$E:$G,3,0)</f>
        <v>烟草加工业</v>
      </c>
      <c r="J788" s="16">
        <f>VLOOKUP(I788,[2]行业排放因子!$A:$B,2,0)</f>
        <v>0.377769264521707</v>
      </c>
      <c r="K788" s="9" t="s">
        <v>1489</v>
      </c>
    </row>
    <row r="789" spans="1:11" ht="12.5" customHeight="1" x14ac:dyDescent="0.25">
      <c r="A789" s="5" t="s">
        <v>2703</v>
      </c>
      <c r="B789" s="6" t="s">
        <v>1484</v>
      </c>
      <c r="C789" s="6" t="s">
        <v>2133</v>
      </c>
      <c r="D789" s="9" t="s">
        <v>2175</v>
      </c>
      <c r="E789" s="6" t="s">
        <v>2704</v>
      </c>
      <c r="F789" s="6" t="s">
        <v>2705</v>
      </c>
      <c r="G789" s="6" t="s">
        <v>2315</v>
      </c>
      <c r="H789" s="9" t="s">
        <v>18</v>
      </c>
      <c r="I789" s="16" t="str">
        <f>VLOOKUP(F789,[1]完整分类结果!$E:$G,3,0)</f>
        <v>烟草加工业</v>
      </c>
      <c r="J789" s="16">
        <f>VLOOKUP(I789,[2]行业排放因子!$A:$B,2,0)</f>
        <v>0.377769264521707</v>
      </c>
      <c r="K789" s="9" t="s">
        <v>1489</v>
      </c>
    </row>
    <row r="790" spans="1:11" ht="12.5" customHeight="1" x14ac:dyDescent="0.25">
      <c r="A790" s="5" t="s">
        <v>2706</v>
      </c>
      <c r="B790" s="6" t="s">
        <v>1484</v>
      </c>
      <c r="C790" s="6" t="s">
        <v>2133</v>
      </c>
      <c r="D790" s="9" t="s">
        <v>2175</v>
      </c>
      <c r="E790" s="6" t="s">
        <v>2707</v>
      </c>
      <c r="F790" s="6" t="s">
        <v>2708</v>
      </c>
      <c r="G790" s="6" t="s">
        <v>2315</v>
      </c>
      <c r="H790" s="9" t="s">
        <v>18</v>
      </c>
      <c r="I790" s="16" t="str">
        <f>VLOOKUP(F790,[1]完整分类结果!$E:$G,3,0)</f>
        <v>烟草加工业</v>
      </c>
      <c r="J790" s="16">
        <f>VLOOKUP(I790,[2]行业排放因子!$A:$B,2,0)</f>
        <v>0.377769264521707</v>
      </c>
      <c r="K790" s="9" t="s">
        <v>1489</v>
      </c>
    </row>
    <row r="791" spans="1:11" ht="12.5" customHeight="1" x14ac:dyDescent="0.25">
      <c r="A791" s="5" t="s">
        <v>2709</v>
      </c>
      <c r="B791" s="6" t="s">
        <v>1484</v>
      </c>
      <c r="C791" s="6" t="s">
        <v>2133</v>
      </c>
      <c r="D791" s="9" t="s">
        <v>2175</v>
      </c>
      <c r="E791" s="6" t="s">
        <v>2710</v>
      </c>
      <c r="F791" s="6" t="s">
        <v>2711</v>
      </c>
      <c r="G791" s="6" t="s">
        <v>2315</v>
      </c>
      <c r="H791" s="9" t="s">
        <v>18</v>
      </c>
      <c r="I791" s="16" t="str">
        <f>VLOOKUP(F791,[1]完整分类结果!$E:$G,3,0)</f>
        <v>烟草加工业</v>
      </c>
      <c r="J791" s="16">
        <f>VLOOKUP(I791,[2]行业排放因子!$A:$B,2,0)</f>
        <v>0.377769264521707</v>
      </c>
      <c r="K791" s="9" t="s">
        <v>1489</v>
      </c>
    </row>
    <row r="792" spans="1:11" ht="12.5" customHeight="1" x14ac:dyDescent="0.25">
      <c r="A792" s="5" t="s">
        <v>2712</v>
      </c>
      <c r="B792" s="6" t="s">
        <v>1484</v>
      </c>
      <c r="C792" s="6" t="s">
        <v>2133</v>
      </c>
      <c r="D792" s="9" t="s">
        <v>2175</v>
      </c>
      <c r="E792" s="6" t="s">
        <v>2713</v>
      </c>
      <c r="F792" s="6" t="s">
        <v>2714</v>
      </c>
      <c r="G792" s="6" t="s">
        <v>2315</v>
      </c>
      <c r="H792" s="9" t="s">
        <v>18</v>
      </c>
      <c r="I792" s="16" t="str">
        <f>VLOOKUP(F792,[1]完整分类结果!$E:$G,3,0)</f>
        <v>烟草加工业</v>
      </c>
      <c r="J792" s="16">
        <f>VLOOKUP(I792,[2]行业排放因子!$A:$B,2,0)</f>
        <v>0.377769264521707</v>
      </c>
      <c r="K792" s="9" t="s">
        <v>1489</v>
      </c>
    </row>
    <row r="793" spans="1:11" ht="12.5" customHeight="1" x14ac:dyDescent="0.25">
      <c r="A793" s="5" t="s">
        <v>2715</v>
      </c>
      <c r="B793" s="6" t="s">
        <v>1484</v>
      </c>
      <c r="C793" s="6" t="s">
        <v>2133</v>
      </c>
      <c r="D793" s="9" t="s">
        <v>2175</v>
      </c>
      <c r="E793" s="6" t="s">
        <v>2716</v>
      </c>
      <c r="F793" s="6" t="s">
        <v>2717</v>
      </c>
      <c r="G793" s="6" t="s">
        <v>2315</v>
      </c>
      <c r="H793" s="9" t="s">
        <v>18</v>
      </c>
      <c r="I793" s="16" t="str">
        <f>VLOOKUP(F793,[1]完整分类结果!$E:$G,3,0)</f>
        <v>烟草加工业</v>
      </c>
      <c r="J793" s="16">
        <f>VLOOKUP(I793,[2]行业排放因子!$A:$B,2,0)</f>
        <v>0.377769264521707</v>
      </c>
      <c r="K793" s="9" t="s">
        <v>1489</v>
      </c>
    </row>
    <row r="794" spans="1:11" ht="12.5" customHeight="1" x14ac:dyDescent="0.25">
      <c r="A794" s="5" t="s">
        <v>2718</v>
      </c>
      <c r="B794" s="6" t="s">
        <v>1484</v>
      </c>
      <c r="C794" s="6" t="s">
        <v>2133</v>
      </c>
      <c r="D794" s="9" t="s">
        <v>2175</v>
      </c>
      <c r="E794" s="6" t="s">
        <v>2719</v>
      </c>
      <c r="F794" s="6" t="s">
        <v>2720</v>
      </c>
      <c r="G794" s="6" t="s">
        <v>2315</v>
      </c>
      <c r="H794" s="9" t="s">
        <v>18</v>
      </c>
      <c r="I794" s="16" t="str">
        <f>VLOOKUP(F794,[1]完整分类结果!$E:$G,3,0)</f>
        <v>烟草加工业</v>
      </c>
      <c r="J794" s="16">
        <f>VLOOKUP(I794,[2]行业排放因子!$A:$B,2,0)</f>
        <v>0.377769264521707</v>
      </c>
      <c r="K794" s="9" t="s">
        <v>1489</v>
      </c>
    </row>
    <row r="795" spans="1:11" ht="12.5" customHeight="1" x14ac:dyDescent="0.25">
      <c r="A795" s="5" t="s">
        <v>2721</v>
      </c>
      <c r="B795" s="6" t="s">
        <v>1484</v>
      </c>
      <c r="C795" s="6" t="s">
        <v>2133</v>
      </c>
      <c r="D795" s="9" t="s">
        <v>2175</v>
      </c>
      <c r="E795" s="6" t="s">
        <v>2722</v>
      </c>
      <c r="F795" s="6" t="s">
        <v>2723</v>
      </c>
      <c r="G795" s="6" t="s">
        <v>2315</v>
      </c>
      <c r="H795" s="9" t="s">
        <v>18</v>
      </c>
      <c r="I795" s="16" t="str">
        <f>VLOOKUP(F795,[1]完整分类结果!$E:$G,3,0)</f>
        <v>烟草加工业</v>
      </c>
      <c r="J795" s="16">
        <f>VLOOKUP(I795,[2]行业排放因子!$A:$B,2,0)</f>
        <v>0.377769264521707</v>
      </c>
      <c r="K795" s="9" t="s">
        <v>1489</v>
      </c>
    </row>
    <row r="796" spans="1:11" ht="12.5" customHeight="1" x14ac:dyDescent="0.25">
      <c r="A796" s="5" t="s">
        <v>2724</v>
      </c>
      <c r="B796" s="6" t="s">
        <v>1484</v>
      </c>
      <c r="C796" s="6" t="s">
        <v>2133</v>
      </c>
      <c r="D796" s="9" t="s">
        <v>2175</v>
      </c>
      <c r="E796" s="6" t="s">
        <v>2725</v>
      </c>
      <c r="F796" s="6" t="s">
        <v>2726</v>
      </c>
      <c r="G796" s="6" t="s">
        <v>2315</v>
      </c>
      <c r="H796" s="9" t="s">
        <v>18</v>
      </c>
      <c r="I796" s="16" t="str">
        <f>VLOOKUP(F796,[1]完整分类结果!$E:$G,3,0)</f>
        <v>烟草加工业</v>
      </c>
      <c r="J796" s="16">
        <f>VLOOKUP(I796,[2]行业排放因子!$A:$B,2,0)</f>
        <v>0.377769264521707</v>
      </c>
      <c r="K796" s="9" t="s">
        <v>1489</v>
      </c>
    </row>
    <row r="797" spans="1:11" ht="12.5" customHeight="1" x14ac:dyDescent="0.25">
      <c r="A797" s="5" t="s">
        <v>2727</v>
      </c>
      <c r="B797" s="6" t="s">
        <v>1484</v>
      </c>
      <c r="C797" s="6" t="s">
        <v>2133</v>
      </c>
      <c r="D797" s="9" t="s">
        <v>2175</v>
      </c>
      <c r="E797" s="6" t="s">
        <v>2728</v>
      </c>
      <c r="F797" s="6" t="s">
        <v>2729</v>
      </c>
      <c r="G797" s="6" t="s">
        <v>2315</v>
      </c>
      <c r="H797" s="9" t="s">
        <v>18</v>
      </c>
      <c r="I797" s="16" t="str">
        <f>VLOOKUP(F797,[1]完整分类结果!$E:$G,3,0)</f>
        <v>烟草加工业</v>
      </c>
      <c r="J797" s="16">
        <f>VLOOKUP(I797,[2]行业排放因子!$A:$B,2,0)</f>
        <v>0.377769264521707</v>
      </c>
      <c r="K797" s="9" t="s">
        <v>1489</v>
      </c>
    </row>
    <row r="798" spans="1:11" ht="12.5" customHeight="1" x14ac:dyDescent="0.25">
      <c r="A798" s="5" t="s">
        <v>2730</v>
      </c>
      <c r="B798" s="6" t="s">
        <v>1484</v>
      </c>
      <c r="C798" s="6" t="s">
        <v>2133</v>
      </c>
      <c r="D798" s="9" t="s">
        <v>2175</v>
      </c>
      <c r="E798" s="6" t="s">
        <v>2731</v>
      </c>
      <c r="F798" s="6" t="s">
        <v>2732</v>
      </c>
      <c r="G798" s="6" t="s">
        <v>2315</v>
      </c>
      <c r="H798" s="9" t="s">
        <v>18</v>
      </c>
      <c r="I798" s="16" t="str">
        <f>VLOOKUP(F798,[1]完整分类结果!$E:$G,3,0)</f>
        <v>烟草加工业</v>
      </c>
      <c r="J798" s="16">
        <f>VLOOKUP(I798,[2]行业排放因子!$A:$B,2,0)</f>
        <v>0.377769264521707</v>
      </c>
      <c r="K798" s="9" t="s">
        <v>1489</v>
      </c>
    </row>
    <row r="799" spans="1:11" ht="12.5" customHeight="1" x14ac:dyDescent="0.25">
      <c r="A799" s="5" t="s">
        <v>2733</v>
      </c>
      <c r="B799" s="6" t="s">
        <v>1484</v>
      </c>
      <c r="C799" s="6" t="s">
        <v>2133</v>
      </c>
      <c r="D799" s="9" t="s">
        <v>2175</v>
      </c>
      <c r="E799" s="6" t="s">
        <v>2734</v>
      </c>
      <c r="F799" s="6" t="s">
        <v>2735</v>
      </c>
      <c r="G799" s="6" t="s">
        <v>2315</v>
      </c>
      <c r="H799" s="9" t="s">
        <v>18</v>
      </c>
      <c r="I799" s="16" t="str">
        <f>VLOOKUP(F799,[1]完整分类结果!$E:$G,3,0)</f>
        <v>烟草加工业</v>
      </c>
      <c r="J799" s="16">
        <f>VLOOKUP(I799,[2]行业排放因子!$A:$B,2,0)</f>
        <v>0.377769264521707</v>
      </c>
      <c r="K799" s="9" t="s">
        <v>1489</v>
      </c>
    </row>
    <row r="800" spans="1:11" ht="12.5" customHeight="1" x14ac:dyDescent="0.25">
      <c r="A800" s="5" t="s">
        <v>2736</v>
      </c>
      <c r="B800" s="6" t="s">
        <v>1484</v>
      </c>
      <c r="C800" s="6" t="s">
        <v>2133</v>
      </c>
      <c r="D800" s="9" t="s">
        <v>2175</v>
      </c>
      <c r="E800" s="6" t="s">
        <v>2737</v>
      </c>
      <c r="F800" s="6" t="s">
        <v>2738</v>
      </c>
      <c r="G800" s="6" t="s">
        <v>2315</v>
      </c>
      <c r="H800" s="9" t="s">
        <v>18</v>
      </c>
      <c r="I800" s="16" t="str">
        <f>VLOOKUP(F800,[1]完整分类结果!$E:$G,3,0)</f>
        <v>烟草加工业</v>
      </c>
      <c r="J800" s="16">
        <f>VLOOKUP(I800,[2]行业排放因子!$A:$B,2,0)</f>
        <v>0.377769264521707</v>
      </c>
      <c r="K800" s="9" t="s">
        <v>1489</v>
      </c>
    </row>
    <row r="801" spans="1:11" ht="12.5" customHeight="1" x14ac:dyDescent="0.25">
      <c r="A801" s="5" t="s">
        <v>2739</v>
      </c>
      <c r="B801" s="6" t="s">
        <v>1484</v>
      </c>
      <c r="C801" s="6" t="s">
        <v>2133</v>
      </c>
      <c r="D801" s="9" t="s">
        <v>2175</v>
      </c>
      <c r="E801" s="6" t="s">
        <v>2740</v>
      </c>
      <c r="F801" s="6" t="s">
        <v>2741</v>
      </c>
      <c r="G801" s="6" t="s">
        <v>2315</v>
      </c>
      <c r="H801" s="9" t="s">
        <v>18</v>
      </c>
      <c r="I801" s="16" t="str">
        <f>VLOOKUP(F801,[1]完整分类结果!$E:$G,3,0)</f>
        <v>烟草加工业</v>
      </c>
      <c r="J801" s="16">
        <f>VLOOKUP(I801,[2]行业排放因子!$A:$B,2,0)</f>
        <v>0.377769264521707</v>
      </c>
      <c r="K801" s="9" t="s">
        <v>1489</v>
      </c>
    </row>
    <row r="802" spans="1:11" ht="12.5" customHeight="1" x14ac:dyDescent="0.25">
      <c r="A802" s="5" t="s">
        <v>2742</v>
      </c>
      <c r="B802" s="6" t="s">
        <v>1484</v>
      </c>
      <c r="C802" s="6" t="s">
        <v>2133</v>
      </c>
      <c r="D802" s="9" t="s">
        <v>2175</v>
      </c>
      <c r="E802" s="6" t="s">
        <v>2743</v>
      </c>
      <c r="F802" s="6" t="s">
        <v>2744</v>
      </c>
      <c r="G802" s="6" t="s">
        <v>2315</v>
      </c>
      <c r="H802" s="9" t="s">
        <v>18</v>
      </c>
      <c r="I802" s="16" t="str">
        <f>VLOOKUP(F802,[1]完整分类结果!$E:$G,3,0)</f>
        <v>烟草加工业</v>
      </c>
      <c r="J802" s="16">
        <f>VLOOKUP(I802,[2]行业排放因子!$A:$B,2,0)</f>
        <v>0.377769264521707</v>
      </c>
      <c r="K802" s="9" t="s">
        <v>1489</v>
      </c>
    </row>
    <row r="803" spans="1:11" ht="12.5" customHeight="1" x14ac:dyDescent="0.25">
      <c r="A803" s="5" t="s">
        <v>2745</v>
      </c>
      <c r="B803" s="6" t="s">
        <v>1484</v>
      </c>
      <c r="C803" s="6" t="s">
        <v>2133</v>
      </c>
      <c r="D803" s="9" t="s">
        <v>2175</v>
      </c>
      <c r="E803" s="6" t="s">
        <v>2746</v>
      </c>
      <c r="F803" s="6" t="s">
        <v>2747</v>
      </c>
      <c r="G803" s="6" t="s">
        <v>2315</v>
      </c>
      <c r="H803" s="9" t="s">
        <v>18</v>
      </c>
      <c r="I803" s="16" t="str">
        <f>VLOOKUP(F803,[1]完整分类结果!$E:$G,3,0)</f>
        <v>烟草加工业</v>
      </c>
      <c r="J803" s="16">
        <f>VLOOKUP(I803,[2]行业排放因子!$A:$B,2,0)</f>
        <v>0.377769264521707</v>
      </c>
      <c r="K803" s="9" t="s">
        <v>1489</v>
      </c>
    </row>
    <row r="804" spans="1:11" ht="12.5" customHeight="1" x14ac:dyDescent="0.25">
      <c r="A804" s="5" t="s">
        <v>2748</v>
      </c>
      <c r="B804" s="6" t="s">
        <v>1484</v>
      </c>
      <c r="C804" s="6" t="s">
        <v>2133</v>
      </c>
      <c r="D804" s="9" t="s">
        <v>2175</v>
      </c>
      <c r="E804" s="6" t="s">
        <v>2749</v>
      </c>
      <c r="F804" s="6" t="s">
        <v>2750</v>
      </c>
      <c r="G804" s="6" t="s">
        <v>2315</v>
      </c>
      <c r="H804" s="9" t="s">
        <v>18</v>
      </c>
      <c r="I804" s="16" t="str">
        <f>VLOOKUP(F804,[1]完整分类结果!$E:$G,3,0)</f>
        <v>烟草加工业</v>
      </c>
      <c r="J804" s="16">
        <f>VLOOKUP(I804,[2]行业排放因子!$A:$B,2,0)</f>
        <v>0.377769264521707</v>
      </c>
      <c r="K804" s="9" t="s">
        <v>1489</v>
      </c>
    </row>
    <row r="805" spans="1:11" ht="12.5" customHeight="1" x14ac:dyDescent="0.25">
      <c r="A805" s="5" t="s">
        <v>2751</v>
      </c>
      <c r="B805" s="6" t="s">
        <v>1484</v>
      </c>
      <c r="C805" s="6" t="s">
        <v>2133</v>
      </c>
      <c r="D805" s="9" t="s">
        <v>2175</v>
      </c>
      <c r="E805" s="6" t="s">
        <v>2752</v>
      </c>
      <c r="F805" s="6" t="s">
        <v>2753</v>
      </c>
      <c r="G805" s="6" t="s">
        <v>2315</v>
      </c>
      <c r="H805" s="9" t="s">
        <v>18</v>
      </c>
      <c r="I805" s="16" t="str">
        <f>VLOOKUP(F805,[1]完整分类结果!$E:$G,3,0)</f>
        <v>烟草加工业</v>
      </c>
      <c r="J805" s="16">
        <f>VLOOKUP(I805,[2]行业排放因子!$A:$B,2,0)</f>
        <v>0.377769264521707</v>
      </c>
      <c r="K805" s="9" t="s">
        <v>1489</v>
      </c>
    </row>
    <row r="806" spans="1:11" ht="12.5" customHeight="1" x14ac:dyDescent="0.25">
      <c r="A806" s="5" t="s">
        <v>2754</v>
      </c>
      <c r="B806" s="6" t="s">
        <v>1484</v>
      </c>
      <c r="C806" s="6" t="s">
        <v>2133</v>
      </c>
      <c r="D806" s="9" t="s">
        <v>2175</v>
      </c>
      <c r="E806" s="6" t="s">
        <v>2755</v>
      </c>
      <c r="F806" s="6" t="s">
        <v>2756</v>
      </c>
      <c r="G806" s="6" t="s">
        <v>2315</v>
      </c>
      <c r="H806" s="9" t="s">
        <v>18</v>
      </c>
      <c r="I806" s="16" t="str">
        <f>VLOOKUP(F806,[1]完整分类结果!$E:$G,3,0)</f>
        <v>烟草加工业</v>
      </c>
      <c r="J806" s="16">
        <f>VLOOKUP(I806,[2]行业排放因子!$A:$B,2,0)</f>
        <v>0.377769264521707</v>
      </c>
      <c r="K806" s="9" t="s">
        <v>1489</v>
      </c>
    </row>
    <row r="807" spans="1:11" ht="12.5" customHeight="1" x14ac:dyDescent="0.25">
      <c r="A807" s="5" t="s">
        <v>2757</v>
      </c>
      <c r="B807" s="6" t="s">
        <v>1484</v>
      </c>
      <c r="C807" s="6" t="s">
        <v>2133</v>
      </c>
      <c r="D807" s="9" t="s">
        <v>2175</v>
      </c>
      <c r="E807" s="6" t="s">
        <v>2758</v>
      </c>
      <c r="F807" s="6" t="s">
        <v>2759</v>
      </c>
      <c r="G807" s="6" t="s">
        <v>2315</v>
      </c>
      <c r="H807" s="9" t="s">
        <v>18</v>
      </c>
      <c r="I807" s="16" t="str">
        <f>VLOOKUP(F807,[1]完整分类结果!$E:$G,3,0)</f>
        <v>烟草加工业</v>
      </c>
      <c r="J807" s="16">
        <f>VLOOKUP(I807,[2]行业排放因子!$A:$B,2,0)</f>
        <v>0.377769264521707</v>
      </c>
      <c r="K807" s="9" t="s">
        <v>1489</v>
      </c>
    </row>
    <row r="808" spans="1:11" ht="12.5" customHeight="1" x14ac:dyDescent="0.25">
      <c r="A808" s="5" t="s">
        <v>2760</v>
      </c>
      <c r="B808" s="6" t="s">
        <v>1484</v>
      </c>
      <c r="C808" s="6" t="s">
        <v>2133</v>
      </c>
      <c r="D808" s="9" t="s">
        <v>2175</v>
      </c>
      <c r="E808" s="6" t="s">
        <v>2761</v>
      </c>
      <c r="F808" s="6" t="s">
        <v>2762</v>
      </c>
      <c r="G808" s="6" t="s">
        <v>2315</v>
      </c>
      <c r="H808" s="9" t="s">
        <v>18</v>
      </c>
      <c r="I808" s="16" t="str">
        <f>VLOOKUP(F808,[1]完整分类结果!$E:$G,3,0)</f>
        <v>烟草加工业</v>
      </c>
      <c r="J808" s="16">
        <f>VLOOKUP(I808,[2]行业排放因子!$A:$B,2,0)</f>
        <v>0.377769264521707</v>
      </c>
      <c r="K808" s="9" t="s">
        <v>1489</v>
      </c>
    </row>
    <row r="809" spans="1:11" ht="12.5" customHeight="1" x14ac:dyDescent="0.25">
      <c r="A809" s="5" t="s">
        <v>2763</v>
      </c>
      <c r="B809" s="6" t="s">
        <v>1484</v>
      </c>
      <c r="C809" s="6" t="s">
        <v>2133</v>
      </c>
      <c r="D809" s="9" t="s">
        <v>2175</v>
      </c>
      <c r="E809" s="6" t="s">
        <v>2764</v>
      </c>
      <c r="F809" s="6" t="s">
        <v>2765</v>
      </c>
      <c r="G809" s="6" t="s">
        <v>2315</v>
      </c>
      <c r="H809" s="9" t="s">
        <v>18</v>
      </c>
      <c r="I809" s="16" t="str">
        <f>VLOOKUP(F809,[1]完整分类结果!$E:$G,3,0)</f>
        <v>烟草加工业</v>
      </c>
      <c r="J809" s="16">
        <f>VLOOKUP(I809,[2]行业排放因子!$A:$B,2,0)</f>
        <v>0.377769264521707</v>
      </c>
      <c r="K809" s="9" t="s">
        <v>1489</v>
      </c>
    </row>
    <row r="810" spans="1:11" ht="12.5" customHeight="1" x14ac:dyDescent="0.25">
      <c r="A810" s="5" t="s">
        <v>2766</v>
      </c>
      <c r="B810" s="6" t="s">
        <v>1484</v>
      </c>
      <c r="C810" s="6" t="s">
        <v>2133</v>
      </c>
      <c r="D810" s="9" t="s">
        <v>2175</v>
      </c>
      <c r="E810" s="6" t="s">
        <v>2767</v>
      </c>
      <c r="F810" s="6" t="s">
        <v>2768</v>
      </c>
      <c r="G810" s="6" t="s">
        <v>2315</v>
      </c>
      <c r="H810" s="9" t="s">
        <v>18</v>
      </c>
      <c r="I810" s="16" t="str">
        <f>VLOOKUP(F810,[1]完整分类结果!$E:$G,3,0)</f>
        <v>烟草加工业</v>
      </c>
      <c r="J810" s="16">
        <f>VLOOKUP(I810,[2]行业排放因子!$A:$B,2,0)</f>
        <v>0.377769264521707</v>
      </c>
      <c r="K810" s="9" t="s">
        <v>1489</v>
      </c>
    </row>
    <row r="811" spans="1:11" ht="12.5" customHeight="1" x14ac:dyDescent="0.25">
      <c r="A811" s="5" t="s">
        <v>2769</v>
      </c>
      <c r="B811" s="6" t="s">
        <v>1484</v>
      </c>
      <c r="C811" s="6" t="s">
        <v>2133</v>
      </c>
      <c r="D811" s="9" t="s">
        <v>2175</v>
      </c>
      <c r="E811" s="6" t="s">
        <v>2770</v>
      </c>
      <c r="F811" s="6" t="s">
        <v>2771</v>
      </c>
      <c r="G811" s="6" t="s">
        <v>2315</v>
      </c>
      <c r="H811" s="9" t="s">
        <v>18</v>
      </c>
      <c r="I811" s="16" t="str">
        <f>VLOOKUP(F811,[1]完整分类结果!$E:$G,3,0)</f>
        <v>烟草加工业</v>
      </c>
      <c r="J811" s="16">
        <f>VLOOKUP(I811,[2]行业排放因子!$A:$B,2,0)</f>
        <v>0.377769264521707</v>
      </c>
      <c r="K811" s="9" t="s">
        <v>1489</v>
      </c>
    </row>
    <row r="812" spans="1:11" ht="12.5" customHeight="1" x14ac:dyDescent="0.25">
      <c r="A812" s="5" t="s">
        <v>2772</v>
      </c>
      <c r="B812" s="6" t="s">
        <v>1484</v>
      </c>
      <c r="C812" s="6" t="s">
        <v>2133</v>
      </c>
      <c r="D812" s="9" t="s">
        <v>2175</v>
      </c>
      <c r="E812" s="6" t="s">
        <v>2773</v>
      </c>
      <c r="F812" s="6" t="s">
        <v>2774</v>
      </c>
      <c r="G812" s="6" t="s">
        <v>2315</v>
      </c>
      <c r="H812" s="9" t="s">
        <v>18</v>
      </c>
      <c r="I812" s="16" t="str">
        <f>VLOOKUP(F812,[1]完整分类结果!$E:$G,3,0)</f>
        <v>烟草加工业</v>
      </c>
      <c r="J812" s="16">
        <f>VLOOKUP(I812,[2]行业排放因子!$A:$B,2,0)</f>
        <v>0.377769264521707</v>
      </c>
      <c r="K812" s="9" t="s">
        <v>1489</v>
      </c>
    </row>
    <row r="813" spans="1:11" ht="12.5" customHeight="1" x14ac:dyDescent="0.25">
      <c r="A813" s="5" t="s">
        <v>2775</v>
      </c>
      <c r="B813" s="6" t="s">
        <v>1484</v>
      </c>
      <c r="C813" s="6" t="s">
        <v>2133</v>
      </c>
      <c r="D813" s="9" t="s">
        <v>2175</v>
      </c>
      <c r="E813" s="6" t="s">
        <v>2776</v>
      </c>
      <c r="F813" s="6" t="s">
        <v>2777</v>
      </c>
      <c r="G813" s="6" t="s">
        <v>2315</v>
      </c>
      <c r="H813" s="9" t="s">
        <v>18</v>
      </c>
      <c r="I813" s="16" t="str">
        <f>VLOOKUP(F813,[1]完整分类结果!$E:$G,3,0)</f>
        <v>烟草加工业</v>
      </c>
      <c r="J813" s="16">
        <f>VLOOKUP(I813,[2]行业排放因子!$A:$B,2,0)</f>
        <v>0.377769264521707</v>
      </c>
      <c r="K813" s="9" t="s">
        <v>1489</v>
      </c>
    </row>
    <row r="814" spans="1:11" ht="12.5" customHeight="1" x14ac:dyDescent="0.25">
      <c r="A814" s="5" t="s">
        <v>2778</v>
      </c>
      <c r="B814" s="6" t="s">
        <v>1484</v>
      </c>
      <c r="C814" s="6" t="s">
        <v>2133</v>
      </c>
      <c r="D814" s="9" t="s">
        <v>2175</v>
      </c>
      <c r="E814" s="6" t="s">
        <v>2779</v>
      </c>
      <c r="F814" s="6" t="s">
        <v>2780</v>
      </c>
      <c r="G814" s="6" t="s">
        <v>2315</v>
      </c>
      <c r="H814" s="9" t="s">
        <v>18</v>
      </c>
      <c r="I814" s="16" t="str">
        <f>VLOOKUP(F814,[1]完整分类结果!$E:$G,3,0)</f>
        <v>烟草加工业</v>
      </c>
      <c r="J814" s="16">
        <f>VLOOKUP(I814,[2]行业排放因子!$A:$B,2,0)</f>
        <v>0.377769264521707</v>
      </c>
      <c r="K814" s="9" t="s">
        <v>1489</v>
      </c>
    </row>
    <row r="815" spans="1:11" ht="12.5" customHeight="1" x14ac:dyDescent="0.25">
      <c r="A815" s="5" t="s">
        <v>2781</v>
      </c>
      <c r="B815" s="6" t="s">
        <v>2782</v>
      </c>
      <c r="C815" s="6" t="s">
        <v>2783</v>
      </c>
      <c r="D815" s="6" t="s">
        <v>2783</v>
      </c>
      <c r="E815" s="6" t="s">
        <v>2784</v>
      </c>
      <c r="F815" s="6" t="s">
        <v>2785</v>
      </c>
      <c r="G815" s="9" t="s">
        <v>2786</v>
      </c>
      <c r="H815" s="9" t="s">
        <v>18</v>
      </c>
      <c r="I815" s="16" t="str">
        <f>VLOOKUP(F815,[1]完整分类结果!$E:$G,3,0)</f>
        <v>纺织业</v>
      </c>
      <c r="J815" s="16">
        <f>VLOOKUP(I815,[2]行业排放因子!$A:$B,2,0)</f>
        <v>7.8572897061762799</v>
      </c>
      <c r="K815" s="9" t="s">
        <v>756</v>
      </c>
    </row>
    <row r="816" spans="1:11" ht="12.5" customHeight="1" x14ac:dyDescent="0.25">
      <c r="A816" s="5" t="s">
        <v>2787</v>
      </c>
      <c r="B816" s="6" t="s">
        <v>2782</v>
      </c>
      <c r="C816" s="6" t="s">
        <v>2783</v>
      </c>
      <c r="D816" s="6" t="s">
        <v>2783</v>
      </c>
      <c r="E816" s="6" t="s">
        <v>2788</v>
      </c>
      <c r="F816" s="6" t="s">
        <v>2789</v>
      </c>
      <c r="G816" s="9" t="s">
        <v>2790</v>
      </c>
      <c r="H816" s="9" t="s">
        <v>18</v>
      </c>
      <c r="I816" s="16" t="str">
        <f>VLOOKUP(F816,[1]完整分类结果!$E:$G,3,0)</f>
        <v>纺织业</v>
      </c>
      <c r="J816" s="16">
        <f>VLOOKUP(I816,[2]行业排放因子!$A:$B,2,0)</f>
        <v>7.8572897061762799</v>
      </c>
      <c r="K816" s="9" t="s">
        <v>756</v>
      </c>
    </row>
    <row r="817" spans="1:11" ht="12.5" customHeight="1" x14ac:dyDescent="0.25">
      <c r="A817" s="5" t="s">
        <v>2791</v>
      </c>
      <c r="B817" s="6" t="s">
        <v>2782</v>
      </c>
      <c r="C817" s="6" t="s">
        <v>2783</v>
      </c>
      <c r="D817" s="6" t="s">
        <v>2783</v>
      </c>
      <c r="E817" s="6" t="s">
        <v>2792</v>
      </c>
      <c r="F817" s="6" t="s">
        <v>2793</v>
      </c>
      <c r="G817" s="9" t="s">
        <v>2794</v>
      </c>
      <c r="H817" s="9" t="s">
        <v>18</v>
      </c>
      <c r="I817" s="16" t="str">
        <f>VLOOKUP(F817,[1]完整分类结果!$E:$G,3,0)</f>
        <v>纺织业</v>
      </c>
      <c r="J817" s="16">
        <f>VLOOKUP(I817,[2]行业排放因子!$A:$B,2,0)</f>
        <v>7.8572897061762799</v>
      </c>
      <c r="K817" s="9" t="s">
        <v>756</v>
      </c>
    </row>
    <row r="818" spans="1:11" ht="12.5" customHeight="1" x14ac:dyDescent="0.25">
      <c r="A818" s="5" t="s">
        <v>2795</v>
      </c>
      <c r="B818" s="6" t="s">
        <v>2782</v>
      </c>
      <c r="C818" s="6" t="s">
        <v>2783</v>
      </c>
      <c r="D818" s="6" t="s">
        <v>2783</v>
      </c>
      <c r="E818" s="6" t="s">
        <v>2796</v>
      </c>
      <c r="F818" s="6" t="s">
        <v>2797</v>
      </c>
      <c r="G818" s="9" t="s">
        <v>2798</v>
      </c>
      <c r="H818" s="9" t="s">
        <v>18</v>
      </c>
      <c r="I818" s="16" t="str">
        <f>VLOOKUP(F818,[1]完整分类结果!$E:$G,3,0)</f>
        <v>纺织业</v>
      </c>
      <c r="J818" s="16">
        <f>VLOOKUP(I818,[2]行业排放因子!$A:$B,2,0)</f>
        <v>7.8572897061762799</v>
      </c>
      <c r="K818" s="9" t="s">
        <v>756</v>
      </c>
    </row>
    <row r="819" spans="1:11" ht="12.5" customHeight="1" x14ac:dyDescent="0.25">
      <c r="A819" s="5" t="s">
        <v>2799</v>
      </c>
      <c r="B819" s="6" t="s">
        <v>2782</v>
      </c>
      <c r="C819" s="6" t="s">
        <v>2783</v>
      </c>
      <c r="D819" s="6" t="s">
        <v>2783</v>
      </c>
      <c r="E819" s="6" t="s">
        <v>2800</v>
      </c>
      <c r="F819" s="6" t="s">
        <v>2801</v>
      </c>
      <c r="G819" s="9" t="s">
        <v>2802</v>
      </c>
      <c r="H819" s="9" t="s">
        <v>18</v>
      </c>
      <c r="I819" s="16" t="str">
        <f>VLOOKUP(F819,[1]完整分类结果!$E:$G,3,0)</f>
        <v>纺织业</v>
      </c>
      <c r="J819" s="16">
        <f>VLOOKUP(I819,[2]行业排放因子!$A:$B,2,0)</f>
        <v>7.8572897061762799</v>
      </c>
      <c r="K819" s="9" t="s">
        <v>756</v>
      </c>
    </row>
    <row r="820" spans="1:11" ht="12.5" customHeight="1" x14ac:dyDescent="0.25">
      <c r="A820" s="5" t="s">
        <v>2803</v>
      </c>
      <c r="B820" s="6" t="s">
        <v>2782</v>
      </c>
      <c r="C820" s="6" t="s">
        <v>2783</v>
      </c>
      <c r="D820" s="6" t="s">
        <v>2783</v>
      </c>
      <c r="E820" s="6" t="s">
        <v>2804</v>
      </c>
      <c r="F820" s="6" t="s">
        <v>2805</v>
      </c>
      <c r="G820" s="9" t="s">
        <v>2806</v>
      </c>
      <c r="H820" s="9" t="s">
        <v>18</v>
      </c>
      <c r="I820" s="16" t="str">
        <f>VLOOKUP(F820,[1]完整分类结果!$E:$G,3,0)</f>
        <v>纺织业</v>
      </c>
      <c r="J820" s="16">
        <f>VLOOKUP(I820,[2]行业排放因子!$A:$B,2,0)</f>
        <v>7.8572897061762799</v>
      </c>
      <c r="K820" s="9" t="s">
        <v>756</v>
      </c>
    </row>
    <row r="821" spans="1:11" ht="12.5" customHeight="1" x14ac:dyDescent="0.25">
      <c r="A821" s="5" t="s">
        <v>2807</v>
      </c>
      <c r="B821" s="6" t="s">
        <v>2782</v>
      </c>
      <c r="C821" s="6" t="s">
        <v>2783</v>
      </c>
      <c r="D821" s="6" t="s">
        <v>2783</v>
      </c>
      <c r="E821" s="6" t="s">
        <v>2808</v>
      </c>
      <c r="F821" s="6" t="s">
        <v>2809</v>
      </c>
      <c r="G821" s="9" t="s">
        <v>2810</v>
      </c>
      <c r="H821" s="9" t="s">
        <v>18</v>
      </c>
      <c r="I821" s="16" t="str">
        <f>VLOOKUP(F821,[1]完整分类结果!$E:$G,3,0)</f>
        <v>纺织业</v>
      </c>
      <c r="J821" s="16">
        <f>VLOOKUP(I821,[2]行业排放因子!$A:$B,2,0)</f>
        <v>7.8572897061762799</v>
      </c>
      <c r="K821" s="9" t="s">
        <v>756</v>
      </c>
    </row>
    <row r="822" spans="1:11" ht="12.5" customHeight="1" x14ac:dyDescent="0.25">
      <c r="A822" s="5" t="s">
        <v>2811</v>
      </c>
      <c r="B822" s="6" t="s">
        <v>2782</v>
      </c>
      <c r="C822" s="6" t="s">
        <v>2783</v>
      </c>
      <c r="D822" s="6" t="s">
        <v>2783</v>
      </c>
      <c r="E822" s="6" t="s">
        <v>2812</v>
      </c>
      <c r="F822" s="6" t="s">
        <v>2813</v>
      </c>
      <c r="G822" s="9" t="s">
        <v>2814</v>
      </c>
      <c r="H822" s="9" t="s">
        <v>18</v>
      </c>
      <c r="I822" s="16" t="str">
        <f>VLOOKUP(F822,[1]完整分类结果!$E:$G,3,0)</f>
        <v>纺织业</v>
      </c>
      <c r="J822" s="16">
        <f>VLOOKUP(I822,[2]行业排放因子!$A:$B,2,0)</f>
        <v>7.8572897061762799</v>
      </c>
      <c r="K822" s="9" t="s">
        <v>756</v>
      </c>
    </row>
    <row r="823" spans="1:11" ht="12.5" customHeight="1" x14ac:dyDescent="0.25">
      <c r="A823" s="5" t="s">
        <v>2815</v>
      </c>
      <c r="B823" s="6" t="s">
        <v>2782</v>
      </c>
      <c r="C823" s="6" t="s">
        <v>2783</v>
      </c>
      <c r="D823" s="6" t="s">
        <v>2783</v>
      </c>
      <c r="E823" s="6" t="s">
        <v>2816</v>
      </c>
      <c r="F823" s="6" t="s">
        <v>2817</v>
      </c>
      <c r="G823" s="9" t="s">
        <v>2818</v>
      </c>
      <c r="H823" s="9" t="s">
        <v>18</v>
      </c>
      <c r="I823" s="16" t="str">
        <f>VLOOKUP(F823,[1]完整分类结果!$E:$G,3,0)</f>
        <v>纺织业</v>
      </c>
      <c r="J823" s="16">
        <f>VLOOKUP(I823,[2]行业排放因子!$A:$B,2,0)</f>
        <v>7.8572897061762799</v>
      </c>
      <c r="K823" s="9" t="s">
        <v>756</v>
      </c>
    </row>
    <row r="824" spans="1:11" ht="12.5" customHeight="1" x14ac:dyDescent="0.25">
      <c r="A824" s="5" t="s">
        <v>2819</v>
      </c>
      <c r="B824" s="6" t="s">
        <v>2782</v>
      </c>
      <c r="C824" s="6" t="s">
        <v>2783</v>
      </c>
      <c r="D824" s="6" t="s">
        <v>2783</v>
      </c>
      <c r="E824" s="6" t="s">
        <v>2820</v>
      </c>
      <c r="F824" s="6" t="s">
        <v>2821</v>
      </c>
      <c r="G824" s="9" t="s">
        <v>2822</v>
      </c>
      <c r="H824" s="9" t="s">
        <v>18</v>
      </c>
      <c r="I824" s="16" t="str">
        <f>VLOOKUP(F824,[1]完整分类结果!$E:$G,3,0)</f>
        <v>纺织业</v>
      </c>
      <c r="J824" s="16">
        <f>VLOOKUP(I824,[2]行业排放因子!$A:$B,2,0)</f>
        <v>7.8572897061762799</v>
      </c>
      <c r="K824" s="9" t="s">
        <v>756</v>
      </c>
    </row>
    <row r="825" spans="1:11" ht="12.5" customHeight="1" x14ac:dyDescent="0.25">
      <c r="A825" s="5" t="s">
        <v>2823</v>
      </c>
      <c r="B825" s="6" t="s">
        <v>2782</v>
      </c>
      <c r="C825" s="6" t="s">
        <v>2783</v>
      </c>
      <c r="D825" s="6" t="s">
        <v>2783</v>
      </c>
      <c r="E825" s="6" t="s">
        <v>2824</v>
      </c>
      <c r="F825" s="6" t="s">
        <v>2825</v>
      </c>
      <c r="G825" s="9" t="s">
        <v>2826</v>
      </c>
      <c r="H825" s="9" t="s">
        <v>18</v>
      </c>
      <c r="I825" s="16" t="str">
        <f>VLOOKUP(F825,[1]完整分类结果!$E:$G,3,0)</f>
        <v>纺织业</v>
      </c>
      <c r="J825" s="16">
        <f>VLOOKUP(I825,[2]行业排放因子!$A:$B,2,0)</f>
        <v>7.8572897061762799</v>
      </c>
      <c r="K825" s="9" t="s">
        <v>756</v>
      </c>
    </row>
    <row r="826" spans="1:11" ht="12.5" customHeight="1" x14ac:dyDescent="0.25">
      <c r="A826" s="5" t="s">
        <v>2827</v>
      </c>
      <c r="B826" s="6" t="s">
        <v>2782</v>
      </c>
      <c r="C826" s="6" t="s">
        <v>2783</v>
      </c>
      <c r="D826" s="6" t="s">
        <v>2783</v>
      </c>
      <c r="E826" s="6" t="s">
        <v>2828</v>
      </c>
      <c r="F826" s="6" t="s">
        <v>2829</v>
      </c>
      <c r="G826" s="9"/>
      <c r="H826" s="9" t="s">
        <v>18</v>
      </c>
      <c r="I826" s="16" t="str">
        <f>VLOOKUP(F826,[1]完整分类结果!$E:$G,3,0)</f>
        <v>纺织业</v>
      </c>
      <c r="J826" s="16">
        <f>VLOOKUP(I826,[2]行业排放因子!$A:$B,2,0)</f>
        <v>7.8572897061762799</v>
      </c>
      <c r="K826" s="9" t="s">
        <v>756</v>
      </c>
    </row>
    <row r="827" spans="1:11" ht="12.5" customHeight="1" x14ac:dyDescent="0.25">
      <c r="A827" s="5" t="s">
        <v>2830</v>
      </c>
      <c r="B827" s="6" t="s">
        <v>2782</v>
      </c>
      <c r="C827" s="6" t="s">
        <v>2783</v>
      </c>
      <c r="D827" s="6" t="s">
        <v>2783</v>
      </c>
      <c r="E827" s="6" t="s">
        <v>2831</v>
      </c>
      <c r="F827" s="6" t="s">
        <v>2832</v>
      </c>
      <c r="G827" s="9" t="s">
        <v>2833</v>
      </c>
      <c r="H827" s="9" t="s">
        <v>18</v>
      </c>
      <c r="I827" s="16" t="str">
        <f>VLOOKUP(F827,[1]完整分类结果!$E:$G,3,0)</f>
        <v>纺织业</v>
      </c>
      <c r="J827" s="16">
        <f>VLOOKUP(I827,[2]行业排放因子!$A:$B,2,0)</f>
        <v>7.8572897061762799</v>
      </c>
      <c r="K827" s="9" t="s">
        <v>756</v>
      </c>
    </row>
    <row r="828" spans="1:11" ht="12.5" customHeight="1" x14ac:dyDescent="0.25">
      <c r="A828" s="5" t="s">
        <v>2834</v>
      </c>
      <c r="B828" s="6" t="s">
        <v>2782</v>
      </c>
      <c r="C828" s="6" t="s">
        <v>2783</v>
      </c>
      <c r="D828" s="6" t="s">
        <v>2783</v>
      </c>
      <c r="E828" s="6" t="s">
        <v>2835</v>
      </c>
      <c r="F828" s="6" t="s">
        <v>2836</v>
      </c>
      <c r="G828" s="9" t="s">
        <v>2837</v>
      </c>
      <c r="H828" s="9" t="s">
        <v>18</v>
      </c>
      <c r="I828" s="16" t="str">
        <f>VLOOKUP(F828,[1]完整分类结果!$E:$G,3,0)</f>
        <v>纺织业</v>
      </c>
      <c r="J828" s="16">
        <f>VLOOKUP(I828,[2]行业排放因子!$A:$B,2,0)</f>
        <v>7.8572897061762799</v>
      </c>
      <c r="K828" s="9" t="s">
        <v>756</v>
      </c>
    </row>
    <row r="829" spans="1:11" ht="12.5" customHeight="1" x14ac:dyDescent="0.25">
      <c r="A829" s="5" t="s">
        <v>2838</v>
      </c>
      <c r="B829" s="6" t="s">
        <v>2782</v>
      </c>
      <c r="C829" s="6" t="s">
        <v>2783</v>
      </c>
      <c r="D829" s="6" t="s">
        <v>2783</v>
      </c>
      <c r="E829" s="6" t="s">
        <v>2839</v>
      </c>
      <c r="F829" s="6" t="s">
        <v>2840</v>
      </c>
      <c r="G829" s="9" t="s">
        <v>2841</v>
      </c>
      <c r="H829" s="9" t="s">
        <v>18</v>
      </c>
      <c r="I829" s="16" t="str">
        <f>VLOOKUP(F829,[1]完整分类结果!$E:$G,3,0)</f>
        <v>纺织业</v>
      </c>
      <c r="J829" s="16">
        <f>VLOOKUP(I829,[2]行业排放因子!$A:$B,2,0)</f>
        <v>7.8572897061762799</v>
      </c>
      <c r="K829" s="9" t="s">
        <v>756</v>
      </c>
    </row>
    <row r="830" spans="1:11" ht="12.5" customHeight="1" x14ac:dyDescent="0.25">
      <c r="A830" s="5" t="s">
        <v>2842</v>
      </c>
      <c r="B830" s="6" t="s">
        <v>2782</v>
      </c>
      <c r="C830" s="6" t="s">
        <v>2783</v>
      </c>
      <c r="D830" s="6" t="s">
        <v>2783</v>
      </c>
      <c r="E830" s="6" t="s">
        <v>2843</v>
      </c>
      <c r="F830" s="6" t="s">
        <v>2844</v>
      </c>
      <c r="G830" s="9" t="s">
        <v>2845</v>
      </c>
      <c r="H830" s="9" t="s">
        <v>18</v>
      </c>
      <c r="I830" s="16" t="str">
        <f>VLOOKUP(F830,[1]完整分类结果!$E:$G,3,0)</f>
        <v>纺织业</v>
      </c>
      <c r="J830" s="16">
        <f>VLOOKUP(I830,[2]行业排放因子!$A:$B,2,0)</f>
        <v>7.8572897061762799</v>
      </c>
      <c r="K830" s="9" t="s">
        <v>756</v>
      </c>
    </row>
    <row r="831" spans="1:11" ht="12.5" customHeight="1" x14ac:dyDescent="0.25">
      <c r="A831" s="5" t="s">
        <v>2846</v>
      </c>
      <c r="B831" s="6" t="s">
        <v>2782</v>
      </c>
      <c r="C831" s="6" t="s">
        <v>2783</v>
      </c>
      <c r="D831" s="6" t="s">
        <v>2783</v>
      </c>
      <c r="E831" s="6" t="s">
        <v>2847</v>
      </c>
      <c r="F831" s="6" t="s">
        <v>2848</v>
      </c>
      <c r="G831" s="9" t="s">
        <v>2849</v>
      </c>
      <c r="H831" s="9" t="s">
        <v>18</v>
      </c>
      <c r="I831" s="16" t="str">
        <f>VLOOKUP(F831,[1]完整分类结果!$E:$G,3,0)</f>
        <v>纺织业</v>
      </c>
      <c r="J831" s="16">
        <f>VLOOKUP(I831,[2]行业排放因子!$A:$B,2,0)</f>
        <v>7.8572897061762799</v>
      </c>
      <c r="K831" s="9" t="s">
        <v>756</v>
      </c>
    </row>
    <row r="832" spans="1:11" ht="12.5" customHeight="1" x14ac:dyDescent="0.25">
      <c r="A832" s="5" t="s">
        <v>2850</v>
      </c>
      <c r="B832" s="6" t="s">
        <v>2782</v>
      </c>
      <c r="C832" s="6" t="s">
        <v>2783</v>
      </c>
      <c r="D832" s="6" t="s">
        <v>2783</v>
      </c>
      <c r="E832" s="6" t="s">
        <v>2851</v>
      </c>
      <c r="F832" s="6" t="s">
        <v>2852</v>
      </c>
      <c r="G832" s="9" t="s">
        <v>2853</v>
      </c>
      <c r="H832" s="9" t="s">
        <v>18</v>
      </c>
      <c r="I832" s="16" t="str">
        <f>VLOOKUP(F832,[1]完整分类结果!$E:$G,3,0)</f>
        <v>纺织业</v>
      </c>
      <c r="J832" s="16">
        <f>VLOOKUP(I832,[2]行业排放因子!$A:$B,2,0)</f>
        <v>7.8572897061762799</v>
      </c>
      <c r="K832" s="9" t="s">
        <v>756</v>
      </c>
    </row>
    <row r="833" spans="1:11" ht="12.5" customHeight="1" x14ac:dyDescent="0.25">
      <c r="A833" s="5" t="s">
        <v>2854</v>
      </c>
      <c r="B833" s="6" t="s">
        <v>2782</v>
      </c>
      <c r="C833" s="6" t="s">
        <v>2783</v>
      </c>
      <c r="D833" s="6" t="s">
        <v>2783</v>
      </c>
      <c r="E833" s="6" t="s">
        <v>2855</v>
      </c>
      <c r="F833" s="6" t="s">
        <v>2856</v>
      </c>
      <c r="G833" s="9"/>
      <c r="H833" s="9" t="s">
        <v>18</v>
      </c>
      <c r="I833" s="16" t="str">
        <f>VLOOKUP(F833,[1]完整分类结果!$E:$G,3,0)</f>
        <v>纺织业</v>
      </c>
      <c r="J833" s="16">
        <f>VLOOKUP(I833,[2]行业排放因子!$A:$B,2,0)</f>
        <v>7.8572897061762799</v>
      </c>
      <c r="K833" s="9" t="s">
        <v>756</v>
      </c>
    </row>
    <row r="834" spans="1:11" ht="12.5" customHeight="1" x14ac:dyDescent="0.25">
      <c r="A834" s="5" t="s">
        <v>2857</v>
      </c>
      <c r="B834" s="6" t="s">
        <v>2782</v>
      </c>
      <c r="C834" s="6" t="s">
        <v>2783</v>
      </c>
      <c r="D834" s="6" t="s">
        <v>2783</v>
      </c>
      <c r="E834" s="6" t="s">
        <v>2858</v>
      </c>
      <c r="F834" s="6" t="s">
        <v>2859</v>
      </c>
      <c r="G834" s="9"/>
      <c r="H834" s="9" t="s">
        <v>18</v>
      </c>
      <c r="I834" s="16" t="str">
        <f>VLOOKUP(F834,[1]完整分类结果!$E:$G,3,0)</f>
        <v>纺织业</v>
      </c>
      <c r="J834" s="16">
        <f>VLOOKUP(I834,[2]行业排放因子!$A:$B,2,0)</f>
        <v>7.8572897061762799</v>
      </c>
      <c r="K834" s="9" t="s">
        <v>756</v>
      </c>
    </row>
    <row r="835" spans="1:11" ht="12.5" customHeight="1" x14ac:dyDescent="0.25">
      <c r="A835" s="5" t="s">
        <v>2860</v>
      </c>
      <c r="B835" s="6" t="s">
        <v>2782</v>
      </c>
      <c r="C835" s="6" t="s">
        <v>2783</v>
      </c>
      <c r="D835" s="6" t="s">
        <v>2783</v>
      </c>
      <c r="E835" s="6" t="s">
        <v>2861</v>
      </c>
      <c r="F835" s="6" t="s">
        <v>2862</v>
      </c>
      <c r="G835" s="9"/>
      <c r="H835" s="9" t="s">
        <v>18</v>
      </c>
      <c r="I835" s="16" t="str">
        <f>VLOOKUP(F835,[1]完整分类结果!$E:$G,3,0)</f>
        <v>纺织业</v>
      </c>
      <c r="J835" s="16">
        <f>VLOOKUP(I835,[2]行业排放因子!$A:$B,2,0)</f>
        <v>7.8572897061762799</v>
      </c>
      <c r="K835" s="9" t="s">
        <v>756</v>
      </c>
    </row>
    <row r="836" spans="1:11" ht="12.5" customHeight="1" x14ac:dyDescent="0.25">
      <c r="A836" s="5" t="s">
        <v>2863</v>
      </c>
      <c r="B836" s="6" t="s">
        <v>2782</v>
      </c>
      <c r="C836" s="6" t="s">
        <v>2783</v>
      </c>
      <c r="D836" s="6" t="s">
        <v>2783</v>
      </c>
      <c r="E836" s="6" t="s">
        <v>2864</v>
      </c>
      <c r="F836" s="6" t="s">
        <v>2865</v>
      </c>
      <c r="G836" s="9" t="s">
        <v>2866</v>
      </c>
      <c r="H836" s="9" t="s">
        <v>18</v>
      </c>
      <c r="I836" s="16" t="str">
        <f>VLOOKUP(F836,[1]完整分类结果!$E:$G,3,0)</f>
        <v>纺织业</v>
      </c>
      <c r="J836" s="16">
        <f>VLOOKUP(I836,[2]行业排放因子!$A:$B,2,0)</f>
        <v>7.8572897061762799</v>
      </c>
      <c r="K836" s="9" t="s">
        <v>756</v>
      </c>
    </row>
    <row r="837" spans="1:11" ht="12.5" customHeight="1" x14ac:dyDescent="0.25">
      <c r="A837" s="5" t="s">
        <v>2867</v>
      </c>
      <c r="B837" s="6" t="s">
        <v>2782</v>
      </c>
      <c r="C837" s="6" t="s">
        <v>2783</v>
      </c>
      <c r="D837" s="6" t="s">
        <v>2783</v>
      </c>
      <c r="E837" s="6" t="s">
        <v>2868</v>
      </c>
      <c r="F837" s="6" t="s">
        <v>2869</v>
      </c>
      <c r="G837" s="9" t="s">
        <v>2870</v>
      </c>
      <c r="H837" s="9" t="s">
        <v>18</v>
      </c>
      <c r="I837" s="16" t="str">
        <f>VLOOKUP(F837,[1]完整分类结果!$E:$G,3,0)</f>
        <v>纺织业</v>
      </c>
      <c r="J837" s="16">
        <f>VLOOKUP(I837,[2]行业排放因子!$A:$B,2,0)</f>
        <v>7.8572897061762799</v>
      </c>
      <c r="K837" s="9" t="s">
        <v>756</v>
      </c>
    </row>
    <row r="838" spans="1:11" ht="12.5" customHeight="1" x14ac:dyDescent="0.25">
      <c r="A838" s="5" t="s">
        <v>2871</v>
      </c>
      <c r="B838" s="6" t="s">
        <v>2782</v>
      </c>
      <c r="C838" s="6" t="s">
        <v>2783</v>
      </c>
      <c r="D838" s="6" t="s">
        <v>2783</v>
      </c>
      <c r="E838" s="6" t="s">
        <v>2872</v>
      </c>
      <c r="F838" s="6" t="s">
        <v>2873</v>
      </c>
      <c r="G838" s="9" t="s">
        <v>2874</v>
      </c>
      <c r="H838" s="9" t="s">
        <v>18</v>
      </c>
      <c r="I838" s="16" t="str">
        <f>VLOOKUP(F838,[1]完整分类结果!$E:$G,3,0)</f>
        <v>纺织业</v>
      </c>
      <c r="J838" s="16">
        <f>VLOOKUP(I838,[2]行业排放因子!$A:$B,2,0)</f>
        <v>7.8572897061762799</v>
      </c>
      <c r="K838" s="9" t="s">
        <v>756</v>
      </c>
    </row>
    <row r="839" spans="1:11" ht="12.5" customHeight="1" x14ac:dyDescent="0.25">
      <c r="A839" s="5" t="s">
        <v>2875</v>
      </c>
      <c r="B839" s="6" t="s">
        <v>2782</v>
      </c>
      <c r="C839" s="6" t="s">
        <v>2783</v>
      </c>
      <c r="D839" s="6" t="s">
        <v>2783</v>
      </c>
      <c r="E839" s="6" t="s">
        <v>2876</v>
      </c>
      <c r="F839" s="6" t="s">
        <v>2877</v>
      </c>
      <c r="G839" s="9" t="s">
        <v>2878</v>
      </c>
      <c r="H839" s="9" t="s">
        <v>18</v>
      </c>
      <c r="I839" s="16" t="str">
        <f>VLOOKUP(F839,[1]完整分类结果!$E:$G,3,0)</f>
        <v>纺织业</v>
      </c>
      <c r="J839" s="16">
        <f>VLOOKUP(I839,[2]行业排放因子!$A:$B,2,0)</f>
        <v>7.8572897061762799</v>
      </c>
      <c r="K839" s="9" t="s">
        <v>756</v>
      </c>
    </row>
    <row r="840" spans="1:11" ht="12.5" customHeight="1" x14ac:dyDescent="0.25">
      <c r="A840" s="5" t="s">
        <v>2879</v>
      </c>
      <c r="B840" s="6" t="s">
        <v>2782</v>
      </c>
      <c r="C840" s="6" t="s">
        <v>2783</v>
      </c>
      <c r="D840" s="6" t="s">
        <v>2783</v>
      </c>
      <c r="E840" s="6" t="s">
        <v>2880</v>
      </c>
      <c r="F840" s="6" t="s">
        <v>2881</v>
      </c>
      <c r="G840" s="9" t="s">
        <v>2882</v>
      </c>
      <c r="H840" s="9" t="s">
        <v>18</v>
      </c>
      <c r="I840" s="16" t="str">
        <f>VLOOKUP(F840,[1]完整分类结果!$E:$G,3,0)</f>
        <v>纺织业</v>
      </c>
      <c r="J840" s="16">
        <f>VLOOKUP(I840,[2]行业排放因子!$A:$B,2,0)</f>
        <v>7.8572897061762799</v>
      </c>
      <c r="K840" s="9" t="s">
        <v>756</v>
      </c>
    </row>
    <row r="841" spans="1:11" ht="12.5" customHeight="1" x14ac:dyDescent="0.25">
      <c r="A841" s="5" t="s">
        <v>2883</v>
      </c>
      <c r="B841" s="6" t="s">
        <v>2782</v>
      </c>
      <c r="C841" s="6" t="s">
        <v>2783</v>
      </c>
      <c r="D841" s="6" t="s">
        <v>2783</v>
      </c>
      <c r="E841" s="6" t="s">
        <v>2884</v>
      </c>
      <c r="F841" s="6" t="s">
        <v>2885</v>
      </c>
      <c r="G841" s="9" t="s">
        <v>2886</v>
      </c>
      <c r="H841" s="9" t="s">
        <v>18</v>
      </c>
      <c r="I841" s="16" t="str">
        <f>VLOOKUP(F841,[1]完整分类结果!$E:$G,3,0)</f>
        <v>纺织业</v>
      </c>
      <c r="J841" s="16">
        <f>VLOOKUP(I841,[2]行业排放因子!$A:$B,2,0)</f>
        <v>7.8572897061762799</v>
      </c>
      <c r="K841" s="9" t="s">
        <v>756</v>
      </c>
    </row>
    <row r="842" spans="1:11" ht="12.5" customHeight="1" x14ac:dyDescent="0.25">
      <c r="A842" s="5" t="s">
        <v>2887</v>
      </c>
      <c r="B842" s="6" t="s">
        <v>2782</v>
      </c>
      <c r="C842" s="6" t="s">
        <v>2783</v>
      </c>
      <c r="D842" s="6" t="s">
        <v>2783</v>
      </c>
      <c r="E842" s="6" t="s">
        <v>2888</v>
      </c>
      <c r="F842" s="6" t="s">
        <v>2889</v>
      </c>
      <c r="G842" s="9" t="s">
        <v>2890</v>
      </c>
      <c r="H842" s="9" t="s">
        <v>18</v>
      </c>
      <c r="I842" s="16" t="str">
        <f>VLOOKUP(F842,[1]完整分类结果!$E:$G,3,0)</f>
        <v>纺织业</v>
      </c>
      <c r="J842" s="16">
        <f>VLOOKUP(I842,[2]行业排放因子!$A:$B,2,0)</f>
        <v>7.8572897061762799</v>
      </c>
      <c r="K842" s="9" t="s">
        <v>756</v>
      </c>
    </row>
    <row r="843" spans="1:11" ht="12.5" customHeight="1" x14ac:dyDescent="0.25">
      <c r="A843" s="5" t="s">
        <v>2891</v>
      </c>
      <c r="B843" s="6" t="s">
        <v>2782</v>
      </c>
      <c r="C843" s="6" t="s">
        <v>2783</v>
      </c>
      <c r="D843" s="6" t="s">
        <v>2783</v>
      </c>
      <c r="E843" s="6" t="s">
        <v>2892</v>
      </c>
      <c r="F843" s="6" t="s">
        <v>2893</v>
      </c>
      <c r="G843" s="9" t="s">
        <v>2894</v>
      </c>
      <c r="H843" s="9" t="s">
        <v>18</v>
      </c>
      <c r="I843" s="16" t="str">
        <f>VLOOKUP(F843,[1]完整分类结果!$E:$G,3,0)</f>
        <v>纺织业</v>
      </c>
      <c r="J843" s="16">
        <f>VLOOKUP(I843,[2]行业排放因子!$A:$B,2,0)</f>
        <v>7.8572897061762799</v>
      </c>
      <c r="K843" s="9" t="s">
        <v>756</v>
      </c>
    </row>
    <row r="844" spans="1:11" ht="12.5" customHeight="1" x14ac:dyDescent="0.25">
      <c r="A844" s="5" t="s">
        <v>2895</v>
      </c>
      <c r="B844" s="6" t="s">
        <v>2782</v>
      </c>
      <c r="C844" s="6" t="s">
        <v>2783</v>
      </c>
      <c r="D844" s="6" t="s">
        <v>2783</v>
      </c>
      <c r="E844" s="6" t="s">
        <v>2896</v>
      </c>
      <c r="F844" s="6" t="s">
        <v>2897</v>
      </c>
      <c r="G844" s="9" t="s">
        <v>2898</v>
      </c>
      <c r="H844" s="9" t="s">
        <v>18</v>
      </c>
      <c r="I844" s="16" t="str">
        <f>VLOOKUP(F844,[1]完整分类结果!$E:$G,3,0)</f>
        <v>纺织业</v>
      </c>
      <c r="J844" s="16">
        <f>VLOOKUP(I844,[2]行业排放因子!$A:$B,2,0)</f>
        <v>7.8572897061762799</v>
      </c>
      <c r="K844" s="9" t="s">
        <v>756</v>
      </c>
    </row>
    <row r="845" spans="1:11" ht="12.5" customHeight="1" x14ac:dyDescent="0.25">
      <c r="A845" s="5" t="s">
        <v>2899</v>
      </c>
      <c r="B845" s="6" t="s">
        <v>2782</v>
      </c>
      <c r="C845" s="6" t="s">
        <v>2783</v>
      </c>
      <c r="D845" s="6" t="s">
        <v>2783</v>
      </c>
      <c r="E845" s="6" t="s">
        <v>2900</v>
      </c>
      <c r="F845" s="6" t="s">
        <v>2901</v>
      </c>
      <c r="G845" s="9" t="s">
        <v>2902</v>
      </c>
      <c r="H845" s="9" t="s">
        <v>18</v>
      </c>
      <c r="I845" s="16" t="str">
        <f>VLOOKUP(F845,[1]完整分类结果!$E:$G,3,0)</f>
        <v>纺织业</v>
      </c>
      <c r="J845" s="16">
        <f>VLOOKUP(I845,[2]行业排放因子!$A:$B,2,0)</f>
        <v>7.8572897061762799</v>
      </c>
      <c r="K845" s="9" t="s">
        <v>756</v>
      </c>
    </row>
    <row r="846" spans="1:11" ht="12.5" customHeight="1" x14ac:dyDescent="0.25">
      <c r="A846" s="5" t="s">
        <v>2903</v>
      </c>
      <c r="B846" s="6" t="s">
        <v>2782</v>
      </c>
      <c r="C846" s="6" t="s">
        <v>2783</v>
      </c>
      <c r="D846" s="6" t="s">
        <v>2783</v>
      </c>
      <c r="E846" s="6" t="s">
        <v>2904</v>
      </c>
      <c r="F846" s="6" t="s">
        <v>2905</v>
      </c>
      <c r="G846" s="9" t="s">
        <v>2906</v>
      </c>
      <c r="H846" s="9" t="s">
        <v>18</v>
      </c>
      <c r="I846" s="16" t="str">
        <f>VLOOKUP(F846,[1]完整分类结果!$E:$G,3,0)</f>
        <v>纺织业</v>
      </c>
      <c r="J846" s="16">
        <f>VLOOKUP(I846,[2]行业排放因子!$A:$B,2,0)</f>
        <v>7.8572897061762799</v>
      </c>
      <c r="K846" s="9" t="s">
        <v>756</v>
      </c>
    </row>
    <row r="847" spans="1:11" ht="12.5" customHeight="1" x14ac:dyDescent="0.25">
      <c r="A847" s="5" t="s">
        <v>2907</v>
      </c>
      <c r="B847" s="6" t="s">
        <v>2782</v>
      </c>
      <c r="C847" s="6" t="s">
        <v>2783</v>
      </c>
      <c r="D847" s="6" t="s">
        <v>2783</v>
      </c>
      <c r="E847" s="6" t="s">
        <v>2908</v>
      </c>
      <c r="F847" s="6" t="s">
        <v>2909</v>
      </c>
      <c r="G847" s="9" t="s">
        <v>2910</v>
      </c>
      <c r="H847" s="9" t="s">
        <v>18</v>
      </c>
      <c r="I847" s="16" t="str">
        <f>VLOOKUP(F847,[1]完整分类结果!$E:$G,3,0)</f>
        <v>纺织业</v>
      </c>
      <c r="J847" s="16">
        <f>VLOOKUP(I847,[2]行业排放因子!$A:$B,2,0)</f>
        <v>7.8572897061762799</v>
      </c>
      <c r="K847" s="9" t="s">
        <v>756</v>
      </c>
    </row>
    <row r="848" spans="1:11" ht="12.5" customHeight="1" x14ac:dyDescent="0.25">
      <c r="A848" s="5" t="s">
        <v>2911</v>
      </c>
      <c r="B848" s="6" t="s">
        <v>2782</v>
      </c>
      <c r="C848" s="6" t="s">
        <v>2783</v>
      </c>
      <c r="D848" s="6" t="s">
        <v>2783</v>
      </c>
      <c r="E848" s="6" t="s">
        <v>2912</v>
      </c>
      <c r="F848" s="6" t="s">
        <v>2913</v>
      </c>
      <c r="G848" s="9" t="s">
        <v>2914</v>
      </c>
      <c r="H848" s="9" t="s">
        <v>18</v>
      </c>
      <c r="I848" s="16" t="str">
        <f>VLOOKUP(F848,[1]完整分类结果!$E:$G,3,0)</f>
        <v>纺织业</v>
      </c>
      <c r="J848" s="16">
        <f>VLOOKUP(I848,[2]行业排放因子!$A:$B,2,0)</f>
        <v>7.8572897061762799</v>
      </c>
      <c r="K848" s="9" t="s">
        <v>756</v>
      </c>
    </row>
    <row r="849" spans="1:11" ht="12.5" customHeight="1" x14ac:dyDescent="0.25">
      <c r="A849" s="5" t="s">
        <v>2915</v>
      </c>
      <c r="B849" s="6" t="s">
        <v>2782</v>
      </c>
      <c r="C849" s="6" t="s">
        <v>2783</v>
      </c>
      <c r="D849" s="6" t="s">
        <v>2783</v>
      </c>
      <c r="E849" s="6" t="s">
        <v>2916</v>
      </c>
      <c r="F849" s="6" t="s">
        <v>2917</v>
      </c>
      <c r="G849" s="9" t="s">
        <v>2918</v>
      </c>
      <c r="H849" s="9" t="s">
        <v>18</v>
      </c>
      <c r="I849" s="16" t="str">
        <f>VLOOKUP(F849,[1]完整分类结果!$E:$G,3,0)</f>
        <v>纺织业</v>
      </c>
      <c r="J849" s="16">
        <f>VLOOKUP(I849,[2]行业排放因子!$A:$B,2,0)</f>
        <v>7.8572897061762799</v>
      </c>
      <c r="K849" s="9" t="s">
        <v>756</v>
      </c>
    </row>
    <row r="850" spans="1:11" ht="12.5" customHeight="1" x14ac:dyDescent="0.25">
      <c r="A850" s="5" t="s">
        <v>2919</v>
      </c>
      <c r="B850" s="6" t="s">
        <v>2782</v>
      </c>
      <c r="C850" s="6" t="s">
        <v>2783</v>
      </c>
      <c r="D850" s="6" t="s">
        <v>2783</v>
      </c>
      <c r="E850" s="6" t="s">
        <v>2920</v>
      </c>
      <c r="F850" s="6" t="s">
        <v>2921</v>
      </c>
      <c r="G850" s="9"/>
      <c r="H850" s="9" t="s">
        <v>18</v>
      </c>
      <c r="I850" s="16" t="str">
        <f>VLOOKUP(F850,[1]完整分类结果!$E:$G,3,0)</f>
        <v>纺织业</v>
      </c>
      <c r="J850" s="16">
        <f>VLOOKUP(I850,[2]行业排放因子!$A:$B,2,0)</f>
        <v>7.8572897061762799</v>
      </c>
      <c r="K850" s="9" t="s">
        <v>756</v>
      </c>
    </row>
    <row r="851" spans="1:11" ht="12.5" customHeight="1" x14ac:dyDescent="0.25">
      <c r="A851" s="5" t="s">
        <v>2922</v>
      </c>
      <c r="B851" s="6" t="s">
        <v>2782</v>
      </c>
      <c r="C851" s="6" t="s">
        <v>2783</v>
      </c>
      <c r="D851" s="6" t="s">
        <v>2783</v>
      </c>
      <c r="E851" s="6" t="s">
        <v>2923</v>
      </c>
      <c r="F851" s="6" t="s">
        <v>2924</v>
      </c>
      <c r="G851" s="9" t="s">
        <v>2925</v>
      </c>
      <c r="H851" s="9" t="s">
        <v>18</v>
      </c>
      <c r="I851" s="16" t="str">
        <f>VLOOKUP(F851,[1]完整分类结果!$E:$G,3,0)</f>
        <v>纺织业</v>
      </c>
      <c r="J851" s="16">
        <f>VLOOKUP(I851,[2]行业排放因子!$A:$B,2,0)</f>
        <v>7.8572897061762799</v>
      </c>
      <c r="K851" s="9" t="s">
        <v>756</v>
      </c>
    </row>
    <row r="852" spans="1:11" ht="12.5" customHeight="1" x14ac:dyDescent="0.25">
      <c r="A852" s="5" t="s">
        <v>2926</v>
      </c>
      <c r="B852" s="6" t="s">
        <v>2782</v>
      </c>
      <c r="C852" s="6" t="s">
        <v>2783</v>
      </c>
      <c r="D852" s="6" t="s">
        <v>2783</v>
      </c>
      <c r="E852" s="6" t="s">
        <v>2927</v>
      </c>
      <c r="F852" s="6" t="s">
        <v>2928</v>
      </c>
      <c r="G852" s="9" t="s">
        <v>2929</v>
      </c>
      <c r="H852" s="9" t="s">
        <v>18</v>
      </c>
      <c r="I852" s="16" t="str">
        <f>VLOOKUP(F852,[1]完整分类结果!$E:$G,3,0)</f>
        <v>纺织业</v>
      </c>
      <c r="J852" s="16">
        <f>VLOOKUP(I852,[2]行业排放因子!$A:$B,2,0)</f>
        <v>7.8572897061762799</v>
      </c>
      <c r="K852" s="9" t="s">
        <v>756</v>
      </c>
    </row>
    <row r="853" spans="1:11" ht="12.5" customHeight="1" x14ac:dyDescent="0.25">
      <c r="A853" s="5" t="s">
        <v>2930</v>
      </c>
      <c r="B853" s="6" t="s">
        <v>2782</v>
      </c>
      <c r="C853" s="6" t="s">
        <v>2783</v>
      </c>
      <c r="D853" s="6" t="s">
        <v>2783</v>
      </c>
      <c r="E853" s="6" t="s">
        <v>2931</v>
      </c>
      <c r="F853" s="6" t="s">
        <v>2932</v>
      </c>
      <c r="G853" s="9" t="s">
        <v>2933</v>
      </c>
      <c r="H853" s="9" t="s">
        <v>18</v>
      </c>
      <c r="I853" s="16" t="str">
        <f>VLOOKUP(F853,[1]完整分类结果!$E:$G,3,0)</f>
        <v>纺织业</v>
      </c>
      <c r="J853" s="16">
        <f>VLOOKUP(I853,[2]行业排放因子!$A:$B,2,0)</f>
        <v>7.8572897061762799</v>
      </c>
      <c r="K853" s="9" t="s">
        <v>756</v>
      </c>
    </row>
    <row r="854" spans="1:11" ht="12.5" customHeight="1" x14ac:dyDescent="0.25">
      <c r="A854" s="5" t="s">
        <v>2934</v>
      </c>
      <c r="B854" s="6" t="s">
        <v>2782</v>
      </c>
      <c r="C854" s="6" t="s">
        <v>2783</v>
      </c>
      <c r="D854" s="6" t="s">
        <v>2783</v>
      </c>
      <c r="E854" s="6" t="s">
        <v>2935</v>
      </c>
      <c r="F854" s="6" t="s">
        <v>2936</v>
      </c>
      <c r="G854" s="9" t="s">
        <v>2937</v>
      </c>
      <c r="H854" s="9" t="s">
        <v>18</v>
      </c>
      <c r="I854" s="16" t="str">
        <f>VLOOKUP(F854,[1]完整分类结果!$E:$G,3,0)</f>
        <v>纺织业</v>
      </c>
      <c r="J854" s="16">
        <f>VLOOKUP(I854,[2]行业排放因子!$A:$B,2,0)</f>
        <v>7.8572897061762799</v>
      </c>
      <c r="K854" s="9" t="s">
        <v>756</v>
      </c>
    </row>
    <row r="855" spans="1:11" ht="12.5" customHeight="1" x14ac:dyDescent="0.25">
      <c r="A855" s="5" t="s">
        <v>2938</v>
      </c>
      <c r="B855" s="6" t="s">
        <v>2782</v>
      </c>
      <c r="C855" s="6" t="s">
        <v>2783</v>
      </c>
      <c r="D855" s="6" t="s">
        <v>2783</v>
      </c>
      <c r="E855" s="6" t="s">
        <v>2939</v>
      </c>
      <c r="F855" s="6" t="s">
        <v>2940</v>
      </c>
      <c r="G855" s="9" t="s">
        <v>2941</v>
      </c>
      <c r="H855" s="9" t="s">
        <v>18</v>
      </c>
      <c r="I855" s="16" t="str">
        <f>VLOOKUP(F855,[1]完整分类结果!$E:$G,3,0)</f>
        <v>纺织业</v>
      </c>
      <c r="J855" s="16">
        <f>VLOOKUP(I855,[2]行业排放因子!$A:$B,2,0)</f>
        <v>7.8572897061762799</v>
      </c>
      <c r="K855" s="9" t="s">
        <v>756</v>
      </c>
    </row>
    <row r="856" spans="1:11" ht="12.5" customHeight="1" x14ac:dyDescent="0.25">
      <c r="A856" s="5" t="s">
        <v>2942</v>
      </c>
      <c r="B856" s="6" t="s">
        <v>2782</v>
      </c>
      <c r="C856" s="6" t="s">
        <v>2783</v>
      </c>
      <c r="D856" s="6" t="s">
        <v>2783</v>
      </c>
      <c r="E856" s="6" t="s">
        <v>2943</v>
      </c>
      <c r="F856" s="6" t="s">
        <v>2944</v>
      </c>
      <c r="G856" s="9" t="s">
        <v>2945</v>
      </c>
      <c r="H856" s="9" t="s">
        <v>18</v>
      </c>
      <c r="I856" s="16" t="str">
        <f>VLOOKUP(F856,[1]完整分类结果!$E:$G,3,0)</f>
        <v>纺织业</v>
      </c>
      <c r="J856" s="16">
        <f>VLOOKUP(I856,[2]行业排放因子!$A:$B,2,0)</f>
        <v>7.8572897061762799</v>
      </c>
      <c r="K856" s="9" t="s">
        <v>756</v>
      </c>
    </row>
    <row r="857" spans="1:11" ht="12.5" customHeight="1" x14ac:dyDescent="0.25">
      <c r="A857" s="5" t="s">
        <v>2946</v>
      </c>
      <c r="B857" s="6" t="s">
        <v>2782</v>
      </c>
      <c r="C857" s="6" t="s">
        <v>2783</v>
      </c>
      <c r="D857" s="6" t="s">
        <v>2783</v>
      </c>
      <c r="E857" s="6" t="s">
        <v>2947</v>
      </c>
      <c r="F857" s="6" t="s">
        <v>2948</v>
      </c>
      <c r="G857" s="9" t="s">
        <v>2949</v>
      </c>
      <c r="H857" s="9" t="s">
        <v>18</v>
      </c>
      <c r="I857" s="16" t="str">
        <f>VLOOKUP(F857,[1]完整分类结果!$E:$G,3,0)</f>
        <v>纺织业</v>
      </c>
      <c r="J857" s="16">
        <f>VLOOKUP(I857,[2]行业排放因子!$A:$B,2,0)</f>
        <v>7.8572897061762799</v>
      </c>
      <c r="K857" s="9" t="s">
        <v>756</v>
      </c>
    </row>
    <row r="858" spans="1:11" ht="12.5" customHeight="1" x14ac:dyDescent="0.25">
      <c r="A858" s="5" t="s">
        <v>2950</v>
      </c>
      <c r="B858" s="6" t="s">
        <v>2782</v>
      </c>
      <c r="C858" s="6" t="s">
        <v>2783</v>
      </c>
      <c r="D858" s="6" t="s">
        <v>2783</v>
      </c>
      <c r="E858" s="6" t="s">
        <v>2951</v>
      </c>
      <c r="F858" s="6" t="s">
        <v>2952</v>
      </c>
      <c r="G858" s="9" t="s">
        <v>2953</v>
      </c>
      <c r="H858" s="9" t="s">
        <v>18</v>
      </c>
      <c r="I858" s="16" t="str">
        <f>VLOOKUP(F858,[1]完整分类结果!$E:$G,3,0)</f>
        <v>纺织业</v>
      </c>
      <c r="J858" s="16">
        <f>VLOOKUP(I858,[2]行业排放因子!$A:$B,2,0)</f>
        <v>7.8572897061762799</v>
      </c>
      <c r="K858" s="9" t="s">
        <v>756</v>
      </c>
    </row>
    <row r="859" spans="1:11" ht="12.5" customHeight="1" x14ac:dyDescent="0.25">
      <c r="A859" s="5" t="s">
        <v>2954</v>
      </c>
      <c r="B859" s="6" t="s">
        <v>2782</v>
      </c>
      <c r="C859" s="6" t="s">
        <v>2783</v>
      </c>
      <c r="D859" s="6" t="s">
        <v>2783</v>
      </c>
      <c r="E859" s="6" t="s">
        <v>2955</v>
      </c>
      <c r="F859" s="6" t="s">
        <v>2956</v>
      </c>
      <c r="G859" s="9" t="s">
        <v>2957</v>
      </c>
      <c r="H859" s="9" t="s">
        <v>18</v>
      </c>
      <c r="I859" s="16" t="str">
        <f>VLOOKUP(F859,[1]完整分类结果!$E:$G,3,0)</f>
        <v>纺织业</v>
      </c>
      <c r="J859" s="16">
        <f>VLOOKUP(I859,[2]行业排放因子!$A:$B,2,0)</f>
        <v>7.8572897061762799</v>
      </c>
      <c r="K859" s="9" t="s">
        <v>756</v>
      </c>
    </row>
    <row r="860" spans="1:11" ht="12.5" customHeight="1" x14ac:dyDescent="0.25">
      <c r="A860" s="5" t="s">
        <v>2958</v>
      </c>
      <c r="B860" s="6" t="s">
        <v>2782</v>
      </c>
      <c r="C860" s="6" t="s">
        <v>2783</v>
      </c>
      <c r="D860" s="6" t="s">
        <v>2783</v>
      </c>
      <c r="E860" s="6" t="s">
        <v>2959</v>
      </c>
      <c r="F860" s="6" t="s">
        <v>2960</v>
      </c>
      <c r="G860" s="9" t="s">
        <v>2961</v>
      </c>
      <c r="H860" s="9" t="s">
        <v>18</v>
      </c>
      <c r="I860" s="16" t="str">
        <f>VLOOKUP(F860,[1]完整分类结果!$E:$G,3,0)</f>
        <v>纺织业</v>
      </c>
      <c r="J860" s="16">
        <f>VLOOKUP(I860,[2]行业排放因子!$A:$B,2,0)</f>
        <v>7.8572897061762799</v>
      </c>
      <c r="K860" s="9" t="s">
        <v>756</v>
      </c>
    </row>
    <row r="861" spans="1:11" ht="12.5" customHeight="1" x14ac:dyDescent="0.25">
      <c r="A861" s="5" t="s">
        <v>2962</v>
      </c>
      <c r="B861" s="6" t="s">
        <v>2782</v>
      </c>
      <c r="C861" s="6" t="s">
        <v>2783</v>
      </c>
      <c r="D861" s="6" t="s">
        <v>2783</v>
      </c>
      <c r="E861" s="6" t="s">
        <v>2963</v>
      </c>
      <c r="F861" s="6" t="s">
        <v>2964</v>
      </c>
      <c r="G861" s="9" t="s">
        <v>2965</v>
      </c>
      <c r="H861" s="9" t="s">
        <v>18</v>
      </c>
      <c r="I861" s="16" t="str">
        <f>VLOOKUP(F861,[1]完整分类结果!$E:$G,3,0)</f>
        <v>纺织业</v>
      </c>
      <c r="J861" s="16">
        <f>VLOOKUP(I861,[2]行业排放因子!$A:$B,2,0)</f>
        <v>7.8572897061762799</v>
      </c>
      <c r="K861" s="9" t="s">
        <v>756</v>
      </c>
    </row>
    <row r="862" spans="1:11" ht="12.5" customHeight="1" x14ac:dyDescent="0.25">
      <c r="A862" s="5" t="s">
        <v>2966</v>
      </c>
      <c r="B862" s="6" t="s">
        <v>2782</v>
      </c>
      <c r="C862" s="6" t="s">
        <v>2783</v>
      </c>
      <c r="D862" s="6" t="s">
        <v>2783</v>
      </c>
      <c r="E862" s="6" t="s">
        <v>2967</v>
      </c>
      <c r="F862" s="6" t="s">
        <v>2968</v>
      </c>
      <c r="G862" s="9" t="s">
        <v>2969</v>
      </c>
      <c r="H862" s="9" t="s">
        <v>18</v>
      </c>
      <c r="I862" s="16" t="str">
        <f>VLOOKUP(F862,[1]完整分类结果!$E:$G,3,0)</f>
        <v>纺织业</v>
      </c>
      <c r="J862" s="16">
        <f>VLOOKUP(I862,[2]行业排放因子!$A:$B,2,0)</f>
        <v>7.8572897061762799</v>
      </c>
      <c r="K862" s="9" t="s">
        <v>756</v>
      </c>
    </row>
    <row r="863" spans="1:11" ht="12.5" customHeight="1" x14ac:dyDescent="0.25">
      <c r="A863" s="5" t="s">
        <v>2970</v>
      </c>
      <c r="B863" s="6" t="s">
        <v>2782</v>
      </c>
      <c r="C863" s="6" t="s">
        <v>2783</v>
      </c>
      <c r="D863" s="6" t="s">
        <v>2783</v>
      </c>
      <c r="E863" s="6" t="s">
        <v>2971</v>
      </c>
      <c r="F863" s="6" t="s">
        <v>2972</v>
      </c>
      <c r="G863" s="9" t="s">
        <v>2973</v>
      </c>
      <c r="H863" s="9" t="s">
        <v>18</v>
      </c>
      <c r="I863" s="16" t="str">
        <f>VLOOKUP(F863,[1]完整分类结果!$E:$G,3,0)</f>
        <v>纺织业</v>
      </c>
      <c r="J863" s="16">
        <f>VLOOKUP(I863,[2]行业排放因子!$A:$B,2,0)</f>
        <v>7.8572897061762799</v>
      </c>
      <c r="K863" s="9" t="s">
        <v>756</v>
      </c>
    </row>
    <row r="864" spans="1:11" ht="12.5" customHeight="1" x14ac:dyDescent="0.25">
      <c r="A864" s="5" t="s">
        <v>2974</v>
      </c>
      <c r="B864" s="6" t="s">
        <v>2782</v>
      </c>
      <c r="C864" s="6" t="s">
        <v>2783</v>
      </c>
      <c r="D864" s="6" t="s">
        <v>2783</v>
      </c>
      <c r="E864" s="6" t="s">
        <v>2975</v>
      </c>
      <c r="F864" s="6" t="s">
        <v>2976</v>
      </c>
      <c r="G864" s="9" t="s">
        <v>2977</v>
      </c>
      <c r="H864" s="9" t="s">
        <v>18</v>
      </c>
      <c r="I864" s="16" t="str">
        <f>VLOOKUP(F864,[1]完整分类结果!$E:$G,3,0)</f>
        <v>纺织业</v>
      </c>
      <c r="J864" s="16">
        <f>VLOOKUP(I864,[2]行业排放因子!$A:$B,2,0)</f>
        <v>7.8572897061762799</v>
      </c>
      <c r="K864" s="9" t="s">
        <v>756</v>
      </c>
    </row>
    <row r="865" spans="1:11" ht="12.5" customHeight="1" x14ac:dyDescent="0.25">
      <c r="A865" s="5" t="s">
        <v>2978</v>
      </c>
      <c r="B865" s="6" t="s">
        <v>2782</v>
      </c>
      <c r="C865" s="6" t="s">
        <v>2783</v>
      </c>
      <c r="D865" s="6" t="s">
        <v>2783</v>
      </c>
      <c r="E865" s="6" t="s">
        <v>2979</v>
      </c>
      <c r="F865" s="6" t="s">
        <v>2980</v>
      </c>
      <c r="G865" s="9" t="s">
        <v>2981</v>
      </c>
      <c r="H865" s="9" t="s">
        <v>18</v>
      </c>
      <c r="I865" s="16" t="str">
        <f>VLOOKUP(F865,[1]完整分类结果!$E:$G,3,0)</f>
        <v>纺织业</v>
      </c>
      <c r="J865" s="16">
        <f>VLOOKUP(I865,[2]行业排放因子!$A:$B,2,0)</f>
        <v>7.8572897061762799</v>
      </c>
      <c r="K865" s="9" t="s">
        <v>756</v>
      </c>
    </row>
    <row r="866" spans="1:11" ht="12.5" customHeight="1" x14ac:dyDescent="0.25">
      <c r="A866" s="5" t="s">
        <v>2982</v>
      </c>
      <c r="B866" s="6" t="s">
        <v>2782</v>
      </c>
      <c r="C866" s="6" t="s">
        <v>2783</v>
      </c>
      <c r="D866" s="6" t="s">
        <v>2783</v>
      </c>
      <c r="E866" s="6" t="s">
        <v>2983</v>
      </c>
      <c r="F866" s="6" t="s">
        <v>2984</v>
      </c>
      <c r="G866" s="9" t="s">
        <v>2985</v>
      </c>
      <c r="H866" s="9" t="s">
        <v>18</v>
      </c>
      <c r="I866" s="16" t="str">
        <f>VLOOKUP(F866,[1]完整分类结果!$E:$G,3,0)</f>
        <v>纺织业</v>
      </c>
      <c r="J866" s="16">
        <f>VLOOKUP(I866,[2]行业排放因子!$A:$B,2,0)</f>
        <v>7.8572897061762799</v>
      </c>
      <c r="K866" s="9" t="s">
        <v>756</v>
      </c>
    </row>
    <row r="867" spans="1:11" ht="12.5" customHeight="1" x14ac:dyDescent="0.25">
      <c r="A867" s="5" t="s">
        <v>2986</v>
      </c>
      <c r="B867" s="6" t="s">
        <v>2782</v>
      </c>
      <c r="C867" s="6" t="s">
        <v>2783</v>
      </c>
      <c r="D867" s="6" t="s">
        <v>2783</v>
      </c>
      <c r="E867" s="6" t="s">
        <v>2987</v>
      </c>
      <c r="F867" s="6" t="s">
        <v>2988</v>
      </c>
      <c r="G867" s="9" t="s">
        <v>2989</v>
      </c>
      <c r="H867" s="9" t="s">
        <v>18</v>
      </c>
      <c r="I867" s="16" t="str">
        <f>VLOOKUP(F867,[1]完整分类结果!$E:$G,3,0)</f>
        <v>纺织业</v>
      </c>
      <c r="J867" s="16">
        <f>VLOOKUP(I867,[2]行业排放因子!$A:$B,2,0)</f>
        <v>7.8572897061762799</v>
      </c>
      <c r="K867" s="9" t="s">
        <v>756</v>
      </c>
    </row>
    <row r="868" spans="1:11" ht="12.5" customHeight="1" x14ac:dyDescent="0.25">
      <c r="A868" s="5" t="s">
        <v>2990</v>
      </c>
      <c r="B868" s="6" t="s">
        <v>2782</v>
      </c>
      <c r="C868" s="6" t="s">
        <v>2783</v>
      </c>
      <c r="D868" s="6" t="s">
        <v>2783</v>
      </c>
      <c r="E868" s="6" t="s">
        <v>2991</v>
      </c>
      <c r="F868" s="6" t="s">
        <v>2992</v>
      </c>
      <c r="G868" s="9" t="s">
        <v>2993</v>
      </c>
      <c r="H868" s="9" t="s">
        <v>18</v>
      </c>
      <c r="I868" s="16" t="str">
        <f>VLOOKUP(F868,[1]完整分类结果!$E:$G,3,0)</f>
        <v>纺织业</v>
      </c>
      <c r="J868" s="16">
        <f>VLOOKUP(I868,[2]行业排放因子!$A:$B,2,0)</f>
        <v>7.8572897061762799</v>
      </c>
      <c r="K868" s="9" t="s">
        <v>756</v>
      </c>
    </row>
    <row r="869" spans="1:11" ht="12.5" customHeight="1" x14ac:dyDescent="0.25">
      <c r="A869" s="5" t="s">
        <v>2994</v>
      </c>
      <c r="B869" s="6" t="s">
        <v>2782</v>
      </c>
      <c r="C869" s="6" t="s">
        <v>2783</v>
      </c>
      <c r="D869" s="6" t="s">
        <v>2783</v>
      </c>
      <c r="E869" s="6" t="s">
        <v>2995</v>
      </c>
      <c r="F869" s="6" t="s">
        <v>2996</v>
      </c>
      <c r="G869" s="9" t="s">
        <v>2997</v>
      </c>
      <c r="H869" s="9" t="s">
        <v>18</v>
      </c>
      <c r="I869" s="16" t="str">
        <f>VLOOKUP(F869,[1]完整分类结果!$E:$G,3,0)</f>
        <v>纺织业</v>
      </c>
      <c r="J869" s="16">
        <f>VLOOKUP(I869,[2]行业排放因子!$A:$B,2,0)</f>
        <v>7.8572897061762799</v>
      </c>
      <c r="K869" s="9" t="s">
        <v>756</v>
      </c>
    </row>
    <row r="870" spans="1:11" ht="12.5" customHeight="1" x14ac:dyDescent="0.25">
      <c r="A870" s="5" t="s">
        <v>2998</v>
      </c>
      <c r="B870" s="6" t="s">
        <v>2782</v>
      </c>
      <c r="C870" s="6" t="s">
        <v>2783</v>
      </c>
      <c r="D870" s="6" t="s">
        <v>2783</v>
      </c>
      <c r="E870" s="6" t="s">
        <v>2999</v>
      </c>
      <c r="F870" s="6" t="s">
        <v>3000</v>
      </c>
      <c r="G870" s="9" t="s">
        <v>3001</v>
      </c>
      <c r="H870" s="9" t="s">
        <v>18</v>
      </c>
      <c r="I870" s="16" t="str">
        <f>VLOOKUP(F870,[1]完整分类结果!$E:$G,3,0)</f>
        <v>纺织业</v>
      </c>
      <c r="J870" s="16">
        <f>VLOOKUP(I870,[2]行业排放因子!$A:$B,2,0)</f>
        <v>7.8572897061762799</v>
      </c>
      <c r="K870" s="9" t="s">
        <v>756</v>
      </c>
    </row>
    <row r="871" spans="1:11" ht="12.5" customHeight="1" x14ac:dyDescent="0.25">
      <c r="A871" s="5" t="s">
        <v>3002</v>
      </c>
      <c r="B871" s="6" t="s">
        <v>2782</v>
      </c>
      <c r="C871" s="6" t="s">
        <v>2783</v>
      </c>
      <c r="D871" s="6" t="s">
        <v>2783</v>
      </c>
      <c r="E871" s="6" t="s">
        <v>3003</v>
      </c>
      <c r="F871" s="6" t="s">
        <v>3004</v>
      </c>
      <c r="G871" s="9" t="s">
        <v>3005</v>
      </c>
      <c r="H871" s="9" t="s">
        <v>18</v>
      </c>
      <c r="I871" s="16" t="str">
        <f>VLOOKUP(F871,[1]完整分类结果!$E:$G,3,0)</f>
        <v>纺织业</v>
      </c>
      <c r="J871" s="16">
        <f>VLOOKUP(I871,[2]行业排放因子!$A:$B,2,0)</f>
        <v>7.8572897061762799</v>
      </c>
      <c r="K871" s="9" t="s">
        <v>756</v>
      </c>
    </row>
    <row r="872" spans="1:11" ht="12.5" customHeight="1" x14ac:dyDescent="0.25">
      <c r="A872" s="5" t="s">
        <v>3006</v>
      </c>
      <c r="B872" s="6" t="s">
        <v>2782</v>
      </c>
      <c r="C872" s="6" t="s">
        <v>2783</v>
      </c>
      <c r="D872" s="6" t="s">
        <v>2783</v>
      </c>
      <c r="E872" s="6" t="s">
        <v>3007</v>
      </c>
      <c r="F872" s="6" t="s">
        <v>3008</v>
      </c>
      <c r="G872" s="9" t="s">
        <v>3009</v>
      </c>
      <c r="H872" s="9" t="s">
        <v>18</v>
      </c>
      <c r="I872" s="16" t="str">
        <f>VLOOKUP(F872,[1]完整分类结果!$E:$G,3,0)</f>
        <v>纺织业</v>
      </c>
      <c r="J872" s="16">
        <f>VLOOKUP(I872,[2]行业排放因子!$A:$B,2,0)</f>
        <v>7.8572897061762799</v>
      </c>
      <c r="K872" s="9" t="s">
        <v>756</v>
      </c>
    </row>
    <row r="873" spans="1:11" ht="12.5" customHeight="1" x14ac:dyDescent="0.25">
      <c r="A873" s="5" t="s">
        <v>3010</v>
      </c>
      <c r="B873" s="6" t="s">
        <v>2782</v>
      </c>
      <c r="C873" s="6" t="s">
        <v>2783</v>
      </c>
      <c r="D873" s="6" t="s">
        <v>2783</v>
      </c>
      <c r="E873" s="6" t="s">
        <v>3011</v>
      </c>
      <c r="F873" s="6" t="s">
        <v>3012</v>
      </c>
      <c r="G873" s="9"/>
      <c r="H873" s="9" t="s">
        <v>18</v>
      </c>
      <c r="I873" s="16" t="str">
        <f>VLOOKUP(F873,[1]完整分类结果!$E:$G,3,0)</f>
        <v>纺织业</v>
      </c>
      <c r="J873" s="16">
        <f>VLOOKUP(I873,[2]行业排放因子!$A:$B,2,0)</f>
        <v>7.8572897061762799</v>
      </c>
      <c r="K873" s="9" t="s">
        <v>756</v>
      </c>
    </row>
    <row r="874" spans="1:11" ht="12.5" customHeight="1" x14ac:dyDescent="0.25">
      <c r="A874" s="5" t="s">
        <v>3013</v>
      </c>
      <c r="B874" s="6" t="s">
        <v>2782</v>
      </c>
      <c r="C874" s="6" t="s">
        <v>2783</v>
      </c>
      <c r="D874" s="6" t="s">
        <v>2783</v>
      </c>
      <c r="E874" s="6" t="s">
        <v>3014</v>
      </c>
      <c r="F874" s="6" t="s">
        <v>3015</v>
      </c>
      <c r="G874" s="9" t="s">
        <v>3016</v>
      </c>
      <c r="H874" s="9" t="s">
        <v>18</v>
      </c>
      <c r="I874" s="16" t="str">
        <f>VLOOKUP(F874,[1]完整分类结果!$E:$G,3,0)</f>
        <v>纺织业</v>
      </c>
      <c r="J874" s="16">
        <f>VLOOKUP(I874,[2]行业排放因子!$A:$B,2,0)</f>
        <v>7.8572897061762799</v>
      </c>
      <c r="K874" s="9" t="s">
        <v>756</v>
      </c>
    </row>
    <row r="875" spans="1:11" ht="12.5" customHeight="1" x14ac:dyDescent="0.25">
      <c r="A875" s="5" t="s">
        <v>3017</v>
      </c>
      <c r="B875" s="6" t="s">
        <v>2782</v>
      </c>
      <c r="C875" s="6" t="s">
        <v>2783</v>
      </c>
      <c r="D875" s="6" t="s">
        <v>2783</v>
      </c>
      <c r="E875" s="6" t="s">
        <v>3018</v>
      </c>
      <c r="F875" s="6" t="s">
        <v>3019</v>
      </c>
      <c r="G875" s="9" t="s">
        <v>3020</v>
      </c>
      <c r="H875" s="9" t="s">
        <v>18</v>
      </c>
      <c r="I875" s="16" t="str">
        <f>VLOOKUP(F875,[1]完整分类结果!$E:$G,3,0)</f>
        <v>纺织业</v>
      </c>
      <c r="J875" s="16">
        <f>VLOOKUP(I875,[2]行业排放因子!$A:$B,2,0)</f>
        <v>7.8572897061762799</v>
      </c>
      <c r="K875" s="9" t="s">
        <v>756</v>
      </c>
    </row>
    <row r="876" spans="1:11" ht="12.5" customHeight="1" x14ac:dyDescent="0.25">
      <c r="A876" s="5" t="s">
        <v>3021</v>
      </c>
      <c r="B876" s="6" t="s">
        <v>2782</v>
      </c>
      <c r="C876" s="6" t="s">
        <v>2783</v>
      </c>
      <c r="D876" s="6" t="s">
        <v>2783</v>
      </c>
      <c r="E876" s="6" t="s">
        <v>3022</v>
      </c>
      <c r="F876" s="6" t="s">
        <v>3023</v>
      </c>
      <c r="G876" s="9" t="s">
        <v>3024</v>
      </c>
      <c r="H876" s="9" t="s">
        <v>18</v>
      </c>
      <c r="I876" s="16" t="str">
        <f>VLOOKUP(F876,[1]完整分类结果!$E:$G,3,0)</f>
        <v>纺织业</v>
      </c>
      <c r="J876" s="16">
        <f>VLOOKUP(I876,[2]行业排放因子!$A:$B,2,0)</f>
        <v>7.8572897061762799</v>
      </c>
      <c r="K876" s="9" t="s">
        <v>756</v>
      </c>
    </row>
    <row r="877" spans="1:11" ht="12.5" customHeight="1" x14ac:dyDescent="0.25">
      <c r="A877" s="5" t="s">
        <v>3025</v>
      </c>
      <c r="B877" s="6" t="s">
        <v>2782</v>
      </c>
      <c r="C877" s="6" t="s">
        <v>2783</v>
      </c>
      <c r="D877" s="6" t="s">
        <v>2783</v>
      </c>
      <c r="E877" s="6" t="s">
        <v>3026</v>
      </c>
      <c r="F877" s="6" t="s">
        <v>3027</v>
      </c>
      <c r="G877" s="9" t="s">
        <v>3028</v>
      </c>
      <c r="H877" s="9" t="s">
        <v>18</v>
      </c>
      <c r="I877" s="16" t="str">
        <f>VLOOKUP(F877,[1]完整分类结果!$E:$G,3,0)</f>
        <v>纺织业</v>
      </c>
      <c r="J877" s="16">
        <f>VLOOKUP(I877,[2]行业排放因子!$A:$B,2,0)</f>
        <v>7.8572897061762799</v>
      </c>
      <c r="K877" s="9" t="s">
        <v>756</v>
      </c>
    </row>
    <row r="878" spans="1:11" ht="12.5" customHeight="1" x14ac:dyDescent="0.25">
      <c r="A878" s="5" t="s">
        <v>3029</v>
      </c>
      <c r="B878" s="6" t="s">
        <v>2782</v>
      </c>
      <c r="C878" s="6" t="s">
        <v>2783</v>
      </c>
      <c r="D878" s="6" t="s">
        <v>2783</v>
      </c>
      <c r="E878" s="6" t="s">
        <v>3030</v>
      </c>
      <c r="F878" s="6" t="s">
        <v>3031</v>
      </c>
      <c r="G878" s="9" t="s">
        <v>3032</v>
      </c>
      <c r="H878" s="9" t="s">
        <v>18</v>
      </c>
      <c r="I878" s="16" t="str">
        <f>VLOOKUP(F878,[1]完整分类结果!$E:$G,3,0)</f>
        <v>纺织业</v>
      </c>
      <c r="J878" s="16">
        <f>VLOOKUP(I878,[2]行业排放因子!$A:$B,2,0)</f>
        <v>7.8572897061762799</v>
      </c>
      <c r="K878" s="9" t="s">
        <v>779</v>
      </c>
    </row>
    <row r="879" spans="1:11" ht="12.5" customHeight="1" x14ac:dyDescent="0.25">
      <c r="A879" s="5" t="s">
        <v>3033</v>
      </c>
      <c r="B879" s="6" t="s">
        <v>2782</v>
      </c>
      <c r="C879" s="6" t="s">
        <v>2783</v>
      </c>
      <c r="D879" s="6" t="s">
        <v>2783</v>
      </c>
      <c r="E879" s="6" t="s">
        <v>3034</v>
      </c>
      <c r="F879" s="6" t="s">
        <v>3035</v>
      </c>
      <c r="G879" s="9" t="s">
        <v>3036</v>
      </c>
      <c r="H879" s="9" t="s">
        <v>18</v>
      </c>
      <c r="I879" s="16" t="str">
        <f>VLOOKUP(F879,[1]完整分类结果!$E:$G,3,0)</f>
        <v>纺织业</v>
      </c>
      <c r="J879" s="16">
        <f>VLOOKUP(I879,[2]行业排放因子!$A:$B,2,0)</f>
        <v>7.8572897061762799</v>
      </c>
      <c r="K879" s="9" t="s">
        <v>756</v>
      </c>
    </row>
    <row r="880" spans="1:11" ht="12.5" customHeight="1" x14ac:dyDescent="0.25">
      <c r="A880" s="5" t="s">
        <v>3037</v>
      </c>
      <c r="B880" s="6" t="s">
        <v>2782</v>
      </c>
      <c r="C880" s="6" t="s">
        <v>2783</v>
      </c>
      <c r="D880" s="6" t="s">
        <v>2783</v>
      </c>
      <c r="E880" s="6" t="s">
        <v>3038</v>
      </c>
      <c r="F880" s="6" t="s">
        <v>3039</v>
      </c>
      <c r="G880" s="9" t="s">
        <v>3040</v>
      </c>
      <c r="H880" s="9" t="s">
        <v>18</v>
      </c>
      <c r="I880" s="16" t="str">
        <f>VLOOKUP(F880,[1]完整分类结果!$E:$G,3,0)</f>
        <v>纺织业</v>
      </c>
      <c r="J880" s="16">
        <f>VLOOKUP(I880,[2]行业排放因子!$A:$B,2,0)</f>
        <v>7.8572897061762799</v>
      </c>
      <c r="K880" s="9" t="s">
        <v>756</v>
      </c>
    </row>
    <row r="881" spans="1:11" ht="12.5" customHeight="1" x14ac:dyDescent="0.25">
      <c r="A881" s="5" t="s">
        <v>3041</v>
      </c>
      <c r="B881" s="6" t="s">
        <v>2782</v>
      </c>
      <c r="C881" s="6" t="s">
        <v>2783</v>
      </c>
      <c r="D881" s="6" t="s">
        <v>2783</v>
      </c>
      <c r="E881" s="6" t="s">
        <v>3042</v>
      </c>
      <c r="F881" s="6" t="s">
        <v>3043</v>
      </c>
      <c r="G881" s="9" t="s">
        <v>3044</v>
      </c>
      <c r="H881" s="9" t="s">
        <v>18</v>
      </c>
      <c r="I881" s="16" t="str">
        <f>VLOOKUP(F881,[1]完整分类结果!$E:$G,3,0)</f>
        <v>纺织业</v>
      </c>
      <c r="J881" s="16">
        <f>VLOOKUP(I881,[2]行业排放因子!$A:$B,2,0)</f>
        <v>7.8572897061762799</v>
      </c>
      <c r="K881" s="9" t="s">
        <v>756</v>
      </c>
    </row>
    <row r="882" spans="1:11" ht="12.5" customHeight="1" x14ac:dyDescent="0.25">
      <c r="A882" s="5" t="s">
        <v>3045</v>
      </c>
      <c r="B882" s="6" t="s">
        <v>2782</v>
      </c>
      <c r="C882" s="6" t="s">
        <v>2783</v>
      </c>
      <c r="D882" s="6" t="s">
        <v>2783</v>
      </c>
      <c r="E882" s="6" t="s">
        <v>3046</v>
      </c>
      <c r="F882" s="6" t="s">
        <v>3047</v>
      </c>
      <c r="G882" s="9" t="s">
        <v>3048</v>
      </c>
      <c r="H882" s="9" t="s">
        <v>18</v>
      </c>
      <c r="I882" s="16" t="str">
        <f>VLOOKUP(F882,[1]完整分类结果!$E:$G,3,0)</f>
        <v>纺织业</v>
      </c>
      <c r="J882" s="16">
        <f>VLOOKUP(I882,[2]行业排放因子!$A:$B,2,0)</f>
        <v>7.8572897061762799</v>
      </c>
      <c r="K882" s="9" t="s">
        <v>756</v>
      </c>
    </row>
    <row r="883" spans="1:11" ht="12.5" customHeight="1" x14ac:dyDescent="0.25">
      <c r="A883" s="5" t="s">
        <v>3049</v>
      </c>
      <c r="B883" s="6" t="s">
        <v>2782</v>
      </c>
      <c r="C883" s="6" t="s">
        <v>2783</v>
      </c>
      <c r="D883" s="6" t="s">
        <v>2783</v>
      </c>
      <c r="E883" s="6" t="s">
        <v>3050</v>
      </c>
      <c r="F883" s="6" t="s">
        <v>3051</v>
      </c>
      <c r="G883" s="9" t="s">
        <v>3052</v>
      </c>
      <c r="H883" s="9" t="s">
        <v>18</v>
      </c>
      <c r="I883" s="16" t="str">
        <f>VLOOKUP(F883,[1]完整分类结果!$E:$G,3,0)</f>
        <v>纺织业</v>
      </c>
      <c r="J883" s="16">
        <f>VLOOKUP(I883,[2]行业排放因子!$A:$B,2,0)</f>
        <v>7.8572897061762799</v>
      </c>
      <c r="K883" s="9" t="s">
        <v>756</v>
      </c>
    </row>
    <row r="884" spans="1:11" ht="12.5" customHeight="1" x14ac:dyDescent="0.25">
      <c r="A884" s="5" t="s">
        <v>3053</v>
      </c>
      <c r="B884" s="6" t="s">
        <v>2782</v>
      </c>
      <c r="C884" s="6" t="s">
        <v>2783</v>
      </c>
      <c r="D884" s="6" t="s">
        <v>2783</v>
      </c>
      <c r="E884" s="6" t="s">
        <v>3054</v>
      </c>
      <c r="F884" s="6" t="s">
        <v>3055</v>
      </c>
      <c r="G884" s="9" t="s">
        <v>3056</v>
      </c>
      <c r="H884" s="9" t="s">
        <v>18</v>
      </c>
      <c r="I884" s="16" t="str">
        <f>VLOOKUP(F884,[1]完整分类结果!$E:$G,3,0)</f>
        <v>纺织业</v>
      </c>
      <c r="J884" s="16">
        <f>VLOOKUP(I884,[2]行业排放因子!$A:$B,2,0)</f>
        <v>7.8572897061762799</v>
      </c>
      <c r="K884" s="9" t="s">
        <v>756</v>
      </c>
    </row>
    <row r="885" spans="1:11" ht="12.5" customHeight="1" x14ac:dyDescent="0.25">
      <c r="A885" s="5" t="s">
        <v>3057</v>
      </c>
      <c r="B885" s="6" t="s">
        <v>2782</v>
      </c>
      <c r="C885" s="6" t="s">
        <v>2783</v>
      </c>
      <c r="D885" s="6" t="s">
        <v>2783</v>
      </c>
      <c r="E885" s="6" t="s">
        <v>3058</v>
      </c>
      <c r="F885" s="6" t="s">
        <v>3059</v>
      </c>
      <c r="G885" s="9" t="s">
        <v>3060</v>
      </c>
      <c r="H885" s="9" t="s">
        <v>18</v>
      </c>
      <c r="I885" s="16" t="str">
        <f>VLOOKUP(F885,[1]完整分类结果!$E:$G,3,0)</f>
        <v>纺织业</v>
      </c>
      <c r="J885" s="16">
        <f>VLOOKUP(I885,[2]行业排放因子!$A:$B,2,0)</f>
        <v>7.8572897061762799</v>
      </c>
      <c r="K885" s="9" t="s">
        <v>756</v>
      </c>
    </row>
    <row r="886" spans="1:11" ht="12.5" customHeight="1" x14ac:dyDescent="0.25">
      <c r="A886" s="5" t="s">
        <v>3061</v>
      </c>
      <c r="B886" s="6" t="s">
        <v>2782</v>
      </c>
      <c r="C886" s="6" t="s">
        <v>2783</v>
      </c>
      <c r="D886" s="6" t="s">
        <v>2783</v>
      </c>
      <c r="E886" s="6" t="s">
        <v>3062</v>
      </c>
      <c r="F886" s="6" t="s">
        <v>3063</v>
      </c>
      <c r="G886" s="9" t="s">
        <v>3064</v>
      </c>
      <c r="H886" s="9" t="s">
        <v>18</v>
      </c>
      <c r="I886" s="16" t="str">
        <f>VLOOKUP(F886,[1]完整分类结果!$E:$G,3,0)</f>
        <v>纺织业</v>
      </c>
      <c r="J886" s="16">
        <f>VLOOKUP(I886,[2]行业排放因子!$A:$B,2,0)</f>
        <v>7.8572897061762799</v>
      </c>
      <c r="K886" s="9" t="s">
        <v>756</v>
      </c>
    </row>
    <row r="887" spans="1:11" ht="12.5" customHeight="1" x14ac:dyDescent="0.25">
      <c r="A887" s="5" t="s">
        <v>3065</v>
      </c>
      <c r="B887" s="6" t="s">
        <v>2782</v>
      </c>
      <c r="C887" s="6" t="s">
        <v>2783</v>
      </c>
      <c r="D887" s="6" t="s">
        <v>2783</v>
      </c>
      <c r="E887" s="6" t="s">
        <v>3066</v>
      </c>
      <c r="F887" s="6" t="s">
        <v>3067</v>
      </c>
      <c r="G887" s="9" t="s">
        <v>3068</v>
      </c>
      <c r="H887" s="9" t="s">
        <v>18</v>
      </c>
      <c r="I887" s="16" t="str">
        <f>VLOOKUP(F887,[1]完整分类结果!$E:$G,3,0)</f>
        <v>纺织业</v>
      </c>
      <c r="J887" s="16">
        <f>VLOOKUP(I887,[2]行业排放因子!$A:$B,2,0)</f>
        <v>7.8572897061762799</v>
      </c>
      <c r="K887" s="9" t="s">
        <v>756</v>
      </c>
    </row>
    <row r="888" spans="1:11" ht="12.5" customHeight="1" x14ac:dyDescent="0.25">
      <c r="A888" s="5" t="s">
        <v>3069</v>
      </c>
      <c r="B888" s="6" t="s">
        <v>2782</v>
      </c>
      <c r="C888" s="6" t="s">
        <v>2783</v>
      </c>
      <c r="D888" s="6" t="s">
        <v>2783</v>
      </c>
      <c r="E888" s="6" t="s">
        <v>3070</v>
      </c>
      <c r="F888" s="6" t="s">
        <v>3071</v>
      </c>
      <c r="G888" s="9" t="s">
        <v>3072</v>
      </c>
      <c r="H888" s="9" t="s">
        <v>18</v>
      </c>
      <c r="I888" s="16" t="str">
        <f>VLOOKUP(F888,[1]完整分类结果!$E:$G,3,0)</f>
        <v>纺织业</v>
      </c>
      <c r="J888" s="16">
        <f>VLOOKUP(I888,[2]行业排放因子!$A:$B,2,0)</f>
        <v>7.8572897061762799</v>
      </c>
      <c r="K888" s="9" t="s">
        <v>756</v>
      </c>
    </row>
    <row r="889" spans="1:11" ht="12.5" customHeight="1" x14ac:dyDescent="0.25">
      <c r="A889" s="5" t="s">
        <v>3073</v>
      </c>
      <c r="B889" s="6" t="s">
        <v>2782</v>
      </c>
      <c r="C889" s="6" t="s">
        <v>2783</v>
      </c>
      <c r="D889" s="6" t="s">
        <v>2783</v>
      </c>
      <c r="E889" s="6" t="s">
        <v>3074</v>
      </c>
      <c r="F889" s="6" t="s">
        <v>3075</v>
      </c>
      <c r="G889" s="9" t="s">
        <v>3076</v>
      </c>
      <c r="H889" s="9" t="s">
        <v>18</v>
      </c>
      <c r="I889" s="16" t="str">
        <f>VLOOKUP(F889,[1]完整分类结果!$E:$G,3,0)</f>
        <v>纺织业</v>
      </c>
      <c r="J889" s="16">
        <f>VLOOKUP(I889,[2]行业排放因子!$A:$B,2,0)</f>
        <v>7.8572897061762799</v>
      </c>
      <c r="K889" s="9" t="s">
        <v>756</v>
      </c>
    </row>
    <row r="890" spans="1:11" ht="12.5" customHeight="1" x14ac:dyDescent="0.25">
      <c r="A890" s="5" t="s">
        <v>3077</v>
      </c>
      <c r="B890" s="6" t="s">
        <v>2782</v>
      </c>
      <c r="C890" s="6" t="s">
        <v>2783</v>
      </c>
      <c r="D890" s="6" t="s">
        <v>2783</v>
      </c>
      <c r="E890" s="6" t="s">
        <v>3078</v>
      </c>
      <c r="F890" s="6" t="s">
        <v>3079</v>
      </c>
      <c r="G890" s="9" t="s">
        <v>3080</v>
      </c>
      <c r="H890" s="9" t="s">
        <v>18</v>
      </c>
      <c r="I890" s="16" t="str">
        <f>VLOOKUP(F890,[1]完整分类结果!$E:$G,3,0)</f>
        <v>纺织业</v>
      </c>
      <c r="J890" s="16">
        <f>VLOOKUP(I890,[2]行业排放因子!$A:$B,2,0)</f>
        <v>7.8572897061762799</v>
      </c>
      <c r="K890" s="9" t="s">
        <v>756</v>
      </c>
    </row>
    <row r="891" spans="1:11" ht="12.5" customHeight="1" x14ac:dyDescent="0.25">
      <c r="A891" s="5" t="s">
        <v>3081</v>
      </c>
      <c r="B891" s="6" t="s">
        <v>2782</v>
      </c>
      <c r="C891" s="6" t="s">
        <v>2783</v>
      </c>
      <c r="D891" s="6" t="s">
        <v>2783</v>
      </c>
      <c r="E891" s="6" t="s">
        <v>3082</v>
      </c>
      <c r="F891" s="6" t="s">
        <v>3083</v>
      </c>
      <c r="G891" s="9" t="s">
        <v>3084</v>
      </c>
      <c r="H891" s="9" t="s">
        <v>18</v>
      </c>
      <c r="I891" s="16" t="str">
        <f>VLOOKUP(F891,[1]完整分类结果!$E:$G,3,0)</f>
        <v>纺织业</v>
      </c>
      <c r="J891" s="16">
        <f>VLOOKUP(I891,[2]行业排放因子!$A:$B,2,0)</f>
        <v>7.8572897061762799</v>
      </c>
      <c r="K891" s="9" t="s">
        <v>756</v>
      </c>
    </row>
    <row r="892" spans="1:11" ht="12.5" customHeight="1" x14ac:dyDescent="0.25">
      <c r="A892" s="5" t="s">
        <v>3085</v>
      </c>
      <c r="B892" s="6" t="s">
        <v>2782</v>
      </c>
      <c r="C892" s="6" t="s">
        <v>2783</v>
      </c>
      <c r="D892" s="6" t="s">
        <v>2783</v>
      </c>
      <c r="E892" s="6" t="s">
        <v>3086</v>
      </c>
      <c r="F892" s="6" t="s">
        <v>3087</v>
      </c>
      <c r="G892" s="9" t="s">
        <v>3088</v>
      </c>
      <c r="H892" s="9" t="s">
        <v>18</v>
      </c>
      <c r="I892" s="16" t="str">
        <f>VLOOKUP(F892,[1]完整分类结果!$E:$G,3,0)</f>
        <v>纺织业</v>
      </c>
      <c r="J892" s="16">
        <f>VLOOKUP(I892,[2]行业排放因子!$A:$B,2,0)</f>
        <v>7.8572897061762799</v>
      </c>
      <c r="K892" s="9" t="s">
        <v>756</v>
      </c>
    </row>
    <row r="893" spans="1:11" ht="12.5" customHeight="1" x14ac:dyDescent="0.25">
      <c r="A893" s="5" t="s">
        <v>3089</v>
      </c>
      <c r="B893" s="6" t="s">
        <v>2782</v>
      </c>
      <c r="C893" s="6" t="s">
        <v>2783</v>
      </c>
      <c r="D893" s="6" t="s">
        <v>2783</v>
      </c>
      <c r="E893" s="6" t="s">
        <v>3090</v>
      </c>
      <c r="F893" s="6" t="s">
        <v>3091</v>
      </c>
      <c r="G893" s="9" t="s">
        <v>3092</v>
      </c>
      <c r="H893" s="9" t="s">
        <v>18</v>
      </c>
      <c r="I893" s="16" t="str">
        <f>VLOOKUP(F893,[1]完整分类结果!$E:$G,3,0)</f>
        <v>纺织业</v>
      </c>
      <c r="J893" s="16">
        <f>VLOOKUP(I893,[2]行业排放因子!$A:$B,2,0)</f>
        <v>7.8572897061762799</v>
      </c>
      <c r="K893" s="9" t="s">
        <v>756</v>
      </c>
    </row>
    <row r="894" spans="1:11" ht="12.5" customHeight="1" x14ac:dyDescent="0.25">
      <c r="A894" s="5" t="s">
        <v>3093</v>
      </c>
      <c r="B894" s="6" t="s">
        <v>2782</v>
      </c>
      <c r="C894" s="6" t="s">
        <v>2783</v>
      </c>
      <c r="D894" s="6" t="s">
        <v>2783</v>
      </c>
      <c r="E894" s="6" t="s">
        <v>3094</v>
      </c>
      <c r="F894" s="6" t="s">
        <v>3095</v>
      </c>
      <c r="G894" s="9" t="s">
        <v>3096</v>
      </c>
      <c r="H894" s="9" t="s">
        <v>18</v>
      </c>
      <c r="I894" s="16" t="str">
        <f>VLOOKUP(F894,[1]完整分类结果!$E:$G,3,0)</f>
        <v>纺织业</v>
      </c>
      <c r="J894" s="16">
        <f>VLOOKUP(I894,[2]行业排放因子!$A:$B,2,0)</f>
        <v>7.8572897061762799</v>
      </c>
      <c r="K894" s="9" t="s">
        <v>756</v>
      </c>
    </row>
    <row r="895" spans="1:11" ht="12.5" customHeight="1" x14ac:dyDescent="0.25">
      <c r="A895" s="5" t="s">
        <v>3097</v>
      </c>
      <c r="B895" s="6" t="s">
        <v>2782</v>
      </c>
      <c r="C895" s="6" t="s">
        <v>2783</v>
      </c>
      <c r="D895" s="6" t="s">
        <v>2783</v>
      </c>
      <c r="E895" s="6" t="s">
        <v>3098</v>
      </c>
      <c r="F895" s="6" t="s">
        <v>3099</v>
      </c>
      <c r="G895" s="9" t="s">
        <v>3100</v>
      </c>
      <c r="H895" s="9" t="s">
        <v>18</v>
      </c>
      <c r="I895" s="16" t="str">
        <f>VLOOKUP(F895,[1]完整分类结果!$E:$G,3,0)</f>
        <v>纺织业</v>
      </c>
      <c r="J895" s="16">
        <f>VLOOKUP(I895,[2]行业排放因子!$A:$B,2,0)</f>
        <v>7.8572897061762799</v>
      </c>
      <c r="K895" s="9" t="s">
        <v>756</v>
      </c>
    </row>
    <row r="896" spans="1:11" ht="12.5" customHeight="1" x14ac:dyDescent="0.25">
      <c r="A896" s="5" t="s">
        <v>3101</v>
      </c>
      <c r="B896" s="6" t="s">
        <v>2782</v>
      </c>
      <c r="C896" s="6" t="s">
        <v>2783</v>
      </c>
      <c r="D896" s="6" t="s">
        <v>2783</v>
      </c>
      <c r="E896" s="6" t="s">
        <v>3102</v>
      </c>
      <c r="F896" s="6" t="s">
        <v>3103</v>
      </c>
      <c r="G896" s="9" t="s">
        <v>3104</v>
      </c>
      <c r="H896" s="9" t="s">
        <v>18</v>
      </c>
      <c r="I896" s="16" t="str">
        <f>VLOOKUP(F896,[1]完整分类结果!$E:$G,3,0)</f>
        <v>纺织业</v>
      </c>
      <c r="J896" s="16">
        <f>VLOOKUP(I896,[2]行业排放因子!$A:$B,2,0)</f>
        <v>7.8572897061762799</v>
      </c>
      <c r="K896" s="9" t="s">
        <v>756</v>
      </c>
    </row>
    <row r="897" spans="1:11" ht="12.5" customHeight="1" x14ac:dyDescent="0.25">
      <c r="A897" s="5" t="s">
        <v>3105</v>
      </c>
      <c r="B897" s="6" t="s">
        <v>2782</v>
      </c>
      <c r="C897" s="6" t="s">
        <v>2783</v>
      </c>
      <c r="D897" s="6" t="s">
        <v>2783</v>
      </c>
      <c r="E897" s="6" t="s">
        <v>3106</v>
      </c>
      <c r="F897" s="6" t="s">
        <v>3107</v>
      </c>
      <c r="G897" s="9" t="s">
        <v>3108</v>
      </c>
      <c r="H897" s="9" t="s">
        <v>18</v>
      </c>
      <c r="I897" s="16" t="str">
        <f>VLOOKUP(F897,[1]完整分类结果!$E:$G,3,0)</f>
        <v>纺织业</v>
      </c>
      <c r="J897" s="16">
        <f>VLOOKUP(I897,[2]行业排放因子!$A:$B,2,0)</f>
        <v>7.8572897061762799</v>
      </c>
      <c r="K897" s="9" t="s">
        <v>756</v>
      </c>
    </row>
    <row r="898" spans="1:11" ht="12.5" customHeight="1" x14ac:dyDescent="0.25">
      <c r="A898" s="5" t="s">
        <v>3109</v>
      </c>
      <c r="B898" s="6" t="s">
        <v>2782</v>
      </c>
      <c r="C898" s="6" t="s">
        <v>2783</v>
      </c>
      <c r="D898" s="6" t="s">
        <v>2783</v>
      </c>
      <c r="E898" s="6" t="s">
        <v>3110</v>
      </c>
      <c r="F898" s="6" t="s">
        <v>3111</v>
      </c>
      <c r="G898" s="9" t="s">
        <v>3112</v>
      </c>
      <c r="H898" s="9" t="s">
        <v>18</v>
      </c>
      <c r="I898" s="16" t="str">
        <f>VLOOKUP(F898,[1]完整分类结果!$E:$G,3,0)</f>
        <v>纺织业</v>
      </c>
      <c r="J898" s="16">
        <f>VLOOKUP(I898,[2]行业排放因子!$A:$B,2,0)</f>
        <v>7.8572897061762799</v>
      </c>
      <c r="K898" s="9" t="s">
        <v>756</v>
      </c>
    </row>
    <row r="899" spans="1:11" ht="12.5" customHeight="1" x14ac:dyDescent="0.25">
      <c r="A899" s="5" t="s">
        <v>3113</v>
      </c>
      <c r="B899" s="6" t="s">
        <v>2782</v>
      </c>
      <c r="C899" s="6" t="s">
        <v>2783</v>
      </c>
      <c r="D899" s="6" t="s">
        <v>2783</v>
      </c>
      <c r="E899" s="6" t="s">
        <v>3114</v>
      </c>
      <c r="F899" s="6" t="s">
        <v>3115</v>
      </c>
      <c r="G899" s="9" t="s">
        <v>3116</v>
      </c>
      <c r="H899" s="9" t="s">
        <v>18</v>
      </c>
      <c r="I899" s="16" t="str">
        <f>VLOOKUP(F899,[1]完整分类结果!$E:$G,3,0)</f>
        <v>纺织业</v>
      </c>
      <c r="J899" s="16">
        <f>VLOOKUP(I899,[2]行业排放因子!$A:$B,2,0)</f>
        <v>7.8572897061762799</v>
      </c>
      <c r="K899" s="9" t="s">
        <v>756</v>
      </c>
    </row>
    <row r="900" spans="1:11" ht="12.5" customHeight="1" x14ac:dyDescent="0.25">
      <c r="A900" s="5" t="s">
        <v>3117</v>
      </c>
      <c r="B900" s="6" t="s">
        <v>2782</v>
      </c>
      <c r="C900" s="6" t="s">
        <v>2783</v>
      </c>
      <c r="D900" s="6" t="s">
        <v>2783</v>
      </c>
      <c r="E900" s="6" t="s">
        <v>3118</v>
      </c>
      <c r="F900" s="6" t="s">
        <v>3119</v>
      </c>
      <c r="G900" s="9" t="s">
        <v>3120</v>
      </c>
      <c r="H900" s="9" t="s">
        <v>18</v>
      </c>
      <c r="I900" s="16" t="str">
        <f>VLOOKUP(F900,[1]完整分类结果!$E:$G,3,0)</f>
        <v>纺织业</v>
      </c>
      <c r="J900" s="16">
        <f>VLOOKUP(I900,[2]行业排放因子!$A:$B,2,0)</f>
        <v>7.8572897061762799</v>
      </c>
      <c r="K900" s="9" t="s">
        <v>756</v>
      </c>
    </row>
    <row r="901" spans="1:11" ht="12.5" customHeight="1" x14ac:dyDescent="0.25">
      <c r="A901" s="5" t="s">
        <v>3121</v>
      </c>
      <c r="B901" s="6" t="s">
        <v>2782</v>
      </c>
      <c r="C901" s="6" t="s">
        <v>2783</v>
      </c>
      <c r="D901" s="6" t="s">
        <v>2783</v>
      </c>
      <c r="E901" s="6" t="s">
        <v>3122</v>
      </c>
      <c r="F901" s="6" t="s">
        <v>3123</v>
      </c>
      <c r="G901" s="9" t="s">
        <v>3124</v>
      </c>
      <c r="H901" s="9" t="s">
        <v>18</v>
      </c>
      <c r="I901" s="16" t="str">
        <f>VLOOKUP(F901,[1]完整分类结果!$E:$G,3,0)</f>
        <v>纺织业</v>
      </c>
      <c r="J901" s="16">
        <f>VLOOKUP(I901,[2]行业排放因子!$A:$B,2,0)</f>
        <v>7.8572897061762799</v>
      </c>
      <c r="K901" s="9" t="s">
        <v>756</v>
      </c>
    </row>
    <row r="902" spans="1:11" ht="12.5" customHeight="1" x14ac:dyDescent="0.25">
      <c r="A902" s="5" t="s">
        <v>3125</v>
      </c>
      <c r="B902" s="6" t="s">
        <v>2782</v>
      </c>
      <c r="C902" s="6" t="s">
        <v>2783</v>
      </c>
      <c r="D902" s="6" t="s">
        <v>2783</v>
      </c>
      <c r="E902" s="6" t="s">
        <v>3126</v>
      </c>
      <c r="F902" s="6" t="s">
        <v>3127</v>
      </c>
      <c r="G902" s="9" t="s">
        <v>3128</v>
      </c>
      <c r="H902" s="9" t="s">
        <v>18</v>
      </c>
      <c r="I902" s="16" t="str">
        <f>VLOOKUP(F902,[1]完整分类结果!$E:$G,3,0)</f>
        <v>纺织业</v>
      </c>
      <c r="J902" s="16">
        <f>VLOOKUP(I902,[2]行业排放因子!$A:$B,2,0)</f>
        <v>7.8572897061762799</v>
      </c>
      <c r="K902" s="9" t="s">
        <v>756</v>
      </c>
    </row>
    <row r="903" spans="1:11" ht="12.5" customHeight="1" x14ac:dyDescent="0.25">
      <c r="A903" s="5" t="s">
        <v>3129</v>
      </c>
      <c r="B903" s="6" t="s">
        <v>2782</v>
      </c>
      <c r="C903" s="6" t="s">
        <v>2783</v>
      </c>
      <c r="D903" s="6" t="s">
        <v>2783</v>
      </c>
      <c r="E903" s="6" t="s">
        <v>3130</v>
      </c>
      <c r="F903" s="6" t="s">
        <v>3131</v>
      </c>
      <c r="G903" s="9"/>
      <c r="H903" s="9" t="s">
        <v>18</v>
      </c>
      <c r="I903" s="16" t="str">
        <f>VLOOKUP(F903,[1]完整分类结果!$E:$G,3,0)</f>
        <v>纺织业</v>
      </c>
      <c r="J903" s="16">
        <f>VLOOKUP(I903,[2]行业排放因子!$A:$B,2,0)</f>
        <v>7.8572897061762799</v>
      </c>
      <c r="K903" s="9" t="s">
        <v>756</v>
      </c>
    </row>
    <row r="904" spans="1:11" ht="12.5" customHeight="1" x14ac:dyDescent="0.25">
      <c r="A904" s="5" t="s">
        <v>3132</v>
      </c>
      <c r="B904" s="6" t="s">
        <v>2782</v>
      </c>
      <c r="C904" s="6" t="s">
        <v>3133</v>
      </c>
      <c r="D904" s="6" t="s">
        <v>3134</v>
      </c>
      <c r="E904" s="6" t="s">
        <v>3135</v>
      </c>
      <c r="F904" s="6" t="s">
        <v>3136</v>
      </c>
      <c r="G904" s="9" t="s">
        <v>3137</v>
      </c>
      <c r="H904" s="9" t="s">
        <v>18</v>
      </c>
      <c r="I904" s="16" t="str">
        <f>VLOOKUP(F904,[1]完整分类结果!$E:$G,3,0)</f>
        <v>服装及其他纤维制品制造业</v>
      </c>
      <c r="J904" s="16">
        <f>VLOOKUP(I904,[2]行业排放因子!$A:$B,2,0)</f>
        <v>0.72252850402396196</v>
      </c>
      <c r="K904" s="9" t="s">
        <v>1489</v>
      </c>
    </row>
    <row r="905" spans="1:11" ht="12.5" customHeight="1" x14ac:dyDescent="0.25">
      <c r="A905" s="5" t="s">
        <v>3138</v>
      </c>
      <c r="B905" s="6" t="s">
        <v>2782</v>
      </c>
      <c r="C905" s="6" t="s">
        <v>3133</v>
      </c>
      <c r="D905" s="6" t="s">
        <v>3134</v>
      </c>
      <c r="E905" s="6" t="s">
        <v>3139</v>
      </c>
      <c r="F905" s="6" t="s">
        <v>3140</v>
      </c>
      <c r="G905" s="9" t="s">
        <v>3141</v>
      </c>
      <c r="H905" s="9" t="s">
        <v>18</v>
      </c>
      <c r="I905" s="16" t="str">
        <f>VLOOKUP(F905,[1]完整分类结果!$E:$G,3,0)</f>
        <v>服装及其他纤维制品制造业</v>
      </c>
      <c r="J905" s="16">
        <f>VLOOKUP(I905,[2]行业排放因子!$A:$B,2,0)</f>
        <v>0.72252850402396196</v>
      </c>
      <c r="K905" s="9" t="s">
        <v>1489</v>
      </c>
    </row>
    <row r="906" spans="1:11" ht="12.5" customHeight="1" x14ac:dyDescent="0.25">
      <c r="A906" s="5" t="s">
        <v>3142</v>
      </c>
      <c r="B906" s="6" t="s">
        <v>2782</v>
      </c>
      <c r="C906" s="6" t="s">
        <v>3133</v>
      </c>
      <c r="D906" s="6" t="s">
        <v>3134</v>
      </c>
      <c r="E906" s="6" t="s">
        <v>3143</v>
      </c>
      <c r="F906" s="6" t="s">
        <v>3144</v>
      </c>
      <c r="G906" s="9" t="s">
        <v>3145</v>
      </c>
      <c r="H906" s="9" t="s">
        <v>18</v>
      </c>
      <c r="I906" s="16" t="str">
        <f>VLOOKUP(F906,[1]完整分类结果!$E:$G,3,0)</f>
        <v>服装及其他纤维制品制造业</v>
      </c>
      <c r="J906" s="16">
        <f>VLOOKUP(I906,[2]行业排放因子!$A:$B,2,0)</f>
        <v>0.72252850402396196</v>
      </c>
      <c r="K906" s="9" t="s">
        <v>1489</v>
      </c>
    </row>
    <row r="907" spans="1:11" ht="12.5" customHeight="1" x14ac:dyDescent="0.25">
      <c r="A907" s="5" t="s">
        <v>3146</v>
      </c>
      <c r="B907" s="6" t="s">
        <v>2782</v>
      </c>
      <c r="C907" s="6" t="s">
        <v>3133</v>
      </c>
      <c r="D907" s="6" t="s">
        <v>3134</v>
      </c>
      <c r="E907" s="6" t="s">
        <v>3147</v>
      </c>
      <c r="F907" s="6" t="s">
        <v>3148</v>
      </c>
      <c r="G907" s="9" t="s">
        <v>3149</v>
      </c>
      <c r="H907" s="9" t="s">
        <v>18</v>
      </c>
      <c r="I907" s="16" t="str">
        <f>VLOOKUP(F907,[1]完整分类结果!$E:$G,3,0)</f>
        <v>服装及其他纤维制品制造业</v>
      </c>
      <c r="J907" s="16">
        <f>VLOOKUP(I907,[2]行业排放因子!$A:$B,2,0)</f>
        <v>0.72252850402396196</v>
      </c>
      <c r="K907" s="9" t="s">
        <v>1489</v>
      </c>
    </row>
    <row r="908" spans="1:11" ht="12.5" customHeight="1" x14ac:dyDescent="0.25">
      <c r="A908" s="5" t="s">
        <v>3150</v>
      </c>
      <c r="B908" s="6" t="s">
        <v>2782</v>
      </c>
      <c r="C908" s="6" t="s">
        <v>3133</v>
      </c>
      <c r="D908" s="6" t="s">
        <v>3134</v>
      </c>
      <c r="E908" s="6" t="s">
        <v>3151</v>
      </c>
      <c r="F908" s="6" t="s">
        <v>3152</v>
      </c>
      <c r="G908" s="9" t="s">
        <v>3153</v>
      </c>
      <c r="H908" s="9" t="s">
        <v>18</v>
      </c>
      <c r="I908" s="16" t="str">
        <f>VLOOKUP(F908,[1]完整分类结果!$E:$G,3,0)</f>
        <v>服装及其他纤维制品制造业</v>
      </c>
      <c r="J908" s="16">
        <f>VLOOKUP(I908,[2]行业排放因子!$A:$B,2,0)</f>
        <v>0.72252850402396196</v>
      </c>
      <c r="K908" s="9" t="s">
        <v>1489</v>
      </c>
    </row>
    <row r="909" spans="1:11" ht="12.5" customHeight="1" x14ac:dyDescent="0.25">
      <c r="A909" s="5" t="s">
        <v>3154</v>
      </c>
      <c r="B909" s="6" t="s">
        <v>2782</v>
      </c>
      <c r="C909" s="6" t="s">
        <v>3133</v>
      </c>
      <c r="D909" s="6" t="s">
        <v>3134</v>
      </c>
      <c r="E909" s="6" t="s">
        <v>3155</v>
      </c>
      <c r="F909" s="6" t="s">
        <v>3156</v>
      </c>
      <c r="G909" s="9" t="s">
        <v>3157</v>
      </c>
      <c r="H909" s="9" t="s">
        <v>18</v>
      </c>
      <c r="I909" s="16" t="str">
        <f>VLOOKUP(F909,[1]完整分类结果!$E:$G,3,0)</f>
        <v>服装及其他纤维制品制造业</v>
      </c>
      <c r="J909" s="16">
        <f>VLOOKUP(I909,[2]行业排放因子!$A:$B,2,0)</f>
        <v>0.72252850402396196</v>
      </c>
      <c r="K909" s="9" t="s">
        <v>1489</v>
      </c>
    </row>
    <row r="910" spans="1:11" ht="12.5" customHeight="1" x14ac:dyDescent="0.25">
      <c r="A910" s="5" t="s">
        <v>3158</v>
      </c>
      <c r="B910" s="6" t="s">
        <v>2782</v>
      </c>
      <c r="C910" s="6" t="s">
        <v>3133</v>
      </c>
      <c r="D910" s="6" t="s">
        <v>3134</v>
      </c>
      <c r="E910" s="6" t="s">
        <v>3159</v>
      </c>
      <c r="F910" s="6" t="s">
        <v>3160</v>
      </c>
      <c r="G910" s="9" t="s">
        <v>3161</v>
      </c>
      <c r="H910" s="9" t="s">
        <v>18</v>
      </c>
      <c r="I910" s="16" t="str">
        <f>VLOOKUP(F910,[1]完整分类结果!$E:$G,3,0)</f>
        <v>服装及其他纤维制品制造业</v>
      </c>
      <c r="J910" s="16">
        <f>VLOOKUP(I910,[2]行业排放因子!$A:$B,2,0)</f>
        <v>0.72252850402396196</v>
      </c>
      <c r="K910" s="9" t="s">
        <v>1489</v>
      </c>
    </row>
    <row r="911" spans="1:11" ht="12.5" customHeight="1" x14ac:dyDescent="0.25">
      <c r="A911" s="5" t="s">
        <v>3162</v>
      </c>
      <c r="B911" s="6" t="s">
        <v>2782</v>
      </c>
      <c r="C911" s="6" t="s">
        <v>3133</v>
      </c>
      <c r="D911" s="6" t="s">
        <v>3134</v>
      </c>
      <c r="E911" s="6" t="s">
        <v>3163</v>
      </c>
      <c r="F911" s="6" t="s">
        <v>3164</v>
      </c>
      <c r="G911" s="9" t="s">
        <v>3165</v>
      </c>
      <c r="H911" s="9" t="s">
        <v>18</v>
      </c>
      <c r="I911" s="16" t="str">
        <f>VLOOKUP(F911,[1]完整分类结果!$E:$G,3,0)</f>
        <v>服装及其他纤维制品制造业</v>
      </c>
      <c r="J911" s="16">
        <f>VLOOKUP(I911,[2]行业排放因子!$A:$B,2,0)</f>
        <v>0.72252850402396196</v>
      </c>
      <c r="K911" s="9" t="s">
        <v>1489</v>
      </c>
    </row>
    <row r="912" spans="1:11" ht="12.5" customHeight="1" x14ac:dyDescent="0.25">
      <c r="A912" s="5" t="s">
        <v>3166</v>
      </c>
      <c r="B912" s="6" t="s">
        <v>2782</v>
      </c>
      <c r="C912" s="6" t="s">
        <v>3133</v>
      </c>
      <c r="D912" s="6" t="s">
        <v>3134</v>
      </c>
      <c r="E912" s="6" t="s">
        <v>3167</v>
      </c>
      <c r="F912" s="6" t="s">
        <v>3168</v>
      </c>
      <c r="G912" s="9" t="s">
        <v>3169</v>
      </c>
      <c r="H912" s="9" t="s">
        <v>18</v>
      </c>
      <c r="I912" s="16" t="str">
        <f>VLOOKUP(F912,[1]完整分类结果!$E:$G,3,0)</f>
        <v>服装及其他纤维制品制造业</v>
      </c>
      <c r="J912" s="16">
        <f>VLOOKUP(I912,[2]行业排放因子!$A:$B,2,0)</f>
        <v>0.72252850402396196</v>
      </c>
      <c r="K912" s="9" t="s">
        <v>1489</v>
      </c>
    </row>
    <row r="913" spans="1:11" ht="12.5" customHeight="1" x14ac:dyDescent="0.25">
      <c r="A913" s="5" t="s">
        <v>3170</v>
      </c>
      <c r="B913" s="6" t="s">
        <v>2782</v>
      </c>
      <c r="C913" s="6" t="s">
        <v>3133</v>
      </c>
      <c r="D913" s="6" t="s">
        <v>3134</v>
      </c>
      <c r="E913" s="6" t="s">
        <v>3171</v>
      </c>
      <c r="F913" s="6" t="s">
        <v>3172</v>
      </c>
      <c r="G913" s="9" t="s">
        <v>3169</v>
      </c>
      <c r="H913" s="9" t="s">
        <v>18</v>
      </c>
      <c r="I913" s="16" t="str">
        <f>VLOOKUP(F913,[1]完整分类结果!$E:$G,3,0)</f>
        <v>服装及其他纤维制品制造业</v>
      </c>
      <c r="J913" s="16">
        <f>VLOOKUP(I913,[2]行业排放因子!$A:$B,2,0)</f>
        <v>0.72252850402396196</v>
      </c>
      <c r="K913" s="9" t="s">
        <v>1489</v>
      </c>
    </row>
    <row r="914" spans="1:11" ht="12.5" customHeight="1" x14ac:dyDescent="0.25">
      <c r="A914" s="5" t="s">
        <v>3173</v>
      </c>
      <c r="B914" s="6" t="s">
        <v>2782</v>
      </c>
      <c r="C914" s="6" t="s">
        <v>3133</v>
      </c>
      <c r="D914" s="6" t="s">
        <v>3134</v>
      </c>
      <c r="E914" s="6" t="s">
        <v>3174</v>
      </c>
      <c r="F914" s="6" t="s">
        <v>3175</v>
      </c>
      <c r="G914" s="9" t="s">
        <v>3176</v>
      </c>
      <c r="H914" s="9" t="s">
        <v>18</v>
      </c>
      <c r="I914" s="16" t="str">
        <f>VLOOKUP(F914,[1]完整分类结果!$E:$G,3,0)</f>
        <v>服装及其他纤维制品制造业</v>
      </c>
      <c r="J914" s="16">
        <f>VLOOKUP(I914,[2]行业排放因子!$A:$B,2,0)</f>
        <v>0.72252850402396196</v>
      </c>
      <c r="K914" s="9" t="s">
        <v>1489</v>
      </c>
    </row>
    <row r="915" spans="1:11" ht="12.5" customHeight="1" x14ac:dyDescent="0.25">
      <c r="A915" s="5" t="s">
        <v>3177</v>
      </c>
      <c r="B915" s="6" t="s">
        <v>2782</v>
      </c>
      <c r="C915" s="6" t="s">
        <v>3133</v>
      </c>
      <c r="D915" s="6" t="s">
        <v>3134</v>
      </c>
      <c r="E915" s="6" t="s">
        <v>3178</v>
      </c>
      <c r="F915" s="6" t="s">
        <v>3179</v>
      </c>
      <c r="G915" s="9" t="s">
        <v>3176</v>
      </c>
      <c r="H915" s="9" t="s">
        <v>18</v>
      </c>
      <c r="I915" s="16" t="str">
        <f>VLOOKUP(F915,[1]完整分类结果!$E:$G,3,0)</f>
        <v>服装及其他纤维制品制造业</v>
      </c>
      <c r="J915" s="16">
        <f>VLOOKUP(I915,[2]行业排放因子!$A:$B,2,0)</f>
        <v>0.72252850402396196</v>
      </c>
      <c r="K915" s="9" t="s">
        <v>1489</v>
      </c>
    </row>
    <row r="916" spans="1:11" ht="12.5" customHeight="1" x14ac:dyDescent="0.25">
      <c r="A916" s="5" t="s">
        <v>3180</v>
      </c>
      <c r="B916" s="6" t="s">
        <v>2782</v>
      </c>
      <c r="C916" s="6" t="s">
        <v>3133</v>
      </c>
      <c r="D916" s="6" t="s">
        <v>3134</v>
      </c>
      <c r="E916" s="6" t="s">
        <v>3181</v>
      </c>
      <c r="F916" s="6" t="s">
        <v>3182</v>
      </c>
      <c r="G916" s="9" t="s">
        <v>3183</v>
      </c>
      <c r="H916" s="9" t="s">
        <v>18</v>
      </c>
      <c r="I916" s="16" t="str">
        <f>VLOOKUP(F916,[1]完整分类结果!$E:$G,3,0)</f>
        <v>服装及其他纤维制品制造业</v>
      </c>
      <c r="J916" s="16">
        <f>VLOOKUP(I916,[2]行业排放因子!$A:$B,2,0)</f>
        <v>0.72252850402396196</v>
      </c>
      <c r="K916" s="9" t="s">
        <v>1489</v>
      </c>
    </row>
    <row r="917" spans="1:11" ht="12.5" customHeight="1" x14ac:dyDescent="0.25">
      <c r="A917" s="5" t="s">
        <v>3184</v>
      </c>
      <c r="B917" s="6" t="s">
        <v>2782</v>
      </c>
      <c r="C917" s="6" t="s">
        <v>3133</v>
      </c>
      <c r="D917" s="6" t="s">
        <v>3134</v>
      </c>
      <c r="E917" s="6" t="s">
        <v>3185</v>
      </c>
      <c r="F917" s="6" t="s">
        <v>3186</v>
      </c>
      <c r="G917" s="9" t="s">
        <v>3183</v>
      </c>
      <c r="H917" s="9" t="s">
        <v>18</v>
      </c>
      <c r="I917" s="16" t="str">
        <f>VLOOKUP(F917,[1]完整分类结果!$E:$G,3,0)</f>
        <v>服装及其他纤维制品制造业</v>
      </c>
      <c r="J917" s="16">
        <f>VLOOKUP(I917,[2]行业排放因子!$A:$B,2,0)</f>
        <v>0.72252850402396196</v>
      </c>
      <c r="K917" s="9" t="s">
        <v>1489</v>
      </c>
    </row>
    <row r="918" spans="1:11" ht="12.5" customHeight="1" x14ac:dyDescent="0.25">
      <c r="A918" s="5" t="s">
        <v>3187</v>
      </c>
      <c r="B918" s="6" t="s">
        <v>2782</v>
      </c>
      <c r="C918" s="6" t="s">
        <v>3133</v>
      </c>
      <c r="D918" s="6" t="s">
        <v>3134</v>
      </c>
      <c r="E918" s="6" t="s">
        <v>3188</v>
      </c>
      <c r="F918" s="6" t="s">
        <v>3189</v>
      </c>
      <c r="G918" s="9"/>
      <c r="H918" s="9" t="s">
        <v>18</v>
      </c>
      <c r="I918" s="16" t="str">
        <f>VLOOKUP(F918,[1]完整分类结果!$E:$G,3,0)</f>
        <v>服装及其他纤维制品制造业</v>
      </c>
      <c r="J918" s="16">
        <f>VLOOKUP(I918,[2]行业排放因子!$A:$B,2,0)</f>
        <v>0.72252850402396196</v>
      </c>
      <c r="K918" s="9" t="s">
        <v>1489</v>
      </c>
    </row>
    <row r="919" spans="1:11" ht="12.5" customHeight="1" x14ac:dyDescent="0.25">
      <c r="A919" s="5" t="s">
        <v>3190</v>
      </c>
      <c r="B919" s="6" t="s">
        <v>2782</v>
      </c>
      <c r="C919" s="6" t="s">
        <v>3133</v>
      </c>
      <c r="D919" s="6" t="s">
        <v>3134</v>
      </c>
      <c r="E919" s="6" t="s">
        <v>3191</v>
      </c>
      <c r="F919" s="6" t="s">
        <v>3192</v>
      </c>
      <c r="G919" s="9" t="s">
        <v>3193</v>
      </c>
      <c r="H919" s="9" t="s">
        <v>18</v>
      </c>
      <c r="I919" s="16" t="str">
        <f>VLOOKUP(F919,[1]完整分类结果!$E:$G,3,0)</f>
        <v>服装及其他纤维制品制造业</v>
      </c>
      <c r="J919" s="16">
        <f>VLOOKUP(I919,[2]行业排放因子!$A:$B,2,0)</f>
        <v>0.72252850402396196</v>
      </c>
      <c r="K919" s="9" t="s">
        <v>1489</v>
      </c>
    </row>
    <row r="920" spans="1:11" ht="12.5" customHeight="1" x14ac:dyDescent="0.25">
      <c r="A920" s="5" t="s">
        <v>3194</v>
      </c>
      <c r="B920" s="6" t="s">
        <v>2782</v>
      </c>
      <c r="C920" s="6" t="s">
        <v>3133</v>
      </c>
      <c r="D920" s="6" t="s">
        <v>3134</v>
      </c>
      <c r="E920" s="6" t="s">
        <v>3195</v>
      </c>
      <c r="F920" s="6" t="s">
        <v>3196</v>
      </c>
      <c r="G920" s="9" t="s">
        <v>3197</v>
      </c>
      <c r="H920" s="9" t="s">
        <v>18</v>
      </c>
      <c r="I920" s="16" t="str">
        <f>VLOOKUP(F920,[1]完整分类结果!$E:$G,3,0)</f>
        <v>服装及其他纤维制品制造业</v>
      </c>
      <c r="J920" s="16">
        <f>VLOOKUP(I920,[2]行业排放因子!$A:$B,2,0)</f>
        <v>0.72252850402396196</v>
      </c>
      <c r="K920" s="9" t="s">
        <v>1489</v>
      </c>
    </row>
    <row r="921" spans="1:11" ht="12.5" customHeight="1" x14ac:dyDescent="0.25">
      <c r="A921" s="5" t="s">
        <v>3198</v>
      </c>
      <c r="B921" s="6" t="s">
        <v>2782</v>
      </c>
      <c r="C921" s="6" t="s">
        <v>3133</v>
      </c>
      <c r="D921" s="6" t="s">
        <v>3134</v>
      </c>
      <c r="E921" s="6" t="s">
        <v>3199</v>
      </c>
      <c r="F921" s="6" t="s">
        <v>3200</v>
      </c>
      <c r="G921" s="9" t="s">
        <v>3201</v>
      </c>
      <c r="H921" s="9" t="s">
        <v>18</v>
      </c>
      <c r="I921" s="16" t="str">
        <f>VLOOKUP(F921,[1]完整分类结果!$E:$G,3,0)</f>
        <v>服装及其他纤维制品制造业</v>
      </c>
      <c r="J921" s="16">
        <f>VLOOKUP(I921,[2]行业排放因子!$A:$B,2,0)</f>
        <v>0.72252850402396196</v>
      </c>
      <c r="K921" s="9" t="s">
        <v>1489</v>
      </c>
    </row>
    <row r="922" spans="1:11" ht="12.5" customHeight="1" x14ac:dyDescent="0.25">
      <c r="A922" s="5" t="s">
        <v>3202</v>
      </c>
      <c r="B922" s="6" t="s">
        <v>2782</v>
      </c>
      <c r="C922" s="6" t="s">
        <v>3133</v>
      </c>
      <c r="D922" s="6" t="s">
        <v>3134</v>
      </c>
      <c r="E922" s="6" t="s">
        <v>3203</v>
      </c>
      <c r="F922" s="6" t="s">
        <v>3204</v>
      </c>
      <c r="G922" s="9" t="s">
        <v>3205</v>
      </c>
      <c r="H922" s="9" t="s">
        <v>18</v>
      </c>
      <c r="I922" s="16" t="str">
        <f>VLOOKUP(F922,[1]完整分类结果!$E:$G,3,0)</f>
        <v>服装及其他纤维制品制造业</v>
      </c>
      <c r="J922" s="16">
        <f>VLOOKUP(I922,[2]行业排放因子!$A:$B,2,0)</f>
        <v>0.72252850402396196</v>
      </c>
      <c r="K922" s="9" t="s">
        <v>1489</v>
      </c>
    </row>
    <row r="923" spans="1:11" ht="12.5" customHeight="1" x14ac:dyDescent="0.25">
      <c r="A923" s="5" t="s">
        <v>3206</v>
      </c>
      <c r="B923" s="6" t="s">
        <v>2782</v>
      </c>
      <c r="C923" s="6" t="s">
        <v>3133</v>
      </c>
      <c r="D923" s="6" t="s">
        <v>3134</v>
      </c>
      <c r="E923" s="6" t="s">
        <v>3207</v>
      </c>
      <c r="F923" s="6" t="s">
        <v>3208</v>
      </c>
      <c r="G923" s="9"/>
      <c r="H923" s="9" t="s">
        <v>18</v>
      </c>
      <c r="I923" s="16" t="str">
        <f>VLOOKUP(F923,[1]完整分类结果!$E:$G,3,0)</f>
        <v>服装及其他纤维制品制造业</v>
      </c>
      <c r="J923" s="16">
        <f>VLOOKUP(I923,[2]行业排放因子!$A:$B,2,0)</f>
        <v>0.72252850402396196</v>
      </c>
      <c r="K923" s="9" t="s">
        <v>1489</v>
      </c>
    </row>
    <row r="924" spans="1:11" ht="12.5" customHeight="1" x14ac:dyDescent="0.25">
      <c r="A924" s="5" t="s">
        <v>3209</v>
      </c>
      <c r="B924" s="6" t="s">
        <v>2782</v>
      </c>
      <c r="C924" s="6" t="s">
        <v>3133</v>
      </c>
      <c r="D924" s="6" t="s">
        <v>3134</v>
      </c>
      <c r="E924" s="6" t="s">
        <v>3210</v>
      </c>
      <c r="F924" s="6" t="s">
        <v>3211</v>
      </c>
      <c r="G924" s="9"/>
      <c r="H924" s="9" t="s">
        <v>18</v>
      </c>
      <c r="I924" s="16" t="str">
        <f>VLOOKUP(F924,[1]完整分类结果!$E:$G,3,0)</f>
        <v>服装及其他纤维制品制造业</v>
      </c>
      <c r="J924" s="16">
        <f>VLOOKUP(I924,[2]行业排放因子!$A:$B,2,0)</f>
        <v>0.72252850402396196</v>
      </c>
      <c r="K924" s="9" t="s">
        <v>1489</v>
      </c>
    </row>
    <row r="925" spans="1:11" ht="12.5" customHeight="1" x14ac:dyDescent="0.25">
      <c r="A925" s="5" t="s">
        <v>3212</v>
      </c>
      <c r="B925" s="6" t="s">
        <v>2782</v>
      </c>
      <c r="C925" s="6" t="s">
        <v>3133</v>
      </c>
      <c r="D925" s="6" t="s">
        <v>3134</v>
      </c>
      <c r="E925" s="6" t="s">
        <v>3213</v>
      </c>
      <c r="F925" s="6" t="s">
        <v>3214</v>
      </c>
      <c r="G925" s="9" t="s">
        <v>3215</v>
      </c>
      <c r="H925" s="9" t="s">
        <v>18</v>
      </c>
      <c r="I925" s="16" t="str">
        <f>VLOOKUP(F925,[1]完整分类结果!$E:$G,3,0)</f>
        <v>服装及其他纤维制品制造业</v>
      </c>
      <c r="J925" s="16">
        <f>VLOOKUP(I925,[2]行业排放因子!$A:$B,2,0)</f>
        <v>0.72252850402396196</v>
      </c>
      <c r="K925" s="9" t="s">
        <v>1489</v>
      </c>
    </row>
    <row r="926" spans="1:11" ht="12.5" customHeight="1" x14ac:dyDescent="0.25">
      <c r="A926" s="5" t="s">
        <v>3216</v>
      </c>
      <c r="B926" s="6" t="s">
        <v>2782</v>
      </c>
      <c r="C926" s="6" t="s">
        <v>3133</v>
      </c>
      <c r="D926" s="6" t="s">
        <v>3134</v>
      </c>
      <c r="E926" s="6" t="s">
        <v>3217</v>
      </c>
      <c r="F926" s="6" t="s">
        <v>3218</v>
      </c>
      <c r="G926" s="9" t="s">
        <v>3219</v>
      </c>
      <c r="H926" s="9" t="s">
        <v>18</v>
      </c>
      <c r="I926" s="16" t="str">
        <f>VLOOKUP(F926,[1]完整分类结果!$E:$G,3,0)</f>
        <v>服装及其他纤维制品制造业</v>
      </c>
      <c r="J926" s="16">
        <f>VLOOKUP(I926,[2]行业排放因子!$A:$B,2,0)</f>
        <v>0.72252850402396196</v>
      </c>
      <c r="K926" s="9" t="s">
        <v>1489</v>
      </c>
    </row>
    <row r="927" spans="1:11" ht="12.5" customHeight="1" x14ac:dyDescent="0.25">
      <c r="A927" s="5" t="s">
        <v>3220</v>
      </c>
      <c r="B927" s="6" t="s">
        <v>2782</v>
      </c>
      <c r="C927" s="6" t="s">
        <v>3133</v>
      </c>
      <c r="D927" s="6" t="s">
        <v>3134</v>
      </c>
      <c r="E927" s="6" t="s">
        <v>3221</v>
      </c>
      <c r="F927" s="6" t="s">
        <v>3222</v>
      </c>
      <c r="G927" s="9" t="s">
        <v>3223</v>
      </c>
      <c r="H927" s="9" t="s">
        <v>18</v>
      </c>
      <c r="I927" s="16" t="str">
        <f>VLOOKUP(F927,[1]完整分类结果!$E:$G,3,0)</f>
        <v>服装及其他纤维制品制造业</v>
      </c>
      <c r="J927" s="16">
        <f>VLOOKUP(I927,[2]行业排放因子!$A:$B,2,0)</f>
        <v>0.72252850402396196</v>
      </c>
      <c r="K927" s="9" t="s">
        <v>1489</v>
      </c>
    </row>
    <row r="928" spans="1:11" ht="12.5" customHeight="1" x14ac:dyDescent="0.25">
      <c r="A928" s="5" t="s">
        <v>3224</v>
      </c>
      <c r="B928" s="6" t="s">
        <v>2782</v>
      </c>
      <c r="C928" s="6" t="s">
        <v>3133</v>
      </c>
      <c r="D928" s="6" t="s">
        <v>3134</v>
      </c>
      <c r="E928" s="6" t="s">
        <v>3225</v>
      </c>
      <c r="F928" s="6" t="s">
        <v>3226</v>
      </c>
      <c r="G928" s="9" t="s">
        <v>3227</v>
      </c>
      <c r="H928" s="9" t="s">
        <v>18</v>
      </c>
      <c r="I928" s="16" t="str">
        <f>VLOOKUP(F928,[1]完整分类结果!$E:$G,3,0)</f>
        <v>服装及其他纤维制品制造业</v>
      </c>
      <c r="J928" s="16">
        <f>VLOOKUP(I928,[2]行业排放因子!$A:$B,2,0)</f>
        <v>0.72252850402396196</v>
      </c>
      <c r="K928" s="9" t="s">
        <v>1489</v>
      </c>
    </row>
    <row r="929" spans="1:11" ht="12.5" customHeight="1" x14ac:dyDescent="0.25">
      <c r="A929" s="5" t="s">
        <v>3228</v>
      </c>
      <c r="B929" s="6" t="s">
        <v>2782</v>
      </c>
      <c r="C929" s="6" t="s">
        <v>3133</v>
      </c>
      <c r="D929" s="6" t="s">
        <v>3134</v>
      </c>
      <c r="E929" s="6" t="s">
        <v>3229</v>
      </c>
      <c r="F929" s="6" t="s">
        <v>3230</v>
      </c>
      <c r="G929" s="9"/>
      <c r="H929" s="9" t="s">
        <v>18</v>
      </c>
      <c r="I929" s="16" t="str">
        <f>VLOOKUP(F929,[1]完整分类结果!$E:$G,3,0)</f>
        <v>服装及其他纤维制品制造业</v>
      </c>
      <c r="J929" s="16">
        <f>VLOOKUP(I929,[2]行业排放因子!$A:$B,2,0)</f>
        <v>0.72252850402396196</v>
      </c>
      <c r="K929" s="9" t="s">
        <v>1489</v>
      </c>
    </row>
    <row r="930" spans="1:11" ht="12.5" customHeight="1" x14ac:dyDescent="0.25">
      <c r="A930" s="5" t="s">
        <v>3231</v>
      </c>
      <c r="B930" s="6" t="s">
        <v>2782</v>
      </c>
      <c r="C930" s="6" t="s">
        <v>3133</v>
      </c>
      <c r="D930" s="6" t="s">
        <v>3134</v>
      </c>
      <c r="E930" s="6" t="s">
        <v>3232</v>
      </c>
      <c r="F930" s="6" t="s">
        <v>3233</v>
      </c>
      <c r="G930" s="9" t="s">
        <v>3234</v>
      </c>
      <c r="H930" s="9" t="s">
        <v>18</v>
      </c>
      <c r="I930" s="16" t="str">
        <f>VLOOKUP(F930,[1]完整分类结果!$E:$G,3,0)</f>
        <v>服装及其他纤维制品制造业</v>
      </c>
      <c r="J930" s="16">
        <f>VLOOKUP(I930,[2]行业排放因子!$A:$B,2,0)</f>
        <v>0.72252850402396196</v>
      </c>
      <c r="K930" s="9" t="s">
        <v>1489</v>
      </c>
    </row>
    <row r="931" spans="1:11" ht="12.5" customHeight="1" x14ac:dyDescent="0.25">
      <c r="A931" s="5" t="s">
        <v>3235</v>
      </c>
      <c r="B931" s="6" t="s">
        <v>2782</v>
      </c>
      <c r="C931" s="6" t="s">
        <v>3133</v>
      </c>
      <c r="D931" s="6" t="s">
        <v>3134</v>
      </c>
      <c r="E931" s="6" t="s">
        <v>3236</v>
      </c>
      <c r="F931" s="6" t="s">
        <v>3237</v>
      </c>
      <c r="G931" s="9" t="s">
        <v>3238</v>
      </c>
      <c r="H931" s="9" t="s">
        <v>18</v>
      </c>
      <c r="I931" s="16" t="str">
        <f>VLOOKUP(F931,[1]完整分类结果!$E:$G,3,0)</f>
        <v>服装及其他纤维制品制造业</v>
      </c>
      <c r="J931" s="16">
        <f>VLOOKUP(I931,[2]行业排放因子!$A:$B,2,0)</f>
        <v>0.72252850402396196</v>
      </c>
      <c r="K931" s="9" t="s">
        <v>1489</v>
      </c>
    </row>
    <row r="932" spans="1:11" ht="12.5" customHeight="1" x14ac:dyDescent="0.25">
      <c r="A932" s="5" t="s">
        <v>3239</v>
      </c>
      <c r="B932" s="6" t="s">
        <v>2782</v>
      </c>
      <c r="C932" s="6" t="s">
        <v>3133</v>
      </c>
      <c r="D932" s="6" t="s">
        <v>3134</v>
      </c>
      <c r="E932" s="6" t="s">
        <v>3240</v>
      </c>
      <c r="F932" s="6" t="s">
        <v>3241</v>
      </c>
      <c r="G932" s="9" t="s">
        <v>3242</v>
      </c>
      <c r="H932" s="9" t="s">
        <v>18</v>
      </c>
      <c r="I932" s="16" t="str">
        <f>VLOOKUP(F932,[1]完整分类结果!$E:$G,3,0)</f>
        <v>服装及其他纤维制品制造业</v>
      </c>
      <c r="J932" s="16">
        <f>VLOOKUP(I932,[2]行业排放因子!$A:$B,2,0)</f>
        <v>0.72252850402396196</v>
      </c>
      <c r="K932" s="9" t="s">
        <v>1489</v>
      </c>
    </row>
    <row r="933" spans="1:11" ht="12.5" customHeight="1" x14ac:dyDescent="0.25">
      <c r="A933" s="5" t="s">
        <v>3243</v>
      </c>
      <c r="B933" s="6" t="s">
        <v>2782</v>
      </c>
      <c r="C933" s="6" t="s">
        <v>3133</v>
      </c>
      <c r="D933" s="6" t="s">
        <v>3134</v>
      </c>
      <c r="E933" s="6" t="s">
        <v>3244</v>
      </c>
      <c r="F933" s="6" t="s">
        <v>3245</v>
      </c>
      <c r="G933" s="9" t="s">
        <v>3246</v>
      </c>
      <c r="H933" s="9" t="s">
        <v>18</v>
      </c>
      <c r="I933" s="16" t="str">
        <f>VLOOKUP(F933,[1]完整分类结果!$E:$G,3,0)</f>
        <v>服装及其他纤维制品制造业</v>
      </c>
      <c r="J933" s="16">
        <f>VLOOKUP(I933,[2]行业排放因子!$A:$B,2,0)</f>
        <v>0.72252850402396196</v>
      </c>
      <c r="K933" s="9" t="s">
        <v>1489</v>
      </c>
    </row>
    <row r="934" spans="1:11" ht="12.5" customHeight="1" x14ac:dyDescent="0.25">
      <c r="A934" s="5" t="s">
        <v>3247</v>
      </c>
      <c r="B934" s="6" t="s">
        <v>2782</v>
      </c>
      <c r="C934" s="6" t="s">
        <v>3133</v>
      </c>
      <c r="D934" s="6" t="s">
        <v>3248</v>
      </c>
      <c r="E934" s="6" t="s">
        <v>3249</v>
      </c>
      <c r="F934" s="6" t="s">
        <v>3250</v>
      </c>
      <c r="G934" s="9" t="s">
        <v>3251</v>
      </c>
      <c r="H934" s="9" t="s">
        <v>18</v>
      </c>
      <c r="I934" s="16" t="str">
        <f>VLOOKUP(F934,[1]完整分类结果!$E:$G,3,0)</f>
        <v>纺织业</v>
      </c>
      <c r="J934" s="16">
        <f>VLOOKUP(I934,[2]行业排放因子!$A:$B,2,0)</f>
        <v>7.8572897061762799</v>
      </c>
      <c r="K934" s="9" t="s">
        <v>1489</v>
      </c>
    </row>
    <row r="935" spans="1:11" ht="12.5" customHeight="1" x14ac:dyDescent="0.25">
      <c r="A935" s="5" t="s">
        <v>3252</v>
      </c>
      <c r="B935" s="6" t="s">
        <v>2782</v>
      </c>
      <c r="C935" s="6" t="s">
        <v>3133</v>
      </c>
      <c r="D935" s="6" t="s">
        <v>3248</v>
      </c>
      <c r="E935" s="6" t="s">
        <v>3253</v>
      </c>
      <c r="F935" s="6" t="s">
        <v>3254</v>
      </c>
      <c r="G935" s="9" t="s">
        <v>3255</v>
      </c>
      <c r="H935" s="9" t="s">
        <v>18</v>
      </c>
      <c r="I935" s="16" t="str">
        <f>VLOOKUP(F935,[1]完整分类结果!$E:$G,3,0)</f>
        <v>纺织业</v>
      </c>
      <c r="J935" s="16">
        <f>VLOOKUP(I935,[2]行业排放因子!$A:$B,2,0)</f>
        <v>7.8572897061762799</v>
      </c>
      <c r="K935" s="9" t="s">
        <v>1489</v>
      </c>
    </row>
    <row r="936" spans="1:11" ht="12.5" customHeight="1" x14ac:dyDescent="0.25">
      <c r="A936" s="5" t="s">
        <v>3256</v>
      </c>
      <c r="B936" s="6" t="s">
        <v>2782</v>
      </c>
      <c r="C936" s="6" t="s">
        <v>3133</v>
      </c>
      <c r="D936" s="6" t="s">
        <v>3248</v>
      </c>
      <c r="E936" s="6" t="s">
        <v>3257</v>
      </c>
      <c r="F936" s="6" t="s">
        <v>3258</v>
      </c>
      <c r="G936" s="9" t="s">
        <v>3259</v>
      </c>
      <c r="H936" s="9" t="s">
        <v>18</v>
      </c>
      <c r="I936" s="16" t="str">
        <f>VLOOKUP(F936,[1]完整分类结果!$E:$G,3,0)</f>
        <v>纺织业</v>
      </c>
      <c r="J936" s="16">
        <f>VLOOKUP(I936,[2]行业排放因子!$A:$B,2,0)</f>
        <v>7.8572897061762799</v>
      </c>
      <c r="K936" s="9" t="s">
        <v>1489</v>
      </c>
    </row>
    <row r="937" spans="1:11" ht="12.5" customHeight="1" x14ac:dyDescent="0.25">
      <c r="A937" s="5" t="s">
        <v>3260</v>
      </c>
      <c r="B937" s="6" t="s">
        <v>2782</v>
      </c>
      <c r="C937" s="6" t="s">
        <v>3133</v>
      </c>
      <c r="D937" s="6" t="s">
        <v>3248</v>
      </c>
      <c r="E937" s="6" t="s">
        <v>3261</v>
      </c>
      <c r="F937" s="6" t="s">
        <v>3262</v>
      </c>
      <c r="G937" s="9" t="s">
        <v>3263</v>
      </c>
      <c r="H937" s="9" t="s">
        <v>18</v>
      </c>
      <c r="I937" s="16" t="str">
        <f>VLOOKUP(F937,[1]完整分类结果!$E:$G,3,0)</f>
        <v>纺织业</v>
      </c>
      <c r="J937" s="16">
        <f>VLOOKUP(I937,[2]行业排放因子!$A:$B,2,0)</f>
        <v>7.8572897061762799</v>
      </c>
      <c r="K937" s="9" t="s">
        <v>1489</v>
      </c>
    </row>
    <row r="938" spans="1:11" ht="12.5" customHeight="1" x14ac:dyDescent="0.25">
      <c r="A938" s="5" t="s">
        <v>3264</v>
      </c>
      <c r="B938" s="6" t="s">
        <v>2782</v>
      </c>
      <c r="C938" s="6" t="s">
        <v>3133</v>
      </c>
      <c r="D938" s="6" t="s">
        <v>3248</v>
      </c>
      <c r="E938" s="6" t="s">
        <v>3265</v>
      </c>
      <c r="F938" s="6" t="s">
        <v>3266</v>
      </c>
      <c r="G938" s="9" t="s">
        <v>3267</v>
      </c>
      <c r="H938" s="9" t="s">
        <v>18</v>
      </c>
      <c r="I938" s="16" t="str">
        <f>VLOOKUP(F938,[1]完整分类结果!$E:$G,3,0)</f>
        <v>纺织业</v>
      </c>
      <c r="J938" s="16">
        <f>VLOOKUP(I938,[2]行业排放因子!$A:$B,2,0)</f>
        <v>7.8572897061762799</v>
      </c>
      <c r="K938" s="9" t="s">
        <v>1489</v>
      </c>
    </row>
    <row r="939" spans="1:11" ht="12.5" customHeight="1" x14ac:dyDescent="0.25">
      <c r="A939" s="5" t="s">
        <v>3268</v>
      </c>
      <c r="B939" s="6" t="s">
        <v>2782</v>
      </c>
      <c r="C939" s="6" t="s">
        <v>3133</v>
      </c>
      <c r="D939" s="6" t="s">
        <v>3248</v>
      </c>
      <c r="E939" s="6" t="s">
        <v>3269</v>
      </c>
      <c r="F939" s="6" t="s">
        <v>3270</v>
      </c>
      <c r="G939" s="9" t="s">
        <v>3271</v>
      </c>
      <c r="H939" s="9" t="s">
        <v>18</v>
      </c>
      <c r="I939" s="16" t="str">
        <f>VLOOKUP(F939,[1]完整分类结果!$E:$G,3,0)</f>
        <v>纺织业</v>
      </c>
      <c r="J939" s="16">
        <f>VLOOKUP(I939,[2]行业排放因子!$A:$B,2,0)</f>
        <v>7.8572897061762799</v>
      </c>
      <c r="K939" s="9" t="s">
        <v>1489</v>
      </c>
    </row>
    <row r="940" spans="1:11" ht="12.5" customHeight="1" x14ac:dyDescent="0.25">
      <c r="A940" s="5" t="s">
        <v>3272</v>
      </c>
      <c r="B940" s="6" t="s">
        <v>2782</v>
      </c>
      <c r="C940" s="6" t="s">
        <v>3133</v>
      </c>
      <c r="D940" s="6" t="s">
        <v>3248</v>
      </c>
      <c r="E940" s="6" t="s">
        <v>3273</v>
      </c>
      <c r="F940" s="6" t="s">
        <v>3274</v>
      </c>
      <c r="G940" s="9" t="s">
        <v>3275</v>
      </c>
      <c r="H940" s="9" t="s">
        <v>18</v>
      </c>
      <c r="I940" s="16" t="str">
        <f>VLOOKUP(F940,[1]完整分类结果!$E:$G,3,0)</f>
        <v>纺织业</v>
      </c>
      <c r="J940" s="16">
        <f>VLOOKUP(I940,[2]行业排放因子!$A:$B,2,0)</f>
        <v>7.8572897061762799</v>
      </c>
      <c r="K940" s="9" t="s">
        <v>1489</v>
      </c>
    </row>
    <row r="941" spans="1:11" ht="12.5" customHeight="1" x14ac:dyDescent="0.25">
      <c r="A941" s="5" t="s">
        <v>3276</v>
      </c>
      <c r="B941" s="6" t="s">
        <v>2782</v>
      </c>
      <c r="C941" s="6" t="s">
        <v>3133</v>
      </c>
      <c r="D941" s="6" t="s">
        <v>3248</v>
      </c>
      <c r="E941" s="6" t="s">
        <v>3277</v>
      </c>
      <c r="F941" s="6" t="s">
        <v>3278</v>
      </c>
      <c r="G941" s="9"/>
      <c r="H941" s="9" t="s">
        <v>18</v>
      </c>
      <c r="I941" s="16" t="str">
        <f>VLOOKUP(F941,[1]完整分类结果!$E:$G,3,0)</f>
        <v>纺织业</v>
      </c>
      <c r="J941" s="16">
        <f>VLOOKUP(I941,[2]行业排放因子!$A:$B,2,0)</f>
        <v>7.8572897061762799</v>
      </c>
      <c r="K941" s="9" t="s">
        <v>1489</v>
      </c>
    </row>
    <row r="942" spans="1:11" ht="12.5" customHeight="1" x14ac:dyDescent="0.25">
      <c r="A942" s="5" t="s">
        <v>3279</v>
      </c>
      <c r="B942" s="6" t="s">
        <v>2782</v>
      </c>
      <c r="C942" s="6" t="s">
        <v>3133</v>
      </c>
      <c r="D942" s="6" t="s">
        <v>3280</v>
      </c>
      <c r="E942" s="6" t="s">
        <v>3281</v>
      </c>
      <c r="F942" s="6" t="s">
        <v>3280</v>
      </c>
      <c r="G942" s="9" t="s">
        <v>3282</v>
      </c>
      <c r="H942" s="9" t="s">
        <v>18</v>
      </c>
      <c r="I942" s="16" t="str">
        <f>VLOOKUP(F942,[1]完整分类结果!$E:$G,3,0)</f>
        <v>纺织业</v>
      </c>
      <c r="J942" s="16">
        <f>VLOOKUP(I942,[2]行业排放因子!$A:$B,2,0)</f>
        <v>7.8572897061762799</v>
      </c>
      <c r="K942" s="9" t="s">
        <v>1489</v>
      </c>
    </row>
    <row r="943" spans="1:11" ht="12.5" customHeight="1" x14ac:dyDescent="0.25">
      <c r="A943" s="5" t="s">
        <v>3283</v>
      </c>
      <c r="B943" s="6" t="s">
        <v>2782</v>
      </c>
      <c r="C943" s="6" t="s">
        <v>3133</v>
      </c>
      <c r="D943" s="6" t="s">
        <v>3280</v>
      </c>
      <c r="E943" s="6" t="s">
        <v>3284</v>
      </c>
      <c r="F943" s="6" t="s">
        <v>3285</v>
      </c>
      <c r="G943" s="9" t="s">
        <v>3286</v>
      </c>
      <c r="H943" s="9" t="s">
        <v>18</v>
      </c>
      <c r="I943" s="16" t="str">
        <f>VLOOKUP(F943,[1]完整分类结果!$E:$G,3,0)</f>
        <v>纺织业</v>
      </c>
      <c r="J943" s="16">
        <f>VLOOKUP(I943,[2]行业排放因子!$A:$B,2,0)</f>
        <v>7.8572897061762799</v>
      </c>
      <c r="K943" s="9" t="s">
        <v>1489</v>
      </c>
    </row>
    <row r="944" spans="1:11" ht="12.5" customHeight="1" x14ac:dyDescent="0.25">
      <c r="A944" s="5" t="s">
        <v>3287</v>
      </c>
      <c r="B944" s="6" t="s">
        <v>2782</v>
      </c>
      <c r="C944" s="6" t="s">
        <v>3288</v>
      </c>
      <c r="D944" s="6" t="s">
        <v>3289</v>
      </c>
      <c r="E944" s="6" t="s">
        <v>3290</v>
      </c>
      <c r="F944" s="6" t="s">
        <v>3291</v>
      </c>
      <c r="G944" s="9" t="s">
        <v>3292</v>
      </c>
      <c r="H944" s="9" t="s">
        <v>18</v>
      </c>
      <c r="I944" s="16" t="str">
        <f>VLOOKUP(F944,[1]完整分类结果!$E:$G,3,0)</f>
        <v>纺织业</v>
      </c>
      <c r="J944" s="16">
        <f>VLOOKUP(I944,[2]行业排放因子!$A:$B,2,0)</f>
        <v>7.8572897061762799</v>
      </c>
      <c r="K944" s="9" t="s">
        <v>1489</v>
      </c>
    </row>
    <row r="945" spans="1:11" ht="12.5" customHeight="1" x14ac:dyDescent="0.25">
      <c r="A945" s="5" t="s">
        <v>3293</v>
      </c>
      <c r="B945" s="6" t="s">
        <v>2782</v>
      </c>
      <c r="C945" s="6" t="s">
        <v>3288</v>
      </c>
      <c r="D945" s="6" t="s">
        <v>3289</v>
      </c>
      <c r="E945" s="6" t="s">
        <v>3294</v>
      </c>
      <c r="F945" s="6" t="s">
        <v>3295</v>
      </c>
      <c r="G945" s="9" t="s">
        <v>3296</v>
      </c>
      <c r="H945" s="9" t="s">
        <v>18</v>
      </c>
      <c r="I945" s="16" t="str">
        <f>VLOOKUP(F945,[1]完整分类结果!$E:$G,3,0)</f>
        <v>纺织业</v>
      </c>
      <c r="J945" s="16">
        <f>VLOOKUP(I945,[2]行业排放因子!$A:$B,2,0)</f>
        <v>7.8572897061762799</v>
      </c>
      <c r="K945" s="9" t="s">
        <v>1489</v>
      </c>
    </row>
    <row r="946" spans="1:11" ht="12.5" customHeight="1" x14ac:dyDescent="0.25">
      <c r="A946" s="5" t="s">
        <v>3297</v>
      </c>
      <c r="B946" s="6" t="s">
        <v>2782</v>
      </c>
      <c r="C946" s="6" t="s">
        <v>3288</v>
      </c>
      <c r="D946" s="6" t="s">
        <v>3289</v>
      </c>
      <c r="E946" s="6" t="s">
        <v>3298</v>
      </c>
      <c r="F946" s="6" t="s">
        <v>3299</v>
      </c>
      <c r="G946" s="9"/>
      <c r="H946" s="9" t="s">
        <v>18</v>
      </c>
      <c r="I946" s="16" t="str">
        <f>VLOOKUP(F946,[1]完整分类结果!$E:$G,3,0)</f>
        <v>纺织业</v>
      </c>
      <c r="J946" s="16">
        <f>VLOOKUP(I946,[2]行业排放因子!$A:$B,2,0)</f>
        <v>7.8572897061762799</v>
      </c>
      <c r="K946" s="9" t="s">
        <v>1489</v>
      </c>
    </row>
    <row r="947" spans="1:11" ht="12.5" customHeight="1" x14ac:dyDescent="0.25">
      <c r="A947" s="5" t="s">
        <v>3300</v>
      </c>
      <c r="B947" s="6" t="s">
        <v>2782</v>
      </c>
      <c r="C947" s="6" t="s">
        <v>3288</v>
      </c>
      <c r="D947" s="6" t="s">
        <v>3289</v>
      </c>
      <c r="E947" s="6" t="s">
        <v>3301</v>
      </c>
      <c r="F947" s="6" t="s">
        <v>3302</v>
      </c>
      <c r="G947" s="9" t="s">
        <v>3303</v>
      </c>
      <c r="H947" s="9" t="s">
        <v>18</v>
      </c>
      <c r="I947" s="16" t="str">
        <f>VLOOKUP(F947,[1]完整分类结果!$E:$G,3,0)</f>
        <v>纺织业</v>
      </c>
      <c r="J947" s="16">
        <f>VLOOKUP(I947,[2]行业排放因子!$A:$B,2,0)</f>
        <v>7.8572897061762799</v>
      </c>
      <c r="K947" s="9" t="s">
        <v>1489</v>
      </c>
    </row>
    <row r="948" spans="1:11" ht="12.5" customHeight="1" x14ac:dyDescent="0.25">
      <c r="A948" s="5" t="s">
        <v>3304</v>
      </c>
      <c r="B948" s="6" t="s">
        <v>2782</v>
      </c>
      <c r="C948" s="6" t="s">
        <v>3288</v>
      </c>
      <c r="D948" s="6" t="s">
        <v>3289</v>
      </c>
      <c r="E948" s="6" t="s">
        <v>3305</v>
      </c>
      <c r="F948" s="6" t="s">
        <v>3306</v>
      </c>
      <c r="G948" s="9" t="s">
        <v>3307</v>
      </c>
      <c r="H948" s="9" t="s">
        <v>18</v>
      </c>
      <c r="I948" s="16" t="str">
        <f>VLOOKUP(F948,[1]完整分类结果!$E:$G,3,0)</f>
        <v>纺织业</v>
      </c>
      <c r="J948" s="16">
        <f>VLOOKUP(I948,[2]行业排放因子!$A:$B,2,0)</f>
        <v>7.8572897061762799</v>
      </c>
      <c r="K948" s="9" t="s">
        <v>1489</v>
      </c>
    </row>
    <row r="949" spans="1:11" ht="12.5" customHeight="1" x14ac:dyDescent="0.25">
      <c r="A949" s="5" t="s">
        <v>3308</v>
      </c>
      <c r="B949" s="6" t="s">
        <v>2782</v>
      </c>
      <c r="C949" s="6" t="s">
        <v>3288</v>
      </c>
      <c r="D949" s="6" t="s">
        <v>3289</v>
      </c>
      <c r="E949" s="6" t="s">
        <v>3309</v>
      </c>
      <c r="F949" s="6" t="s">
        <v>3310</v>
      </c>
      <c r="G949" s="9" t="s">
        <v>3303</v>
      </c>
      <c r="H949" s="9" t="s">
        <v>18</v>
      </c>
      <c r="I949" s="16" t="str">
        <f>VLOOKUP(F949,[1]完整分类结果!$E:$G,3,0)</f>
        <v>纺织业</v>
      </c>
      <c r="J949" s="16">
        <f>VLOOKUP(I949,[2]行业排放因子!$A:$B,2,0)</f>
        <v>7.8572897061762799</v>
      </c>
      <c r="K949" s="9" t="s">
        <v>1489</v>
      </c>
    </row>
    <row r="950" spans="1:11" ht="12.5" customHeight="1" x14ac:dyDescent="0.25">
      <c r="A950" s="5" t="s">
        <v>3311</v>
      </c>
      <c r="B950" s="6" t="s">
        <v>2782</v>
      </c>
      <c r="C950" s="6" t="s">
        <v>3288</v>
      </c>
      <c r="D950" s="6" t="s">
        <v>3289</v>
      </c>
      <c r="E950" s="6" t="s">
        <v>3312</v>
      </c>
      <c r="F950" s="6" t="s">
        <v>3313</v>
      </c>
      <c r="G950" s="9" t="s">
        <v>3303</v>
      </c>
      <c r="H950" s="9" t="s">
        <v>18</v>
      </c>
      <c r="I950" s="16" t="str">
        <f>VLOOKUP(F950,[1]完整分类结果!$E:$G,3,0)</f>
        <v>纺织业</v>
      </c>
      <c r="J950" s="16">
        <f>VLOOKUP(I950,[2]行业排放因子!$A:$B,2,0)</f>
        <v>7.8572897061762799</v>
      </c>
      <c r="K950" s="9" t="s">
        <v>1489</v>
      </c>
    </row>
    <row r="951" spans="1:11" ht="12.5" customHeight="1" x14ac:dyDescent="0.25">
      <c r="A951" s="5" t="s">
        <v>3314</v>
      </c>
      <c r="B951" s="6" t="s">
        <v>2782</v>
      </c>
      <c r="C951" s="6" t="s">
        <v>3288</v>
      </c>
      <c r="D951" s="6" t="s">
        <v>3289</v>
      </c>
      <c r="E951" s="6" t="s">
        <v>3315</v>
      </c>
      <c r="F951" s="6" t="s">
        <v>3316</v>
      </c>
      <c r="G951" s="9"/>
      <c r="H951" s="9" t="s">
        <v>18</v>
      </c>
      <c r="I951" s="16" t="str">
        <f>VLOOKUP(F951,[1]完整分类结果!$E:$G,3,0)</f>
        <v>纺织业</v>
      </c>
      <c r="J951" s="16">
        <f>VLOOKUP(I951,[2]行业排放因子!$A:$B,2,0)</f>
        <v>7.8572897061762799</v>
      </c>
      <c r="K951" s="9" t="s">
        <v>1489</v>
      </c>
    </row>
    <row r="952" spans="1:11" ht="12.5" customHeight="1" x14ac:dyDescent="0.25">
      <c r="A952" s="5" t="s">
        <v>3317</v>
      </c>
      <c r="B952" s="6" t="s">
        <v>2782</v>
      </c>
      <c r="C952" s="6" t="s">
        <v>3288</v>
      </c>
      <c r="D952" s="6" t="s">
        <v>3289</v>
      </c>
      <c r="E952" s="6" t="s">
        <v>3318</v>
      </c>
      <c r="F952" s="6" t="s">
        <v>3319</v>
      </c>
      <c r="G952" s="9" t="s">
        <v>3320</v>
      </c>
      <c r="H952" s="9" t="s">
        <v>18</v>
      </c>
      <c r="I952" s="16" t="str">
        <f>VLOOKUP(F952,[1]完整分类结果!$E:$G,3,0)</f>
        <v>纺织业</v>
      </c>
      <c r="J952" s="16">
        <f>VLOOKUP(I952,[2]行业排放因子!$A:$B,2,0)</f>
        <v>7.8572897061762799</v>
      </c>
      <c r="K952" s="9" t="s">
        <v>1489</v>
      </c>
    </row>
    <row r="953" spans="1:11" ht="12.5" customHeight="1" x14ac:dyDescent="0.25">
      <c r="A953" s="5" t="s">
        <v>3321</v>
      </c>
      <c r="B953" s="6" t="s">
        <v>2782</v>
      </c>
      <c r="C953" s="6" t="s">
        <v>3288</v>
      </c>
      <c r="D953" s="6" t="s">
        <v>3289</v>
      </c>
      <c r="E953" s="6" t="s">
        <v>3322</v>
      </c>
      <c r="F953" s="6" t="s">
        <v>3323</v>
      </c>
      <c r="G953" s="9" t="s">
        <v>3324</v>
      </c>
      <c r="H953" s="9" t="s">
        <v>18</v>
      </c>
      <c r="I953" s="16" t="str">
        <f>VLOOKUP(F953,[1]完整分类结果!$E:$G,3,0)</f>
        <v>纺织业</v>
      </c>
      <c r="J953" s="16">
        <f>VLOOKUP(I953,[2]行业排放因子!$A:$B,2,0)</f>
        <v>7.8572897061762799</v>
      </c>
      <c r="K953" s="9" t="s">
        <v>1489</v>
      </c>
    </row>
    <row r="954" spans="1:11" ht="12.5" customHeight="1" x14ac:dyDescent="0.25">
      <c r="A954" s="5" t="s">
        <v>3325</v>
      </c>
      <c r="B954" s="6" t="s">
        <v>2782</v>
      </c>
      <c r="C954" s="6" t="s">
        <v>3288</v>
      </c>
      <c r="D954" s="6" t="s">
        <v>3289</v>
      </c>
      <c r="E954" s="6" t="s">
        <v>3326</v>
      </c>
      <c r="F954" s="6" t="s">
        <v>3327</v>
      </c>
      <c r="G954" s="9" t="s">
        <v>3328</v>
      </c>
      <c r="H954" s="9" t="s">
        <v>18</v>
      </c>
      <c r="I954" s="16" t="str">
        <f>VLOOKUP(F954,[1]完整分类结果!$E:$G,3,0)</f>
        <v>纺织业</v>
      </c>
      <c r="J954" s="16">
        <f>VLOOKUP(I954,[2]行业排放因子!$A:$B,2,0)</f>
        <v>7.8572897061762799</v>
      </c>
      <c r="K954" s="9" t="s">
        <v>1489</v>
      </c>
    </row>
    <row r="955" spans="1:11" ht="12.5" customHeight="1" x14ac:dyDescent="0.25">
      <c r="A955" s="5" t="s">
        <v>3329</v>
      </c>
      <c r="B955" s="6" t="s">
        <v>2782</v>
      </c>
      <c r="C955" s="6" t="s">
        <v>3288</v>
      </c>
      <c r="D955" s="6" t="s">
        <v>3289</v>
      </c>
      <c r="E955" s="6" t="s">
        <v>3330</v>
      </c>
      <c r="F955" s="6" t="s">
        <v>3331</v>
      </c>
      <c r="G955" s="9" t="s">
        <v>3332</v>
      </c>
      <c r="H955" s="9" t="s">
        <v>18</v>
      </c>
      <c r="I955" s="16" t="str">
        <f>VLOOKUP(F955,[1]完整分类结果!$E:$G,3,0)</f>
        <v>纺织业</v>
      </c>
      <c r="J955" s="16">
        <f>VLOOKUP(I955,[2]行业排放因子!$A:$B,2,0)</f>
        <v>7.8572897061762799</v>
      </c>
      <c r="K955" s="9" t="s">
        <v>1489</v>
      </c>
    </row>
    <row r="956" spans="1:11" ht="12.5" customHeight="1" x14ac:dyDescent="0.25">
      <c r="A956" s="5" t="s">
        <v>3333</v>
      </c>
      <c r="B956" s="6" t="s">
        <v>2782</v>
      </c>
      <c r="C956" s="6" t="s">
        <v>3288</v>
      </c>
      <c r="D956" s="6" t="s">
        <v>3289</v>
      </c>
      <c r="E956" s="6" t="s">
        <v>3334</v>
      </c>
      <c r="F956" s="6" t="s">
        <v>3335</v>
      </c>
      <c r="G956" s="9" t="s">
        <v>3336</v>
      </c>
      <c r="H956" s="9" t="s">
        <v>18</v>
      </c>
      <c r="I956" s="16" t="str">
        <f>VLOOKUP(F956,[1]完整分类结果!$E:$G,3,0)</f>
        <v>纺织业</v>
      </c>
      <c r="J956" s="16">
        <f>VLOOKUP(I956,[2]行业排放因子!$A:$B,2,0)</f>
        <v>7.8572897061762799</v>
      </c>
      <c r="K956" s="9" t="s">
        <v>1489</v>
      </c>
    </row>
    <row r="957" spans="1:11" ht="12.5" customHeight="1" x14ac:dyDescent="0.25">
      <c r="A957" s="5" t="s">
        <v>3337</v>
      </c>
      <c r="B957" s="6" t="s">
        <v>2782</v>
      </c>
      <c r="C957" s="6" t="s">
        <v>3288</v>
      </c>
      <c r="D957" s="6" t="s">
        <v>3289</v>
      </c>
      <c r="E957" s="6" t="s">
        <v>3338</v>
      </c>
      <c r="F957" s="6" t="s">
        <v>3339</v>
      </c>
      <c r="G957" s="9" t="s">
        <v>3340</v>
      </c>
      <c r="H957" s="9" t="s">
        <v>18</v>
      </c>
      <c r="I957" s="16" t="str">
        <f>VLOOKUP(F957,[1]完整分类结果!$E:$G,3,0)</f>
        <v>纺织业</v>
      </c>
      <c r="J957" s="16">
        <f>VLOOKUP(I957,[2]行业排放因子!$A:$B,2,0)</f>
        <v>7.8572897061762799</v>
      </c>
      <c r="K957" s="9" t="s">
        <v>1489</v>
      </c>
    </row>
    <row r="958" spans="1:11" ht="12.5" customHeight="1" x14ac:dyDescent="0.25">
      <c r="A958" s="5" t="s">
        <v>3341</v>
      </c>
      <c r="B958" s="6" t="s">
        <v>2782</v>
      </c>
      <c r="C958" s="6" t="s">
        <v>3288</v>
      </c>
      <c r="D958" s="6" t="s">
        <v>3289</v>
      </c>
      <c r="E958" s="6" t="s">
        <v>3342</v>
      </c>
      <c r="F958" s="6" t="s">
        <v>3343</v>
      </c>
      <c r="G958" s="9" t="s">
        <v>3344</v>
      </c>
      <c r="H958" s="9" t="s">
        <v>18</v>
      </c>
      <c r="I958" s="16" t="str">
        <f>VLOOKUP(F958,[1]完整分类结果!$E:$G,3,0)</f>
        <v>纺织业</v>
      </c>
      <c r="J958" s="16">
        <f>VLOOKUP(I958,[2]行业排放因子!$A:$B,2,0)</f>
        <v>7.8572897061762799</v>
      </c>
      <c r="K958" s="9" t="s">
        <v>1489</v>
      </c>
    </row>
    <row r="959" spans="1:11" ht="12.5" customHeight="1" x14ac:dyDescent="0.25">
      <c r="A959" s="5" t="s">
        <v>3345</v>
      </c>
      <c r="B959" s="6" t="s">
        <v>2782</v>
      </c>
      <c r="C959" s="6" t="s">
        <v>3288</v>
      </c>
      <c r="D959" s="6" t="s">
        <v>3289</v>
      </c>
      <c r="E959" s="6" t="s">
        <v>3346</v>
      </c>
      <c r="F959" s="6" t="s">
        <v>3347</v>
      </c>
      <c r="G959" s="9" t="s">
        <v>3348</v>
      </c>
      <c r="H959" s="9" t="s">
        <v>18</v>
      </c>
      <c r="I959" s="16" t="str">
        <f>VLOOKUP(F959,[1]完整分类结果!$E:$G,3,0)</f>
        <v>纺织业</v>
      </c>
      <c r="J959" s="16">
        <f>VLOOKUP(I959,[2]行业排放因子!$A:$B,2,0)</f>
        <v>7.8572897061762799</v>
      </c>
      <c r="K959" s="9" t="s">
        <v>1489</v>
      </c>
    </row>
    <row r="960" spans="1:11" ht="12.5" customHeight="1" x14ac:dyDescent="0.25">
      <c r="A960" s="5" t="s">
        <v>3349</v>
      </c>
      <c r="B960" s="6" t="s">
        <v>2782</v>
      </c>
      <c r="C960" s="6" t="s">
        <v>3288</v>
      </c>
      <c r="D960" s="6" t="s">
        <v>3289</v>
      </c>
      <c r="E960" s="6" t="s">
        <v>3350</v>
      </c>
      <c r="F960" s="6" t="s">
        <v>3351</v>
      </c>
      <c r="G960" s="9" t="s">
        <v>3352</v>
      </c>
      <c r="H960" s="9" t="s">
        <v>18</v>
      </c>
      <c r="I960" s="16" t="str">
        <f>VLOOKUP(F960,[1]完整分类结果!$E:$G,3,0)</f>
        <v>纺织业</v>
      </c>
      <c r="J960" s="16">
        <f>VLOOKUP(I960,[2]行业排放因子!$A:$B,2,0)</f>
        <v>7.8572897061762799</v>
      </c>
      <c r="K960" s="9" t="s">
        <v>1489</v>
      </c>
    </row>
    <row r="961" spans="1:11" ht="12.5" customHeight="1" x14ac:dyDescent="0.25">
      <c r="A961" s="5" t="s">
        <v>3353</v>
      </c>
      <c r="B961" s="6" t="s">
        <v>2782</v>
      </c>
      <c r="C961" s="6" t="s">
        <v>3288</v>
      </c>
      <c r="D961" s="6" t="s">
        <v>3289</v>
      </c>
      <c r="E961" s="6" t="s">
        <v>3354</v>
      </c>
      <c r="F961" s="6" t="s">
        <v>3355</v>
      </c>
      <c r="G961" s="9" t="s">
        <v>3356</v>
      </c>
      <c r="H961" s="9" t="s">
        <v>18</v>
      </c>
      <c r="I961" s="16" t="str">
        <f>VLOOKUP(F961,[1]完整分类结果!$E:$G,3,0)</f>
        <v>纺织业</v>
      </c>
      <c r="J961" s="16">
        <f>VLOOKUP(I961,[2]行业排放因子!$A:$B,2,0)</f>
        <v>7.8572897061762799</v>
      </c>
      <c r="K961" s="9" t="s">
        <v>1489</v>
      </c>
    </row>
    <row r="962" spans="1:11" ht="12.5" customHeight="1" x14ac:dyDescent="0.25">
      <c r="A962" s="5" t="s">
        <v>3357</v>
      </c>
      <c r="B962" s="6" t="s">
        <v>2782</v>
      </c>
      <c r="C962" s="6" t="s">
        <v>3288</v>
      </c>
      <c r="D962" s="6" t="s">
        <v>3289</v>
      </c>
      <c r="E962" s="6" t="s">
        <v>3358</v>
      </c>
      <c r="F962" s="6" t="s">
        <v>3359</v>
      </c>
      <c r="G962" s="9" t="s">
        <v>3360</v>
      </c>
      <c r="H962" s="9" t="s">
        <v>18</v>
      </c>
      <c r="I962" s="16" t="str">
        <f>VLOOKUP(F962,[1]完整分类结果!$E:$G,3,0)</f>
        <v>纺织业</v>
      </c>
      <c r="J962" s="16">
        <f>VLOOKUP(I962,[2]行业排放因子!$A:$B,2,0)</f>
        <v>7.8572897061762799</v>
      </c>
      <c r="K962" s="9" t="s">
        <v>1489</v>
      </c>
    </row>
    <row r="963" spans="1:11" ht="12.5" customHeight="1" x14ac:dyDescent="0.25">
      <c r="A963" s="5" t="s">
        <v>3361</v>
      </c>
      <c r="B963" s="6" t="s">
        <v>2782</v>
      </c>
      <c r="C963" s="6" t="s">
        <v>3288</v>
      </c>
      <c r="D963" s="6" t="s">
        <v>3289</v>
      </c>
      <c r="E963" s="6" t="s">
        <v>3362</v>
      </c>
      <c r="F963" s="6" t="s">
        <v>3363</v>
      </c>
      <c r="G963" s="9" t="s">
        <v>3364</v>
      </c>
      <c r="H963" s="9" t="s">
        <v>18</v>
      </c>
      <c r="I963" s="16" t="str">
        <f>VLOOKUP(F963,[1]完整分类结果!$E:$G,3,0)</f>
        <v>纺织业</v>
      </c>
      <c r="J963" s="16">
        <f>VLOOKUP(I963,[2]行业排放因子!$A:$B,2,0)</f>
        <v>7.8572897061762799</v>
      </c>
      <c r="K963" s="9" t="s">
        <v>1489</v>
      </c>
    </row>
    <row r="964" spans="1:11" ht="12.5" customHeight="1" x14ac:dyDescent="0.25">
      <c r="A964" s="5" t="s">
        <v>3365</v>
      </c>
      <c r="B964" s="6" t="s">
        <v>2782</v>
      </c>
      <c r="C964" s="6" t="s">
        <v>3288</v>
      </c>
      <c r="D964" s="6" t="s">
        <v>3289</v>
      </c>
      <c r="E964" s="6" t="s">
        <v>3366</v>
      </c>
      <c r="F964" s="6" t="s">
        <v>3367</v>
      </c>
      <c r="G964" s="9" t="s">
        <v>3368</v>
      </c>
      <c r="H964" s="9" t="s">
        <v>18</v>
      </c>
      <c r="I964" s="16" t="str">
        <f>VLOOKUP(F964,[1]完整分类结果!$E:$G,3,0)</f>
        <v>纺织业</v>
      </c>
      <c r="J964" s="16">
        <f>VLOOKUP(I964,[2]行业排放因子!$A:$B,2,0)</f>
        <v>7.8572897061762799</v>
      </c>
      <c r="K964" s="9" t="s">
        <v>1489</v>
      </c>
    </row>
    <row r="965" spans="1:11" ht="12.5" customHeight="1" x14ac:dyDescent="0.25">
      <c r="A965" s="5" t="s">
        <v>3369</v>
      </c>
      <c r="B965" s="6" t="s">
        <v>2782</v>
      </c>
      <c r="C965" s="6" t="s">
        <v>3288</v>
      </c>
      <c r="D965" s="6" t="s">
        <v>3289</v>
      </c>
      <c r="E965" s="6" t="s">
        <v>3370</v>
      </c>
      <c r="F965" s="6" t="s">
        <v>3371</v>
      </c>
      <c r="G965" s="9"/>
      <c r="H965" s="9" t="s">
        <v>18</v>
      </c>
      <c r="I965" s="16" t="str">
        <f>VLOOKUP(F965,[1]完整分类结果!$E:$G,3,0)</f>
        <v>纺织业</v>
      </c>
      <c r="J965" s="16">
        <f>VLOOKUP(I965,[2]行业排放因子!$A:$B,2,0)</f>
        <v>7.8572897061762799</v>
      </c>
      <c r="K965" s="9" t="s">
        <v>1489</v>
      </c>
    </row>
    <row r="966" spans="1:11" ht="12.5" customHeight="1" x14ac:dyDescent="0.25">
      <c r="A966" s="5" t="s">
        <v>3372</v>
      </c>
      <c r="B966" s="6" t="s">
        <v>2782</v>
      </c>
      <c r="C966" s="6" t="s">
        <v>3288</v>
      </c>
      <c r="D966" s="6" t="s">
        <v>3289</v>
      </c>
      <c r="E966" s="6" t="s">
        <v>3373</v>
      </c>
      <c r="F966" s="6" t="s">
        <v>3374</v>
      </c>
      <c r="G966" s="9"/>
      <c r="H966" s="9" t="s">
        <v>18</v>
      </c>
      <c r="I966" s="16" t="str">
        <f>VLOOKUP(F966,[1]完整分类结果!$E:$G,3,0)</f>
        <v>纺织业</v>
      </c>
      <c r="J966" s="16">
        <f>VLOOKUP(I966,[2]行业排放因子!$A:$B,2,0)</f>
        <v>7.8572897061762799</v>
      </c>
      <c r="K966" s="9" t="s">
        <v>1489</v>
      </c>
    </row>
    <row r="967" spans="1:11" ht="12.5" customHeight="1" x14ac:dyDescent="0.25">
      <c r="A967" s="5" t="s">
        <v>3375</v>
      </c>
      <c r="B967" s="6" t="s">
        <v>3376</v>
      </c>
      <c r="C967" s="6" t="s">
        <v>3377</v>
      </c>
      <c r="D967" s="6" t="s">
        <v>3378</v>
      </c>
      <c r="E967" s="6" t="s">
        <v>3379</v>
      </c>
      <c r="F967" s="6" t="s">
        <v>3380</v>
      </c>
      <c r="G967" s="9" t="s">
        <v>3381</v>
      </c>
      <c r="H967" s="9" t="s">
        <v>18</v>
      </c>
      <c r="I967" s="16" t="str">
        <f>VLOOKUP(F967,[1]完整分类结果!$E:$G,3,0)</f>
        <v>木材加工及竹、藤、棕、草制品业</v>
      </c>
      <c r="J967" s="16">
        <f>VLOOKUP(I967,[2]行业排放因子!$A:$B,2,0)</f>
        <v>1.13686115275368</v>
      </c>
      <c r="K967" s="9" t="s">
        <v>756</v>
      </c>
    </row>
    <row r="968" spans="1:11" ht="12.5" customHeight="1" x14ac:dyDescent="0.25">
      <c r="A968" s="5" t="s">
        <v>3382</v>
      </c>
      <c r="B968" s="6" t="s">
        <v>3376</v>
      </c>
      <c r="C968" s="6" t="s">
        <v>3377</v>
      </c>
      <c r="D968" s="6" t="s">
        <v>3378</v>
      </c>
      <c r="E968" s="6" t="s">
        <v>3383</v>
      </c>
      <c r="F968" s="6" t="s">
        <v>3384</v>
      </c>
      <c r="G968" s="9" t="s">
        <v>3385</v>
      </c>
      <c r="H968" s="9" t="s">
        <v>18</v>
      </c>
      <c r="I968" s="16" t="str">
        <f>VLOOKUP(F968,[1]完整分类结果!$E:$G,3,0)</f>
        <v>木材加工及竹、藤、棕、草制品业</v>
      </c>
      <c r="J968" s="16">
        <f>VLOOKUP(I968,[2]行业排放因子!$A:$B,2,0)</f>
        <v>1.13686115275368</v>
      </c>
      <c r="K968" s="9" t="s">
        <v>756</v>
      </c>
    </row>
    <row r="969" spans="1:11" ht="12.5" customHeight="1" x14ac:dyDescent="0.25">
      <c r="A969" s="5" t="s">
        <v>3386</v>
      </c>
      <c r="B969" s="6" t="s">
        <v>3376</v>
      </c>
      <c r="C969" s="6" t="s">
        <v>3377</v>
      </c>
      <c r="D969" s="6" t="s">
        <v>3378</v>
      </c>
      <c r="E969" s="6" t="s">
        <v>3387</v>
      </c>
      <c r="F969" s="6" t="s">
        <v>3388</v>
      </c>
      <c r="G969" s="9" t="s">
        <v>3389</v>
      </c>
      <c r="H969" s="9" t="s">
        <v>18</v>
      </c>
      <c r="I969" s="16" t="str">
        <f>VLOOKUP(F969,[1]完整分类结果!$E:$G,3,0)</f>
        <v>木材加工及竹、藤、棕、草制品业</v>
      </c>
      <c r="J969" s="16">
        <f>VLOOKUP(I969,[2]行业排放因子!$A:$B,2,0)</f>
        <v>1.13686115275368</v>
      </c>
      <c r="K969" s="9" t="s">
        <v>756</v>
      </c>
    </row>
    <row r="970" spans="1:11" ht="12.5" customHeight="1" x14ac:dyDescent="0.25">
      <c r="A970" s="5" t="s">
        <v>3390</v>
      </c>
      <c r="B970" s="6" t="s">
        <v>3376</v>
      </c>
      <c r="C970" s="6" t="s">
        <v>3377</v>
      </c>
      <c r="D970" s="6" t="s">
        <v>3378</v>
      </c>
      <c r="E970" s="6" t="s">
        <v>3391</v>
      </c>
      <c r="F970" s="6" t="s">
        <v>3392</v>
      </c>
      <c r="G970" s="9"/>
      <c r="H970" s="9" t="s">
        <v>18</v>
      </c>
      <c r="I970" s="16" t="str">
        <f>VLOOKUP(F970,[1]完整分类结果!$E:$G,3,0)</f>
        <v>木材加工及竹、藤、棕、草制品业</v>
      </c>
      <c r="J970" s="16">
        <f>VLOOKUP(I970,[2]行业排放因子!$A:$B,2,0)</f>
        <v>1.13686115275368</v>
      </c>
      <c r="K970" s="9" t="s">
        <v>756</v>
      </c>
    </row>
    <row r="971" spans="1:11" ht="12.5" customHeight="1" x14ac:dyDescent="0.25">
      <c r="A971" s="5" t="s">
        <v>3393</v>
      </c>
      <c r="B971" s="6" t="s">
        <v>3376</v>
      </c>
      <c r="C971" s="6" t="s">
        <v>3377</v>
      </c>
      <c r="D971" s="6" t="s">
        <v>3378</v>
      </c>
      <c r="E971" s="6" t="s">
        <v>3394</v>
      </c>
      <c r="F971" s="6" t="s">
        <v>3395</v>
      </c>
      <c r="G971" s="9" t="s">
        <v>3396</v>
      </c>
      <c r="H971" s="9" t="s">
        <v>18</v>
      </c>
      <c r="I971" s="16" t="str">
        <f>VLOOKUP(F971,[1]完整分类结果!$E:$G,3,0)</f>
        <v>木材加工及竹、藤、棕、草制品业</v>
      </c>
      <c r="J971" s="16">
        <f>VLOOKUP(I971,[2]行业排放因子!$A:$B,2,0)</f>
        <v>1.13686115275368</v>
      </c>
      <c r="K971" s="9" t="s">
        <v>756</v>
      </c>
    </row>
    <row r="972" spans="1:11" ht="12.5" customHeight="1" x14ac:dyDescent="0.25">
      <c r="A972" s="5" t="s">
        <v>3397</v>
      </c>
      <c r="B972" s="6" t="s">
        <v>3376</v>
      </c>
      <c r="C972" s="6" t="s">
        <v>3377</v>
      </c>
      <c r="D972" s="6" t="s">
        <v>3378</v>
      </c>
      <c r="E972" s="6" t="s">
        <v>3398</v>
      </c>
      <c r="F972" s="6" t="s">
        <v>3399</v>
      </c>
      <c r="G972" s="9"/>
      <c r="H972" s="9" t="s">
        <v>18</v>
      </c>
      <c r="I972" s="16" t="str">
        <f>VLOOKUP(F972,[1]完整分类结果!$E:$G,3,0)</f>
        <v>木材加工及竹、藤、棕、草制品业</v>
      </c>
      <c r="J972" s="16">
        <f>VLOOKUP(I972,[2]行业排放因子!$A:$B,2,0)</f>
        <v>1.13686115275368</v>
      </c>
      <c r="K972" s="9" t="s">
        <v>756</v>
      </c>
    </row>
    <row r="973" spans="1:11" ht="12.5" customHeight="1" x14ac:dyDescent="0.25">
      <c r="A973" s="5" t="s">
        <v>3400</v>
      </c>
      <c r="B973" s="6" t="s">
        <v>3376</v>
      </c>
      <c r="C973" s="6" t="s">
        <v>3377</v>
      </c>
      <c r="D973" s="6" t="s">
        <v>3378</v>
      </c>
      <c r="E973" s="6" t="s">
        <v>3401</v>
      </c>
      <c r="F973" s="6" t="s">
        <v>3402</v>
      </c>
      <c r="G973" s="9"/>
      <c r="H973" s="9" t="s">
        <v>18</v>
      </c>
      <c r="I973" s="16" t="str">
        <f>VLOOKUP(F973,[1]完整分类结果!$E:$G,3,0)</f>
        <v>木材加工及竹、藤、棕、草制品业</v>
      </c>
      <c r="J973" s="16">
        <f>VLOOKUP(I973,[2]行业排放因子!$A:$B,2,0)</f>
        <v>1.13686115275368</v>
      </c>
      <c r="K973" s="9" t="s">
        <v>756</v>
      </c>
    </row>
    <row r="974" spans="1:11" ht="12.5" customHeight="1" x14ac:dyDescent="0.25">
      <c r="A974" s="5" t="s">
        <v>3403</v>
      </c>
      <c r="B974" s="6" t="s">
        <v>3376</v>
      </c>
      <c r="C974" s="6" t="s">
        <v>3377</v>
      </c>
      <c r="D974" s="6" t="s">
        <v>3378</v>
      </c>
      <c r="E974" s="6" t="s">
        <v>3404</v>
      </c>
      <c r="F974" s="6" t="s">
        <v>3405</v>
      </c>
      <c r="G974" s="9" t="s">
        <v>3406</v>
      </c>
      <c r="H974" s="9" t="s">
        <v>18</v>
      </c>
      <c r="I974" s="16" t="str">
        <f>VLOOKUP(F974,[1]完整分类结果!$E:$G,3,0)</f>
        <v>木材加工及竹、藤、棕、草制品业</v>
      </c>
      <c r="J974" s="16">
        <f>VLOOKUP(I974,[2]行业排放因子!$A:$B,2,0)</f>
        <v>1.13686115275368</v>
      </c>
      <c r="K974" s="9" t="s">
        <v>756</v>
      </c>
    </row>
    <row r="975" spans="1:11" ht="12.5" customHeight="1" x14ac:dyDescent="0.25">
      <c r="A975" s="5" t="s">
        <v>3407</v>
      </c>
      <c r="B975" s="6" t="s">
        <v>3376</v>
      </c>
      <c r="C975" s="6" t="s">
        <v>3377</v>
      </c>
      <c r="D975" s="6" t="s">
        <v>3378</v>
      </c>
      <c r="E975" s="6" t="s">
        <v>3408</v>
      </c>
      <c r="F975" s="6" t="s">
        <v>3409</v>
      </c>
      <c r="G975" s="9" t="s">
        <v>3410</v>
      </c>
      <c r="H975" s="9" t="s">
        <v>18</v>
      </c>
      <c r="I975" s="16" t="str">
        <f>VLOOKUP(F975,[1]完整分类结果!$E:$G,3,0)</f>
        <v>木材加工及竹、藤、棕、草制品业</v>
      </c>
      <c r="J975" s="16">
        <f>VLOOKUP(I975,[2]行业排放因子!$A:$B,2,0)</f>
        <v>1.13686115275368</v>
      </c>
      <c r="K975" s="9" t="s">
        <v>756</v>
      </c>
    </row>
    <row r="976" spans="1:11" ht="12.5" customHeight="1" x14ac:dyDescent="0.25">
      <c r="A976" s="5" t="s">
        <v>3411</v>
      </c>
      <c r="B976" s="6" t="s">
        <v>3376</v>
      </c>
      <c r="C976" s="6" t="s">
        <v>3377</v>
      </c>
      <c r="D976" s="6" t="s">
        <v>3378</v>
      </c>
      <c r="E976" s="6" t="s">
        <v>3412</v>
      </c>
      <c r="F976" s="6" t="s">
        <v>3413</v>
      </c>
      <c r="G976" s="9" t="s">
        <v>3414</v>
      </c>
      <c r="H976" s="9" t="s">
        <v>18</v>
      </c>
      <c r="I976" s="16" t="str">
        <f>VLOOKUP(F976,[1]完整分类结果!$E:$G,3,0)</f>
        <v>木材加工及竹、藤、棕、草制品业</v>
      </c>
      <c r="J976" s="16">
        <f>VLOOKUP(I976,[2]行业排放因子!$A:$B,2,0)</f>
        <v>1.13686115275368</v>
      </c>
      <c r="K976" s="9" t="s">
        <v>756</v>
      </c>
    </row>
    <row r="977" spans="1:11" ht="12.5" customHeight="1" x14ac:dyDescent="0.25">
      <c r="A977" s="5" t="s">
        <v>3415</v>
      </c>
      <c r="B977" s="6" t="s">
        <v>3376</v>
      </c>
      <c r="C977" s="6" t="s">
        <v>3377</v>
      </c>
      <c r="D977" s="6" t="s">
        <v>3378</v>
      </c>
      <c r="E977" s="6" t="s">
        <v>3416</v>
      </c>
      <c r="F977" s="6" t="s">
        <v>3417</v>
      </c>
      <c r="G977" s="9" t="s">
        <v>3418</v>
      </c>
      <c r="H977" s="9" t="s">
        <v>18</v>
      </c>
      <c r="I977" s="16" t="str">
        <f>VLOOKUP(F977,[1]完整分类结果!$E:$G,3,0)</f>
        <v>木材加工及竹、藤、棕、草制品业</v>
      </c>
      <c r="J977" s="16">
        <f>VLOOKUP(I977,[2]行业排放因子!$A:$B,2,0)</f>
        <v>1.13686115275368</v>
      </c>
      <c r="K977" s="9" t="s">
        <v>756</v>
      </c>
    </row>
    <row r="978" spans="1:11" ht="12.5" customHeight="1" x14ac:dyDescent="0.25">
      <c r="A978" s="5" t="s">
        <v>3419</v>
      </c>
      <c r="B978" s="6" t="s">
        <v>3376</v>
      </c>
      <c r="C978" s="6" t="s">
        <v>3377</v>
      </c>
      <c r="D978" s="6" t="s">
        <v>3378</v>
      </c>
      <c r="E978" s="6" t="s">
        <v>3420</v>
      </c>
      <c r="F978" s="6" t="s">
        <v>3421</v>
      </c>
      <c r="G978" s="9"/>
      <c r="H978" s="9" t="s">
        <v>18</v>
      </c>
      <c r="I978" s="16" t="str">
        <f>VLOOKUP(F978,[1]完整分类结果!$E:$G,3,0)</f>
        <v>木材加工及竹、藤、棕、草制品业</v>
      </c>
      <c r="J978" s="16">
        <f>VLOOKUP(I978,[2]行业排放因子!$A:$B,2,0)</f>
        <v>1.13686115275368</v>
      </c>
      <c r="K978" s="9" t="s">
        <v>756</v>
      </c>
    </row>
    <row r="979" spans="1:11" ht="12.5" customHeight="1" x14ac:dyDescent="0.25">
      <c r="A979" s="5" t="s">
        <v>3422</v>
      </c>
      <c r="B979" s="6" t="s">
        <v>3376</v>
      </c>
      <c r="C979" s="6" t="s">
        <v>3377</v>
      </c>
      <c r="D979" s="6" t="s">
        <v>3378</v>
      </c>
      <c r="E979" s="6" t="s">
        <v>3423</v>
      </c>
      <c r="F979" s="6" t="s">
        <v>3424</v>
      </c>
      <c r="G979" s="9" t="s">
        <v>3425</v>
      </c>
      <c r="H979" s="9" t="s">
        <v>18</v>
      </c>
      <c r="I979" s="16" t="str">
        <f>VLOOKUP(F979,[1]完整分类结果!$E:$G,3,0)</f>
        <v>木材加工及竹、藤、棕、草制品业</v>
      </c>
      <c r="J979" s="16">
        <f>VLOOKUP(I979,[2]行业排放因子!$A:$B,2,0)</f>
        <v>1.13686115275368</v>
      </c>
      <c r="K979" s="9" t="s">
        <v>756</v>
      </c>
    </row>
    <row r="980" spans="1:11" ht="12.5" customHeight="1" x14ac:dyDescent="0.25">
      <c r="A980" s="5" t="s">
        <v>3426</v>
      </c>
      <c r="B980" s="6" t="s">
        <v>3376</v>
      </c>
      <c r="C980" s="6" t="s">
        <v>3377</v>
      </c>
      <c r="D980" s="6" t="s">
        <v>3378</v>
      </c>
      <c r="E980" s="6" t="s">
        <v>3427</v>
      </c>
      <c r="F980" s="6" t="s">
        <v>3428</v>
      </c>
      <c r="G980" s="9"/>
      <c r="H980" s="9" t="s">
        <v>18</v>
      </c>
      <c r="I980" s="16" t="str">
        <f>VLOOKUP(F980,[1]完整分类结果!$E:$G,3,0)</f>
        <v>木材加工及竹、藤、棕、草制品业</v>
      </c>
      <c r="J980" s="16">
        <f>VLOOKUP(I980,[2]行业排放因子!$A:$B,2,0)</f>
        <v>1.13686115275368</v>
      </c>
      <c r="K980" s="9" t="s">
        <v>756</v>
      </c>
    </row>
    <row r="981" spans="1:11" ht="12.5" customHeight="1" x14ac:dyDescent="0.25">
      <c r="A981" s="5" t="s">
        <v>3429</v>
      </c>
      <c r="B981" s="6" t="s">
        <v>3376</v>
      </c>
      <c r="C981" s="6" t="s">
        <v>3377</v>
      </c>
      <c r="D981" s="6" t="s">
        <v>3378</v>
      </c>
      <c r="E981" s="6" t="s">
        <v>3430</v>
      </c>
      <c r="F981" s="6" t="s">
        <v>3431</v>
      </c>
      <c r="G981" s="9" t="s">
        <v>3432</v>
      </c>
      <c r="H981" s="9" t="s">
        <v>18</v>
      </c>
      <c r="I981" s="16" t="str">
        <f>VLOOKUP(F981,[1]完整分类结果!$E:$G,3,0)</f>
        <v>木材加工及竹、藤、棕、草制品业</v>
      </c>
      <c r="J981" s="16">
        <f>VLOOKUP(I981,[2]行业排放因子!$A:$B,2,0)</f>
        <v>1.13686115275368</v>
      </c>
      <c r="K981" s="9" t="s">
        <v>756</v>
      </c>
    </row>
    <row r="982" spans="1:11" ht="12.5" customHeight="1" x14ac:dyDescent="0.25">
      <c r="A982" s="5" t="s">
        <v>3433</v>
      </c>
      <c r="B982" s="6" t="s">
        <v>3376</v>
      </c>
      <c r="C982" s="6" t="s">
        <v>3377</v>
      </c>
      <c r="D982" s="6" t="s">
        <v>3378</v>
      </c>
      <c r="E982" s="6" t="s">
        <v>3434</v>
      </c>
      <c r="F982" s="6" t="s">
        <v>3435</v>
      </c>
      <c r="G982" s="9" t="s">
        <v>3436</v>
      </c>
      <c r="H982" s="9" t="s">
        <v>18</v>
      </c>
      <c r="I982" s="16" t="str">
        <f>VLOOKUP(F982,[1]完整分类结果!$E:$G,3,0)</f>
        <v>木材加工及竹、藤、棕、草制品业</v>
      </c>
      <c r="J982" s="16">
        <f>VLOOKUP(I982,[2]行业排放因子!$A:$B,2,0)</f>
        <v>1.13686115275368</v>
      </c>
      <c r="K982" s="9" t="s">
        <v>756</v>
      </c>
    </row>
    <row r="983" spans="1:11" ht="12.5" customHeight="1" x14ac:dyDescent="0.25">
      <c r="A983" s="5" t="s">
        <v>3437</v>
      </c>
      <c r="B983" s="6" t="s">
        <v>3376</v>
      </c>
      <c r="C983" s="6" t="s">
        <v>3377</v>
      </c>
      <c r="D983" s="6" t="s">
        <v>3378</v>
      </c>
      <c r="E983" s="6" t="s">
        <v>3438</v>
      </c>
      <c r="F983" s="6" t="s">
        <v>3439</v>
      </c>
      <c r="G983" s="9"/>
      <c r="H983" s="9" t="s">
        <v>18</v>
      </c>
      <c r="I983" s="16" t="str">
        <f>VLOOKUP(F983,[1]完整分类结果!$E:$G,3,0)</f>
        <v>木材加工及竹、藤、棕、草制品业</v>
      </c>
      <c r="J983" s="16">
        <f>VLOOKUP(I983,[2]行业排放因子!$A:$B,2,0)</f>
        <v>1.13686115275368</v>
      </c>
      <c r="K983" s="9" t="s">
        <v>756</v>
      </c>
    </row>
    <row r="984" spans="1:11" ht="12.5" customHeight="1" x14ac:dyDescent="0.25">
      <c r="A984" s="5" t="s">
        <v>3440</v>
      </c>
      <c r="B984" s="6" t="s">
        <v>3376</v>
      </c>
      <c r="C984" s="6" t="s">
        <v>3377</v>
      </c>
      <c r="D984" s="6" t="s">
        <v>3378</v>
      </c>
      <c r="E984" s="6" t="s">
        <v>3441</v>
      </c>
      <c r="F984" s="6" t="s">
        <v>3442</v>
      </c>
      <c r="G984" s="9"/>
      <c r="H984" s="9" t="s">
        <v>18</v>
      </c>
      <c r="I984" s="16" t="str">
        <f>VLOOKUP(F984,[1]完整分类结果!$E:$G,3,0)</f>
        <v>木材加工及竹、藤、棕、草制品业</v>
      </c>
      <c r="J984" s="16">
        <f>VLOOKUP(I984,[2]行业排放因子!$A:$B,2,0)</f>
        <v>1.13686115275368</v>
      </c>
      <c r="K984" s="9" t="s">
        <v>756</v>
      </c>
    </row>
    <row r="985" spans="1:11" ht="12.5" customHeight="1" x14ac:dyDescent="0.25">
      <c r="A985" s="5" t="s">
        <v>3443</v>
      </c>
      <c r="B985" s="6" t="s">
        <v>3376</v>
      </c>
      <c r="C985" s="6" t="s">
        <v>3377</v>
      </c>
      <c r="D985" s="6" t="s">
        <v>3378</v>
      </c>
      <c r="E985" s="6" t="s">
        <v>3444</v>
      </c>
      <c r="F985" s="6" t="s">
        <v>3445</v>
      </c>
      <c r="G985" s="9"/>
      <c r="H985" s="9" t="s">
        <v>18</v>
      </c>
      <c r="I985" s="16" t="str">
        <f>VLOOKUP(F985,[1]完整分类结果!$E:$G,3,0)</f>
        <v>木材加工及竹、藤、棕、草制品业</v>
      </c>
      <c r="J985" s="16">
        <f>VLOOKUP(I985,[2]行业排放因子!$A:$B,2,0)</f>
        <v>1.13686115275368</v>
      </c>
      <c r="K985" s="9" t="s">
        <v>756</v>
      </c>
    </row>
    <row r="986" spans="1:11" ht="12.5" customHeight="1" x14ac:dyDescent="0.25">
      <c r="A986" s="5" t="s">
        <v>3446</v>
      </c>
      <c r="B986" s="6" t="s">
        <v>3376</v>
      </c>
      <c r="C986" s="6" t="s">
        <v>3377</v>
      </c>
      <c r="D986" s="6" t="s">
        <v>3378</v>
      </c>
      <c r="E986" s="6" t="s">
        <v>3447</v>
      </c>
      <c r="F986" s="6" t="s">
        <v>3448</v>
      </c>
      <c r="G986" s="9" t="s">
        <v>3449</v>
      </c>
      <c r="H986" s="9" t="s">
        <v>18</v>
      </c>
      <c r="I986" s="16" t="str">
        <f>VLOOKUP(F986,[1]完整分类结果!$E:$G,3,0)</f>
        <v>木材加工及竹、藤、棕、草制品业</v>
      </c>
      <c r="J986" s="16">
        <f>VLOOKUP(I986,[2]行业排放因子!$A:$B,2,0)</f>
        <v>1.13686115275368</v>
      </c>
      <c r="K986" s="9" t="s">
        <v>756</v>
      </c>
    </row>
    <row r="987" spans="1:11" ht="12.5" customHeight="1" x14ac:dyDescent="0.25">
      <c r="A987" s="5" t="s">
        <v>3450</v>
      </c>
      <c r="B987" s="6" t="s">
        <v>3376</v>
      </c>
      <c r="C987" s="6" t="s">
        <v>3377</v>
      </c>
      <c r="D987" s="6" t="s">
        <v>3378</v>
      </c>
      <c r="E987" s="6" t="s">
        <v>3451</v>
      </c>
      <c r="F987" s="6" t="s">
        <v>3452</v>
      </c>
      <c r="G987" s="9" t="s">
        <v>3453</v>
      </c>
      <c r="H987" s="9" t="s">
        <v>18</v>
      </c>
      <c r="I987" s="16" t="str">
        <f>VLOOKUP(F987,[1]完整分类结果!$E:$G,3,0)</f>
        <v>木材加工及竹、藤、棕、草制品业</v>
      </c>
      <c r="J987" s="16">
        <f>VLOOKUP(I987,[2]行业排放因子!$A:$B,2,0)</f>
        <v>1.13686115275368</v>
      </c>
      <c r="K987" s="9" t="s">
        <v>756</v>
      </c>
    </row>
    <row r="988" spans="1:11" ht="12.5" customHeight="1" x14ac:dyDescent="0.25">
      <c r="A988" s="5" t="s">
        <v>3454</v>
      </c>
      <c r="B988" s="6" t="s">
        <v>3376</v>
      </c>
      <c r="C988" s="6" t="s">
        <v>3377</v>
      </c>
      <c r="D988" s="6" t="s">
        <v>3378</v>
      </c>
      <c r="E988" s="6" t="s">
        <v>3455</v>
      </c>
      <c r="F988" s="6" t="s">
        <v>3456</v>
      </c>
      <c r="G988" s="9"/>
      <c r="H988" s="9" t="s">
        <v>18</v>
      </c>
      <c r="I988" s="16" t="str">
        <f>VLOOKUP(F988,[1]完整分类结果!$E:$G,3,0)</f>
        <v>木材加工及竹、藤、棕、草制品业</v>
      </c>
      <c r="J988" s="16">
        <f>VLOOKUP(I988,[2]行业排放因子!$A:$B,2,0)</f>
        <v>1.13686115275368</v>
      </c>
      <c r="K988" s="9" t="s">
        <v>756</v>
      </c>
    </row>
    <row r="989" spans="1:11" ht="12.5" customHeight="1" x14ac:dyDescent="0.25">
      <c r="A989" s="5" t="s">
        <v>3457</v>
      </c>
      <c r="B989" s="6" t="s">
        <v>3376</v>
      </c>
      <c r="C989" s="6" t="s">
        <v>3377</v>
      </c>
      <c r="D989" s="6" t="s">
        <v>3378</v>
      </c>
      <c r="E989" s="6" t="s">
        <v>3458</v>
      </c>
      <c r="F989" s="6" t="s">
        <v>3459</v>
      </c>
      <c r="G989" s="9"/>
      <c r="H989" s="9" t="s">
        <v>18</v>
      </c>
      <c r="I989" s="16" t="str">
        <f>VLOOKUP(F989,[1]完整分类结果!$E:$G,3,0)</f>
        <v>木材加工及竹、藤、棕、草制品业</v>
      </c>
      <c r="J989" s="16">
        <f>VLOOKUP(I989,[2]行业排放因子!$A:$B,2,0)</f>
        <v>1.13686115275368</v>
      </c>
      <c r="K989" s="9" t="s">
        <v>756</v>
      </c>
    </row>
    <row r="990" spans="1:11" ht="12.5" customHeight="1" x14ac:dyDescent="0.25">
      <c r="A990" s="5" t="s">
        <v>3460</v>
      </c>
      <c r="B990" s="6" t="s">
        <v>3376</v>
      </c>
      <c r="C990" s="6" t="s">
        <v>3377</v>
      </c>
      <c r="D990" s="6" t="s">
        <v>3378</v>
      </c>
      <c r="E990" s="6" t="s">
        <v>3461</v>
      </c>
      <c r="F990" s="6" t="s">
        <v>3462</v>
      </c>
      <c r="G990" s="9"/>
      <c r="H990" s="9" t="s">
        <v>18</v>
      </c>
      <c r="I990" s="16" t="str">
        <f>VLOOKUP(F990,[1]完整分类结果!$E:$G,3,0)</f>
        <v>木材加工及竹、藤、棕、草制品业</v>
      </c>
      <c r="J990" s="16">
        <f>VLOOKUP(I990,[2]行业排放因子!$A:$B,2,0)</f>
        <v>1.13686115275368</v>
      </c>
      <c r="K990" s="9" t="s">
        <v>756</v>
      </c>
    </row>
    <row r="991" spans="1:11" ht="12.5" customHeight="1" x14ac:dyDescent="0.25">
      <c r="A991" s="5" t="s">
        <v>3463</v>
      </c>
      <c r="B991" s="6" t="s">
        <v>3376</v>
      </c>
      <c r="C991" s="6" t="s">
        <v>3377</v>
      </c>
      <c r="D991" s="6" t="s">
        <v>3378</v>
      </c>
      <c r="E991" s="6" t="s">
        <v>3464</v>
      </c>
      <c r="F991" s="6" t="s">
        <v>3465</v>
      </c>
      <c r="G991" s="9"/>
      <c r="H991" s="9" t="s">
        <v>18</v>
      </c>
      <c r="I991" s="16" t="str">
        <f>VLOOKUP(F991,[1]完整分类结果!$E:$G,3,0)</f>
        <v>木材加工及竹、藤、棕、草制品业</v>
      </c>
      <c r="J991" s="16">
        <f>VLOOKUP(I991,[2]行业排放因子!$A:$B,2,0)</f>
        <v>1.13686115275368</v>
      </c>
      <c r="K991" s="9" t="s">
        <v>756</v>
      </c>
    </row>
    <row r="992" spans="1:11" ht="12.5" customHeight="1" x14ac:dyDescent="0.25">
      <c r="A992" s="5" t="s">
        <v>3466</v>
      </c>
      <c r="B992" s="6" t="s">
        <v>3376</v>
      </c>
      <c r="C992" s="6" t="s">
        <v>3377</v>
      </c>
      <c r="D992" s="6" t="s">
        <v>3378</v>
      </c>
      <c r="E992" s="6" t="s">
        <v>3467</v>
      </c>
      <c r="F992" s="6" t="s">
        <v>3468</v>
      </c>
      <c r="G992" s="9"/>
      <c r="H992" s="9" t="s">
        <v>18</v>
      </c>
      <c r="I992" s="16" t="str">
        <f>VLOOKUP(F992,[1]完整分类结果!$E:$G,3,0)</f>
        <v>木材加工及竹、藤、棕、草制品业</v>
      </c>
      <c r="J992" s="16">
        <f>VLOOKUP(I992,[2]行业排放因子!$A:$B,2,0)</f>
        <v>1.13686115275368</v>
      </c>
      <c r="K992" s="9" t="s">
        <v>756</v>
      </c>
    </row>
    <row r="993" spans="1:11" ht="12.5" customHeight="1" x14ac:dyDescent="0.25">
      <c r="A993" s="5" t="s">
        <v>3469</v>
      </c>
      <c r="B993" s="6" t="s">
        <v>3376</v>
      </c>
      <c r="C993" s="6" t="s">
        <v>3377</v>
      </c>
      <c r="D993" s="6" t="s">
        <v>3378</v>
      </c>
      <c r="E993" s="6" t="s">
        <v>3470</v>
      </c>
      <c r="F993" s="6" t="s">
        <v>3471</v>
      </c>
      <c r="G993" s="9"/>
      <c r="H993" s="9" t="s">
        <v>18</v>
      </c>
      <c r="I993" s="16" t="str">
        <f>VLOOKUP(F993,[1]完整分类结果!$E:$G,3,0)</f>
        <v>木材加工及竹、藤、棕、草制品业</v>
      </c>
      <c r="J993" s="16">
        <f>VLOOKUP(I993,[2]行业排放因子!$A:$B,2,0)</f>
        <v>1.13686115275368</v>
      </c>
      <c r="K993" s="9" t="s">
        <v>756</v>
      </c>
    </row>
    <row r="994" spans="1:11" ht="12.5" customHeight="1" x14ac:dyDescent="0.25">
      <c r="A994" s="5" t="s">
        <v>3472</v>
      </c>
      <c r="B994" s="6" t="s">
        <v>3376</v>
      </c>
      <c r="C994" s="6" t="s">
        <v>3377</v>
      </c>
      <c r="D994" s="6" t="s">
        <v>3378</v>
      </c>
      <c r="E994" s="6" t="s">
        <v>3473</v>
      </c>
      <c r="F994" s="6" t="s">
        <v>3474</v>
      </c>
      <c r="G994" s="9"/>
      <c r="H994" s="9" t="s">
        <v>18</v>
      </c>
      <c r="I994" s="16" t="str">
        <f>VLOOKUP(F994,[1]完整分类结果!$E:$G,3,0)</f>
        <v>木材加工及竹、藤、棕、草制品业</v>
      </c>
      <c r="J994" s="16">
        <f>VLOOKUP(I994,[2]行业排放因子!$A:$B,2,0)</f>
        <v>1.13686115275368</v>
      </c>
      <c r="K994" s="9" t="s">
        <v>756</v>
      </c>
    </row>
    <row r="995" spans="1:11" ht="12.5" customHeight="1" x14ac:dyDescent="0.25">
      <c r="A995" s="5" t="s">
        <v>3475</v>
      </c>
      <c r="B995" s="6" t="s">
        <v>3376</v>
      </c>
      <c r="C995" s="6" t="s">
        <v>3377</v>
      </c>
      <c r="D995" s="6" t="s">
        <v>3378</v>
      </c>
      <c r="E995" s="6" t="s">
        <v>3476</v>
      </c>
      <c r="F995" s="6" t="s">
        <v>3477</v>
      </c>
      <c r="G995" s="9"/>
      <c r="H995" s="9" t="s">
        <v>18</v>
      </c>
      <c r="I995" s="16" t="str">
        <f>VLOOKUP(F995,[1]完整分类结果!$E:$G,3,0)</f>
        <v>木材加工及竹、藤、棕、草制品业</v>
      </c>
      <c r="J995" s="16">
        <f>VLOOKUP(I995,[2]行业排放因子!$A:$B,2,0)</f>
        <v>1.13686115275368</v>
      </c>
      <c r="K995" s="9" t="s">
        <v>756</v>
      </c>
    </row>
    <row r="996" spans="1:11" ht="12.5" customHeight="1" x14ac:dyDescent="0.25">
      <c r="A996" s="5" t="s">
        <v>3478</v>
      </c>
      <c r="B996" s="6" t="s">
        <v>3376</v>
      </c>
      <c r="C996" s="6" t="s">
        <v>3377</v>
      </c>
      <c r="D996" s="6" t="s">
        <v>3378</v>
      </c>
      <c r="E996" s="6" t="s">
        <v>3479</v>
      </c>
      <c r="F996" s="6" t="s">
        <v>3480</v>
      </c>
      <c r="G996" s="9" t="s">
        <v>3481</v>
      </c>
      <c r="H996" s="9" t="s">
        <v>18</v>
      </c>
      <c r="I996" s="16" t="str">
        <f>VLOOKUP(F996,[1]完整分类结果!$E:$G,3,0)</f>
        <v>木材加工及竹、藤、棕、草制品业</v>
      </c>
      <c r="J996" s="16">
        <f>VLOOKUP(I996,[2]行业排放因子!$A:$B,2,0)</f>
        <v>1.13686115275368</v>
      </c>
      <c r="K996" s="9" t="s">
        <v>756</v>
      </c>
    </row>
    <row r="997" spans="1:11" ht="12.5" customHeight="1" x14ac:dyDescent="0.25">
      <c r="A997" s="5" t="s">
        <v>3482</v>
      </c>
      <c r="B997" s="6" t="s">
        <v>3376</v>
      </c>
      <c r="C997" s="6" t="s">
        <v>3377</v>
      </c>
      <c r="D997" s="6" t="s">
        <v>3378</v>
      </c>
      <c r="E997" s="6" t="s">
        <v>3483</v>
      </c>
      <c r="F997" s="6" t="s">
        <v>3484</v>
      </c>
      <c r="G997" s="9"/>
      <c r="H997" s="9" t="s">
        <v>18</v>
      </c>
      <c r="I997" s="16" t="str">
        <f>VLOOKUP(F997,[1]完整分类结果!$E:$G,3,0)</f>
        <v>木材加工及竹、藤、棕、草制品业</v>
      </c>
      <c r="J997" s="16">
        <f>VLOOKUP(I997,[2]行业排放因子!$A:$B,2,0)</f>
        <v>1.13686115275368</v>
      </c>
      <c r="K997" s="9" t="s">
        <v>756</v>
      </c>
    </row>
    <row r="998" spans="1:11" ht="12.5" customHeight="1" x14ac:dyDescent="0.25">
      <c r="A998" s="5" t="s">
        <v>3485</v>
      </c>
      <c r="B998" s="6" t="s">
        <v>3376</v>
      </c>
      <c r="C998" s="6" t="s">
        <v>3377</v>
      </c>
      <c r="D998" s="6" t="s">
        <v>3378</v>
      </c>
      <c r="E998" s="6" t="s">
        <v>3486</v>
      </c>
      <c r="F998" s="6" t="s">
        <v>3487</v>
      </c>
      <c r="G998" s="9"/>
      <c r="H998" s="9" t="s">
        <v>18</v>
      </c>
      <c r="I998" s="16" t="str">
        <f>VLOOKUP(F998,[1]完整分类结果!$E:$G,3,0)</f>
        <v>木材加工及竹、藤、棕、草制品业</v>
      </c>
      <c r="J998" s="16">
        <f>VLOOKUP(I998,[2]行业排放因子!$A:$B,2,0)</f>
        <v>1.13686115275368</v>
      </c>
      <c r="K998" s="9" t="s">
        <v>756</v>
      </c>
    </row>
    <row r="999" spans="1:11" ht="12.5" customHeight="1" x14ac:dyDescent="0.25">
      <c r="A999" s="5" t="s">
        <v>3488</v>
      </c>
      <c r="B999" s="6" t="s">
        <v>3376</v>
      </c>
      <c r="C999" s="6" t="s">
        <v>3377</v>
      </c>
      <c r="D999" s="6" t="s">
        <v>3378</v>
      </c>
      <c r="E999" s="6" t="s">
        <v>3489</v>
      </c>
      <c r="F999" s="6" t="s">
        <v>3490</v>
      </c>
      <c r="G999" s="9" t="s">
        <v>3491</v>
      </c>
      <c r="H999" s="9" t="s">
        <v>18</v>
      </c>
      <c r="I999" s="16" t="str">
        <f>VLOOKUP(F999,[1]完整分类结果!$E:$G,3,0)</f>
        <v>木材加工及竹、藤、棕、草制品业</v>
      </c>
      <c r="J999" s="16">
        <f>VLOOKUP(I999,[2]行业排放因子!$A:$B,2,0)</f>
        <v>1.13686115275368</v>
      </c>
      <c r="K999" s="9" t="s">
        <v>756</v>
      </c>
    </row>
    <row r="1000" spans="1:11" ht="12.5" customHeight="1" x14ac:dyDescent="0.25">
      <c r="A1000" s="5" t="s">
        <v>3492</v>
      </c>
      <c r="B1000" s="6" t="s">
        <v>3376</v>
      </c>
      <c r="C1000" s="6" t="s">
        <v>3377</v>
      </c>
      <c r="D1000" s="6" t="s">
        <v>3378</v>
      </c>
      <c r="E1000" s="6" t="s">
        <v>3493</v>
      </c>
      <c r="F1000" s="6" t="s">
        <v>3494</v>
      </c>
      <c r="G1000" s="9" t="s">
        <v>3495</v>
      </c>
      <c r="H1000" s="9" t="s">
        <v>18</v>
      </c>
      <c r="I1000" s="16" t="str">
        <f>VLOOKUP(F1000,[1]完整分类结果!$E:$G,3,0)</f>
        <v>木材加工及竹、藤、棕、草制品业</v>
      </c>
      <c r="J1000" s="16">
        <f>VLOOKUP(I1000,[2]行业排放因子!$A:$B,2,0)</f>
        <v>1.13686115275368</v>
      </c>
      <c r="K1000" s="9" t="s">
        <v>756</v>
      </c>
    </row>
    <row r="1001" spans="1:11" ht="12.5" customHeight="1" x14ac:dyDescent="0.25">
      <c r="A1001" s="5" t="s">
        <v>3496</v>
      </c>
      <c r="B1001" s="6" t="s">
        <v>3376</v>
      </c>
      <c r="C1001" s="6" t="s">
        <v>3377</v>
      </c>
      <c r="D1001" s="6" t="s">
        <v>3378</v>
      </c>
      <c r="E1001" s="6" t="s">
        <v>3497</v>
      </c>
      <c r="F1001" s="6" t="s">
        <v>3498</v>
      </c>
      <c r="G1001" s="9" t="s">
        <v>3499</v>
      </c>
      <c r="H1001" s="9" t="s">
        <v>18</v>
      </c>
      <c r="I1001" s="16" t="str">
        <f>VLOOKUP(F1001,[1]完整分类结果!$E:$G,3,0)</f>
        <v>木材加工及竹、藤、棕、草制品业</v>
      </c>
      <c r="J1001" s="16">
        <f>VLOOKUP(I1001,[2]行业排放因子!$A:$B,2,0)</f>
        <v>1.13686115275368</v>
      </c>
      <c r="K1001" s="9" t="s">
        <v>756</v>
      </c>
    </row>
    <row r="1002" spans="1:11" ht="12.5" customHeight="1" x14ac:dyDescent="0.25">
      <c r="A1002" s="5" t="s">
        <v>3500</v>
      </c>
      <c r="B1002" s="6" t="s">
        <v>3376</v>
      </c>
      <c r="C1002" s="6" t="s">
        <v>3377</v>
      </c>
      <c r="D1002" s="6" t="s">
        <v>3378</v>
      </c>
      <c r="E1002" s="6" t="s">
        <v>3501</v>
      </c>
      <c r="F1002" s="6" t="s">
        <v>3502</v>
      </c>
      <c r="G1002" s="9" t="s">
        <v>3503</v>
      </c>
      <c r="H1002" s="9" t="s">
        <v>18</v>
      </c>
      <c r="I1002" s="16" t="str">
        <f>VLOOKUP(F1002,[1]完整分类结果!$E:$G,3,0)</f>
        <v>木材加工及竹、藤、棕、草制品业</v>
      </c>
      <c r="J1002" s="16">
        <f>VLOOKUP(I1002,[2]行业排放因子!$A:$B,2,0)</f>
        <v>1.13686115275368</v>
      </c>
      <c r="K1002" s="9" t="s">
        <v>756</v>
      </c>
    </row>
    <row r="1003" spans="1:11" ht="12.5" customHeight="1" x14ac:dyDescent="0.25">
      <c r="A1003" s="5" t="s">
        <v>3504</v>
      </c>
      <c r="B1003" s="6" t="s">
        <v>3376</v>
      </c>
      <c r="C1003" s="6" t="s">
        <v>3377</v>
      </c>
      <c r="D1003" s="6" t="s">
        <v>3378</v>
      </c>
      <c r="E1003" s="6" t="s">
        <v>3505</v>
      </c>
      <c r="F1003" s="6" t="s">
        <v>3506</v>
      </c>
      <c r="G1003" s="9"/>
      <c r="H1003" s="9" t="s">
        <v>18</v>
      </c>
      <c r="I1003" s="16" t="str">
        <f>VLOOKUP(F1003,[1]完整分类结果!$E:$G,3,0)</f>
        <v>木材加工及竹、藤、棕、草制品业</v>
      </c>
      <c r="J1003" s="16">
        <f>VLOOKUP(I1003,[2]行业排放因子!$A:$B,2,0)</f>
        <v>1.13686115275368</v>
      </c>
      <c r="K1003" s="9" t="s">
        <v>756</v>
      </c>
    </row>
    <row r="1004" spans="1:11" ht="12.5" customHeight="1" x14ac:dyDescent="0.25">
      <c r="A1004" s="5" t="s">
        <v>3507</v>
      </c>
      <c r="B1004" s="6" t="s">
        <v>3376</v>
      </c>
      <c r="C1004" s="6" t="s">
        <v>3377</v>
      </c>
      <c r="D1004" s="6" t="s">
        <v>3378</v>
      </c>
      <c r="E1004" s="6" t="s">
        <v>3508</v>
      </c>
      <c r="F1004" s="6" t="s">
        <v>3509</v>
      </c>
      <c r="G1004" s="9"/>
      <c r="H1004" s="9" t="s">
        <v>18</v>
      </c>
      <c r="I1004" s="16" t="str">
        <f>VLOOKUP(F1004,[1]完整分类结果!$E:$G,3,0)</f>
        <v>木材加工及竹、藤、棕、草制品业</v>
      </c>
      <c r="J1004" s="16">
        <f>VLOOKUP(I1004,[2]行业排放因子!$A:$B,2,0)</f>
        <v>1.13686115275368</v>
      </c>
      <c r="K1004" s="9" t="s">
        <v>756</v>
      </c>
    </row>
    <row r="1005" spans="1:11" ht="12.5" customHeight="1" x14ac:dyDescent="0.25">
      <c r="A1005" s="5" t="s">
        <v>3510</v>
      </c>
      <c r="B1005" s="6" t="s">
        <v>3376</v>
      </c>
      <c r="C1005" s="6" t="s">
        <v>3377</v>
      </c>
      <c r="D1005" s="6" t="s">
        <v>3511</v>
      </c>
      <c r="E1005" s="6" t="s">
        <v>3512</v>
      </c>
      <c r="F1005" s="6" t="s">
        <v>3513</v>
      </c>
      <c r="G1005" s="9" t="s">
        <v>3514</v>
      </c>
      <c r="H1005" s="9" t="s">
        <v>18</v>
      </c>
      <c r="I1005" s="16" t="str">
        <f>VLOOKUP(F1005,[1]完整分类结果!$E:$G,3,0)</f>
        <v>木材加工及竹、藤、棕、草制品业</v>
      </c>
      <c r="J1005" s="16">
        <f>VLOOKUP(I1005,[2]行业排放因子!$A:$B,2,0)</f>
        <v>1.13686115275368</v>
      </c>
      <c r="K1005" s="9" t="s">
        <v>756</v>
      </c>
    </row>
    <row r="1006" spans="1:11" ht="12.5" customHeight="1" x14ac:dyDescent="0.25">
      <c r="A1006" s="5" t="s">
        <v>3515</v>
      </c>
      <c r="B1006" s="6" t="s">
        <v>3376</v>
      </c>
      <c r="C1006" s="6" t="s">
        <v>3377</v>
      </c>
      <c r="D1006" s="6" t="s">
        <v>3511</v>
      </c>
      <c r="E1006" s="6" t="s">
        <v>3516</v>
      </c>
      <c r="F1006" s="6" t="s">
        <v>3517</v>
      </c>
      <c r="G1006" s="9" t="s">
        <v>3518</v>
      </c>
      <c r="H1006" s="9" t="s">
        <v>18</v>
      </c>
      <c r="I1006" s="16" t="str">
        <f>VLOOKUP(F1006,[1]完整分类结果!$E:$G,3,0)</f>
        <v>木材加工及竹、藤、棕、草制品业</v>
      </c>
      <c r="J1006" s="16">
        <f>VLOOKUP(I1006,[2]行业排放因子!$A:$B,2,0)</f>
        <v>1.13686115275368</v>
      </c>
      <c r="K1006" s="9" t="s">
        <v>756</v>
      </c>
    </row>
    <row r="1007" spans="1:11" ht="12.5" customHeight="1" x14ac:dyDescent="0.25">
      <c r="A1007" s="5" t="s">
        <v>3519</v>
      </c>
      <c r="B1007" s="6" t="s">
        <v>3376</v>
      </c>
      <c r="C1007" s="6" t="s">
        <v>3377</v>
      </c>
      <c r="D1007" s="6" t="s">
        <v>3511</v>
      </c>
      <c r="E1007" s="6" t="s">
        <v>3520</v>
      </c>
      <c r="F1007" s="6" t="s">
        <v>3521</v>
      </c>
      <c r="G1007" s="9" t="s">
        <v>3522</v>
      </c>
      <c r="H1007" s="9" t="s">
        <v>18</v>
      </c>
      <c r="I1007" s="16" t="str">
        <f>VLOOKUP(F1007,[1]完整分类结果!$E:$G,3,0)</f>
        <v>木材加工及竹、藤、棕、草制品业</v>
      </c>
      <c r="J1007" s="16">
        <f>VLOOKUP(I1007,[2]行业排放因子!$A:$B,2,0)</f>
        <v>1.13686115275368</v>
      </c>
      <c r="K1007" s="9" t="s">
        <v>756</v>
      </c>
    </row>
    <row r="1008" spans="1:11" ht="12.5" customHeight="1" x14ac:dyDescent="0.25">
      <c r="A1008" s="5" t="s">
        <v>3523</v>
      </c>
      <c r="B1008" s="6" t="s">
        <v>3376</v>
      </c>
      <c r="C1008" s="6" t="s">
        <v>3377</v>
      </c>
      <c r="D1008" s="6" t="s">
        <v>3511</v>
      </c>
      <c r="E1008" s="6" t="s">
        <v>3524</v>
      </c>
      <c r="F1008" s="6" t="s">
        <v>3525</v>
      </c>
      <c r="G1008" s="9" t="s">
        <v>3526</v>
      </c>
      <c r="H1008" s="9" t="s">
        <v>18</v>
      </c>
      <c r="I1008" s="16" t="str">
        <f>VLOOKUP(F1008,[1]完整分类结果!$E:$G,3,0)</f>
        <v>木材加工及竹、藤、棕、草制品业</v>
      </c>
      <c r="J1008" s="16">
        <f>VLOOKUP(I1008,[2]行业排放因子!$A:$B,2,0)</f>
        <v>1.13686115275368</v>
      </c>
      <c r="K1008" s="9" t="s">
        <v>756</v>
      </c>
    </row>
    <row r="1009" spans="1:11" ht="12.5" customHeight="1" x14ac:dyDescent="0.25">
      <c r="A1009" s="5" t="s">
        <v>3527</v>
      </c>
      <c r="B1009" s="6" t="s">
        <v>3376</v>
      </c>
      <c r="C1009" s="6" t="s">
        <v>3377</v>
      </c>
      <c r="D1009" s="6" t="s">
        <v>3528</v>
      </c>
      <c r="E1009" s="6" t="s">
        <v>3529</v>
      </c>
      <c r="F1009" s="6" t="s">
        <v>3530</v>
      </c>
      <c r="G1009" s="9" t="s">
        <v>3531</v>
      </c>
      <c r="H1009" s="9" t="s">
        <v>18</v>
      </c>
      <c r="I1009" s="16" t="str">
        <f>VLOOKUP(F1009,[1]完整分类结果!$E:$G,3,0)</f>
        <v>木材加工及竹、藤、棕、草制品业</v>
      </c>
      <c r="J1009" s="16">
        <f>VLOOKUP(I1009,[2]行业排放因子!$A:$B,2,0)</f>
        <v>1.13686115275368</v>
      </c>
      <c r="K1009" s="9" t="s">
        <v>756</v>
      </c>
    </row>
    <row r="1010" spans="1:11" ht="12.5" customHeight="1" x14ac:dyDescent="0.25">
      <c r="A1010" s="5" t="s">
        <v>3532</v>
      </c>
      <c r="B1010" s="6" t="s">
        <v>3376</v>
      </c>
      <c r="C1010" s="6" t="s">
        <v>3377</v>
      </c>
      <c r="D1010" s="6" t="s">
        <v>3528</v>
      </c>
      <c r="E1010" s="6" t="s">
        <v>3533</v>
      </c>
      <c r="F1010" s="6" t="s">
        <v>3534</v>
      </c>
      <c r="G1010" s="9" t="s">
        <v>3535</v>
      </c>
      <c r="H1010" s="9" t="s">
        <v>18</v>
      </c>
      <c r="I1010" s="16" t="str">
        <f>VLOOKUP(F1010,[1]完整分类结果!$E:$G,3,0)</f>
        <v>木材加工及竹、藤、棕、草制品业</v>
      </c>
      <c r="J1010" s="16">
        <f>VLOOKUP(I1010,[2]行业排放因子!$A:$B,2,0)</f>
        <v>1.13686115275368</v>
      </c>
      <c r="K1010" s="9" t="s">
        <v>756</v>
      </c>
    </row>
    <row r="1011" spans="1:11" ht="12.5" customHeight="1" x14ac:dyDescent="0.25">
      <c r="A1011" s="5" t="s">
        <v>3536</v>
      </c>
      <c r="B1011" s="6" t="s">
        <v>3376</v>
      </c>
      <c r="C1011" s="6" t="s">
        <v>3377</v>
      </c>
      <c r="D1011" s="6" t="s">
        <v>3528</v>
      </c>
      <c r="E1011" s="6" t="s">
        <v>3537</v>
      </c>
      <c r="F1011" s="6" t="s">
        <v>3538</v>
      </c>
      <c r="G1011" s="9" t="s">
        <v>3539</v>
      </c>
      <c r="H1011" s="9" t="s">
        <v>18</v>
      </c>
      <c r="I1011" s="16" t="str">
        <f>VLOOKUP(F1011,[1]完整分类结果!$E:$G,3,0)</f>
        <v>木材加工及竹、藤、棕、草制品业</v>
      </c>
      <c r="J1011" s="16">
        <f>VLOOKUP(I1011,[2]行业排放因子!$A:$B,2,0)</f>
        <v>1.13686115275368</v>
      </c>
      <c r="K1011" s="9" t="s">
        <v>756</v>
      </c>
    </row>
    <row r="1012" spans="1:11" ht="12.5" customHeight="1" x14ac:dyDescent="0.25">
      <c r="A1012" s="5" t="s">
        <v>3540</v>
      </c>
      <c r="B1012" s="6" t="s">
        <v>3376</v>
      </c>
      <c r="C1012" s="6" t="s">
        <v>3377</v>
      </c>
      <c r="D1012" s="6" t="s">
        <v>3528</v>
      </c>
      <c r="E1012" s="6" t="s">
        <v>3541</v>
      </c>
      <c r="F1012" s="6" t="s">
        <v>3542</v>
      </c>
      <c r="G1012" s="9" t="s">
        <v>3543</v>
      </c>
      <c r="H1012" s="9" t="s">
        <v>18</v>
      </c>
      <c r="I1012" s="16" t="str">
        <f>VLOOKUP(F1012,[1]完整分类结果!$E:$G,3,0)</f>
        <v>木材加工及竹、藤、棕、草制品业</v>
      </c>
      <c r="J1012" s="16">
        <f>VLOOKUP(I1012,[2]行业排放因子!$A:$B,2,0)</f>
        <v>1.13686115275368</v>
      </c>
      <c r="K1012" s="9" t="s">
        <v>756</v>
      </c>
    </row>
    <row r="1013" spans="1:11" ht="12.5" customHeight="1" x14ac:dyDescent="0.25">
      <c r="A1013" s="5" t="s">
        <v>3544</v>
      </c>
      <c r="B1013" s="6" t="s">
        <v>3376</v>
      </c>
      <c r="C1013" s="6" t="s">
        <v>3377</v>
      </c>
      <c r="D1013" s="6" t="s">
        <v>3528</v>
      </c>
      <c r="E1013" s="6" t="s">
        <v>3545</v>
      </c>
      <c r="F1013" s="6" t="s">
        <v>3546</v>
      </c>
      <c r="G1013" s="9" t="s">
        <v>3547</v>
      </c>
      <c r="H1013" s="9" t="s">
        <v>18</v>
      </c>
      <c r="I1013" s="16" t="str">
        <f>VLOOKUP(F1013,[1]完整分类结果!$E:$G,3,0)</f>
        <v>木材加工及竹、藤、棕、草制品业</v>
      </c>
      <c r="J1013" s="16">
        <f>VLOOKUP(I1013,[2]行业排放因子!$A:$B,2,0)</f>
        <v>1.13686115275368</v>
      </c>
      <c r="K1013" s="9" t="s">
        <v>756</v>
      </c>
    </row>
    <row r="1014" spans="1:11" ht="12.5" customHeight="1" x14ac:dyDescent="0.25">
      <c r="A1014" s="5" t="s">
        <v>3548</v>
      </c>
      <c r="B1014" s="6" t="s">
        <v>3376</v>
      </c>
      <c r="C1014" s="6" t="s">
        <v>3377</v>
      </c>
      <c r="D1014" s="6" t="s">
        <v>3528</v>
      </c>
      <c r="E1014" s="6" t="s">
        <v>3549</v>
      </c>
      <c r="F1014" s="6" t="s">
        <v>3550</v>
      </c>
      <c r="G1014" s="9"/>
      <c r="H1014" s="9" t="s">
        <v>18</v>
      </c>
      <c r="I1014" s="16" t="str">
        <f>VLOOKUP(F1014,[1]完整分类结果!$E:$G,3,0)</f>
        <v>木材加工及竹、藤、棕、草制品业</v>
      </c>
      <c r="J1014" s="16">
        <f>VLOOKUP(I1014,[2]行业排放因子!$A:$B,2,0)</f>
        <v>1.13686115275368</v>
      </c>
      <c r="K1014" s="9" t="s">
        <v>756</v>
      </c>
    </row>
    <row r="1015" spans="1:11" ht="12" customHeight="1" x14ac:dyDescent="0.25">
      <c r="A1015" s="5" t="s">
        <v>3551</v>
      </c>
      <c r="B1015" s="6" t="s">
        <v>3376</v>
      </c>
      <c r="C1015" s="6" t="s">
        <v>3377</v>
      </c>
      <c r="D1015" s="6" t="s">
        <v>3528</v>
      </c>
      <c r="E1015" s="6" t="s">
        <v>3552</v>
      </c>
      <c r="F1015" s="6" t="s">
        <v>3553</v>
      </c>
      <c r="G1015" s="9"/>
      <c r="H1015" s="9" t="s">
        <v>18</v>
      </c>
      <c r="I1015" s="16" t="str">
        <f>VLOOKUP(F1015,[1]完整分类结果!$E:$G,3,0)</f>
        <v>木材加工及竹、藤、棕、草制品业</v>
      </c>
      <c r="J1015" s="16">
        <f>VLOOKUP(I1015,[2]行业排放因子!$A:$B,2,0)</f>
        <v>1.13686115275368</v>
      </c>
      <c r="K1015" s="9" t="s">
        <v>756</v>
      </c>
    </row>
    <row r="1016" spans="1:11" ht="12.5" customHeight="1" x14ac:dyDescent="0.25">
      <c r="A1016" s="5" t="s">
        <v>3554</v>
      </c>
      <c r="B1016" s="6" t="s">
        <v>3376</v>
      </c>
      <c r="C1016" s="6" t="s">
        <v>3555</v>
      </c>
      <c r="D1016" s="6" t="s">
        <v>3556</v>
      </c>
      <c r="E1016" s="6" t="s">
        <v>3557</v>
      </c>
      <c r="F1016" s="6" t="s">
        <v>3558</v>
      </c>
      <c r="G1016" s="9" t="s">
        <v>3559</v>
      </c>
      <c r="H1016" s="9" t="s">
        <v>18</v>
      </c>
      <c r="I1016" s="16" t="str">
        <f>VLOOKUP(F1016,[1]完整分类结果!$E:$G,3,0)</f>
        <v>家具制造业</v>
      </c>
      <c r="J1016" s="16">
        <f>VLOOKUP(I1016,[2]行业排放因子!$A:$B,2,0)</f>
        <v>0.62276731777852501</v>
      </c>
      <c r="K1016" s="9" t="s">
        <v>756</v>
      </c>
    </row>
    <row r="1017" spans="1:11" ht="12.5" customHeight="1" x14ac:dyDescent="0.25">
      <c r="A1017" s="5" t="s">
        <v>3560</v>
      </c>
      <c r="B1017" s="6" t="s">
        <v>3376</v>
      </c>
      <c r="C1017" s="6" t="s">
        <v>3555</v>
      </c>
      <c r="D1017" s="6" t="s">
        <v>3556</v>
      </c>
      <c r="E1017" s="6" t="s">
        <v>3561</v>
      </c>
      <c r="F1017" s="6" t="s">
        <v>3562</v>
      </c>
      <c r="G1017" s="9" t="s">
        <v>3563</v>
      </c>
      <c r="H1017" s="9" t="s">
        <v>18</v>
      </c>
      <c r="I1017" s="16" t="str">
        <f>VLOOKUP(F1017,[1]完整分类结果!$E:$G,3,0)</f>
        <v>家具制造业</v>
      </c>
      <c r="J1017" s="16">
        <f>VLOOKUP(I1017,[2]行业排放因子!$A:$B,2,0)</f>
        <v>0.62276731777852501</v>
      </c>
      <c r="K1017" s="9" t="s">
        <v>756</v>
      </c>
    </row>
    <row r="1018" spans="1:11" ht="12.5" customHeight="1" x14ac:dyDescent="0.25">
      <c r="A1018" s="5" t="s">
        <v>3564</v>
      </c>
      <c r="B1018" s="6" t="s">
        <v>3376</v>
      </c>
      <c r="C1018" s="6" t="s">
        <v>3555</v>
      </c>
      <c r="D1018" s="6" t="s">
        <v>3556</v>
      </c>
      <c r="E1018" s="6" t="s">
        <v>3565</v>
      </c>
      <c r="F1018" s="6" t="s">
        <v>3566</v>
      </c>
      <c r="G1018" s="9"/>
      <c r="H1018" s="9" t="s">
        <v>18</v>
      </c>
      <c r="I1018" s="16" t="str">
        <f>VLOOKUP(F1018,[1]完整分类结果!$E:$G,3,0)</f>
        <v>家具制造业</v>
      </c>
      <c r="J1018" s="16">
        <f>VLOOKUP(I1018,[2]行业排放因子!$A:$B,2,0)</f>
        <v>0.62276731777852501</v>
      </c>
      <c r="K1018" s="9" t="s">
        <v>756</v>
      </c>
    </row>
    <row r="1019" spans="1:11" ht="12.5" customHeight="1" x14ac:dyDescent="0.25">
      <c r="A1019" s="5" t="s">
        <v>3567</v>
      </c>
      <c r="B1019" s="6" t="s">
        <v>3376</v>
      </c>
      <c r="C1019" s="6" t="s">
        <v>3555</v>
      </c>
      <c r="D1019" s="6" t="s">
        <v>3556</v>
      </c>
      <c r="E1019" s="6" t="s">
        <v>3568</v>
      </c>
      <c r="F1019" s="6" t="s">
        <v>3569</v>
      </c>
      <c r="G1019" s="9" t="s">
        <v>3570</v>
      </c>
      <c r="H1019" s="9" t="s">
        <v>18</v>
      </c>
      <c r="I1019" s="16" t="str">
        <f>VLOOKUP(F1019,[1]完整分类结果!$E:$G,3,0)</f>
        <v>家具制造业</v>
      </c>
      <c r="J1019" s="16">
        <f>VLOOKUP(I1019,[2]行业排放因子!$A:$B,2,0)</f>
        <v>0.62276731777852501</v>
      </c>
      <c r="K1019" s="9" t="s">
        <v>756</v>
      </c>
    </row>
    <row r="1020" spans="1:11" ht="12.5" customHeight="1" x14ac:dyDescent="0.25">
      <c r="A1020" s="5" t="s">
        <v>3571</v>
      </c>
      <c r="B1020" s="6" t="s">
        <v>3376</v>
      </c>
      <c r="C1020" s="6" t="s">
        <v>3555</v>
      </c>
      <c r="D1020" s="6" t="s">
        <v>3556</v>
      </c>
      <c r="E1020" s="6" t="s">
        <v>3572</v>
      </c>
      <c r="F1020" s="6" t="s">
        <v>3573</v>
      </c>
      <c r="G1020" s="9" t="s">
        <v>3574</v>
      </c>
      <c r="H1020" s="9" t="s">
        <v>18</v>
      </c>
      <c r="I1020" s="16" t="str">
        <f>VLOOKUP(F1020,[1]完整分类结果!$E:$G,3,0)</f>
        <v>家具制造业</v>
      </c>
      <c r="J1020" s="16">
        <f>VLOOKUP(I1020,[2]行业排放因子!$A:$B,2,0)</f>
        <v>0.62276731777852501</v>
      </c>
      <c r="K1020" s="9" t="s">
        <v>756</v>
      </c>
    </row>
    <row r="1021" spans="1:11" ht="12.5" customHeight="1" x14ac:dyDescent="0.25">
      <c r="A1021" s="5" t="s">
        <v>3575</v>
      </c>
      <c r="B1021" s="6" t="s">
        <v>3376</v>
      </c>
      <c r="C1021" s="6" t="s">
        <v>3555</v>
      </c>
      <c r="D1021" s="6" t="s">
        <v>3556</v>
      </c>
      <c r="E1021" s="6" t="s">
        <v>3576</v>
      </c>
      <c r="F1021" s="6" t="s">
        <v>3577</v>
      </c>
      <c r="G1021" s="9" t="s">
        <v>3578</v>
      </c>
      <c r="H1021" s="9" t="s">
        <v>18</v>
      </c>
      <c r="I1021" s="16" t="str">
        <f>VLOOKUP(F1021,[1]完整分类结果!$E:$G,3,0)</f>
        <v>家具制造业</v>
      </c>
      <c r="J1021" s="16">
        <f>VLOOKUP(I1021,[2]行业排放因子!$A:$B,2,0)</f>
        <v>0.62276731777852501</v>
      </c>
      <c r="K1021" s="9" t="s">
        <v>756</v>
      </c>
    </row>
    <row r="1022" spans="1:11" ht="12.5" customHeight="1" x14ac:dyDescent="0.25">
      <c r="A1022" s="5" t="s">
        <v>3579</v>
      </c>
      <c r="B1022" s="6" t="s">
        <v>3376</v>
      </c>
      <c r="C1022" s="6" t="s">
        <v>3555</v>
      </c>
      <c r="D1022" s="6" t="s">
        <v>3556</v>
      </c>
      <c r="E1022" s="6" t="s">
        <v>3580</v>
      </c>
      <c r="F1022" s="6" t="s">
        <v>3581</v>
      </c>
      <c r="G1022" s="9" t="s">
        <v>3582</v>
      </c>
      <c r="H1022" s="9" t="s">
        <v>18</v>
      </c>
      <c r="I1022" s="16" t="str">
        <f>VLOOKUP(F1022,[1]完整分类结果!$E:$G,3,0)</f>
        <v>家具制造业</v>
      </c>
      <c r="J1022" s="16">
        <f>VLOOKUP(I1022,[2]行业排放因子!$A:$B,2,0)</f>
        <v>0.62276731777852501</v>
      </c>
      <c r="K1022" s="9" t="s">
        <v>756</v>
      </c>
    </row>
    <row r="1023" spans="1:11" ht="12.5" customHeight="1" x14ac:dyDescent="0.25">
      <c r="A1023" s="5" t="s">
        <v>3583</v>
      </c>
      <c r="B1023" s="6" t="s">
        <v>3376</v>
      </c>
      <c r="C1023" s="6" t="s">
        <v>3555</v>
      </c>
      <c r="D1023" s="6" t="s">
        <v>3556</v>
      </c>
      <c r="E1023" s="6" t="s">
        <v>3584</v>
      </c>
      <c r="F1023" s="6" t="s">
        <v>3585</v>
      </c>
      <c r="G1023" s="9" t="s">
        <v>3586</v>
      </c>
      <c r="H1023" s="9" t="s">
        <v>18</v>
      </c>
      <c r="I1023" s="16" t="str">
        <f>VLOOKUP(F1023,[1]完整分类结果!$E:$G,3,0)</f>
        <v>家具制造业</v>
      </c>
      <c r="J1023" s="16">
        <f>VLOOKUP(I1023,[2]行业排放因子!$A:$B,2,0)</f>
        <v>0.62276731777852501</v>
      </c>
      <c r="K1023" s="9" t="s">
        <v>756</v>
      </c>
    </row>
    <row r="1024" spans="1:11" ht="12.5" customHeight="1" x14ac:dyDescent="0.25">
      <c r="A1024" s="5" t="s">
        <v>3587</v>
      </c>
      <c r="B1024" s="6" t="s">
        <v>3376</v>
      </c>
      <c r="C1024" s="6" t="s">
        <v>3555</v>
      </c>
      <c r="D1024" s="6" t="s">
        <v>3556</v>
      </c>
      <c r="E1024" s="6" t="s">
        <v>3588</v>
      </c>
      <c r="F1024" s="6" t="s">
        <v>3589</v>
      </c>
      <c r="G1024" s="9"/>
      <c r="H1024" s="9" t="s">
        <v>18</v>
      </c>
      <c r="I1024" s="16" t="str">
        <f>VLOOKUP(F1024,[1]完整分类结果!$E:$G,3,0)</f>
        <v>家具制造业</v>
      </c>
      <c r="J1024" s="16">
        <f>VLOOKUP(I1024,[2]行业排放因子!$A:$B,2,0)</f>
        <v>0.62276731777852501</v>
      </c>
      <c r="K1024" s="9" t="s">
        <v>756</v>
      </c>
    </row>
    <row r="1025" spans="1:11" ht="12.5" customHeight="1" x14ac:dyDescent="0.25">
      <c r="A1025" s="5" t="s">
        <v>3590</v>
      </c>
      <c r="B1025" s="6" t="s">
        <v>3376</v>
      </c>
      <c r="C1025" s="6" t="s">
        <v>3555</v>
      </c>
      <c r="D1025" s="6" t="s">
        <v>3591</v>
      </c>
      <c r="E1025" s="6" t="s">
        <v>3592</v>
      </c>
      <c r="F1025" s="6" t="s">
        <v>3593</v>
      </c>
      <c r="G1025" s="9" t="s">
        <v>3594</v>
      </c>
      <c r="H1025" s="9" t="s">
        <v>18</v>
      </c>
      <c r="I1025" s="16" t="str">
        <f>VLOOKUP(F1025,[1]完整分类结果!$E:$G,3,0)</f>
        <v>家具制造业</v>
      </c>
      <c r="J1025" s="16">
        <f>VLOOKUP(I1025,[2]行业排放因子!$A:$B,2,0)</f>
        <v>0.62276731777852501</v>
      </c>
      <c r="K1025" s="9" t="s">
        <v>756</v>
      </c>
    </row>
    <row r="1026" spans="1:11" ht="12.5" customHeight="1" x14ac:dyDescent="0.25">
      <c r="A1026" s="5" t="s">
        <v>3595</v>
      </c>
      <c r="B1026" s="6" t="s">
        <v>3376</v>
      </c>
      <c r="C1026" s="6" t="s">
        <v>3555</v>
      </c>
      <c r="D1026" s="6" t="s">
        <v>3591</v>
      </c>
      <c r="E1026" s="6" t="s">
        <v>3596</v>
      </c>
      <c r="F1026" s="6" t="s">
        <v>3597</v>
      </c>
      <c r="G1026" s="9" t="s">
        <v>3594</v>
      </c>
      <c r="H1026" s="9" t="s">
        <v>18</v>
      </c>
      <c r="I1026" s="16" t="str">
        <f>VLOOKUP(F1026,[1]完整分类结果!$E:$G,3,0)</f>
        <v>家具制造业</v>
      </c>
      <c r="J1026" s="16">
        <f>VLOOKUP(I1026,[2]行业排放因子!$A:$B,2,0)</f>
        <v>0.62276731777852501</v>
      </c>
      <c r="K1026" s="9" t="s">
        <v>756</v>
      </c>
    </row>
    <row r="1027" spans="1:11" ht="12.5" customHeight="1" x14ac:dyDescent="0.25">
      <c r="A1027" s="5" t="s">
        <v>3598</v>
      </c>
      <c r="B1027" s="6" t="s">
        <v>3376</v>
      </c>
      <c r="C1027" s="6" t="s">
        <v>3555</v>
      </c>
      <c r="D1027" s="6" t="s">
        <v>3591</v>
      </c>
      <c r="E1027" s="6" t="s">
        <v>3599</v>
      </c>
      <c r="F1027" s="6" t="s">
        <v>3600</v>
      </c>
      <c r="G1027" s="9" t="s">
        <v>3594</v>
      </c>
      <c r="H1027" s="9" t="s">
        <v>18</v>
      </c>
      <c r="I1027" s="16" t="str">
        <f>VLOOKUP(F1027,[1]完整分类结果!$E:$G,3,0)</f>
        <v>家具制造业</v>
      </c>
      <c r="J1027" s="16">
        <f>VLOOKUP(I1027,[2]行业排放因子!$A:$B,2,0)</f>
        <v>0.62276731777852501</v>
      </c>
      <c r="K1027" s="9" t="s">
        <v>756</v>
      </c>
    </row>
    <row r="1028" spans="1:11" ht="12.5" customHeight="1" x14ac:dyDescent="0.25">
      <c r="A1028" s="5" t="s">
        <v>3601</v>
      </c>
      <c r="B1028" s="6" t="s">
        <v>3376</v>
      </c>
      <c r="C1028" s="6" t="s">
        <v>3555</v>
      </c>
      <c r="D1028" s="6" t="s">
        <v>3591</v>
      </c>
      <c r="E1028" s="6" t="s">
        <v>3602</v>
      </c>
      <c r="F1028" s="6" t="s">
        <v>3603</v>
      </c>
      <c r="G1028" s="9" t="s">
        <v>3594</v>
      </c>
      <c r="H1028" s="9" t="s">
        <v>18</v>
      </c>
      <c r="I1028" s="16" t="str">
        <f>VLOOKUP(F1028,[1]完整分类结果!$E:$G,3,0)</f>
        <v>家具制造业</v>
      </c>
      <c r="J1028" s="16">
        <f>VLOOKUP(I1028,[2]行业排放因子!$A:$B,2,0)</f>
        <v>0.62276731777852501</v>
      </c>
      <c r="K1028" s="9" t="s">
        <v>756</v>
      </c>
    </row>
    <row r="1029" spans="1:11" ht="12.5" customHeight="1" x14ac:dyDescent="0.25">
      <c r="A1029" s="5" t="s">
        <v>3604</v>
      </c>
      <c r="B1029" s="6" t="s">
        <v>3376</v>
      </c>
      <c r="C1029" s="6" t="s">
        <v>3555</v>
      </c>
      <c r="D1029" s="6" t="s">
        <v>3591</v>
      </c>
      <c r="E1029" s="6" t="s">
        <v>3605</v>
      </c>
      <c r="F1029" s="6" t="s">
        <v>3606</v>
      </c>
      <c r="G1029" s="9" t="s">
        <v>3594</v>
      </c>
      <c r="H1029" s="9" t="s">
        <v>18</v>
      </c>
      <c r="I1029" s="16" t="str">
        <f>VLOOKUP(F1029,[1]完整分类结果!$E:$G,3,0)</f>
        <v>家具制造业</v>
      </c>
      <c r="J1029" s="16">
        <f>VLOOKUP(I1029,[2]行业排放因子!$A:$B,2,0)</f>
        <v>0.62276731777852501</v>
      </c>
      <c r="K1029" s="9" t="s">
        <v>756</v>
      </c>
    </row>
    <row r="1030" spans="1:11" ht="12.5" customHeight="1" x14ac:dyDescent="0.25">
      <c r="A1030" s="5" t="s">
        <v>3607</v>
      </c>
      <c r="B1030" s="6" t="s">
        <v>3376</v>
      </c>
      <c r="C1030" s="6" t="s">
        <v>3555</v>
      </c>
      <c r="D1030" s="6" t="s">
        <v>3591</v>
      </c>
      <c r="E1030" s="6" t="s">
        <v>3608</v>
      </c>
      <c r="F1030" s="6" t="s">
        <v>3609</v>
      </c>
      <c r="G1030" s="9" t="s">
        <v>3594</v>
      </c>
      <c r="H1030" s="9" t="s">
        <v>18</v>
      </c>
      <c r="I1030" s="16" t="str">
        <f>VLOOKUP(F1030,[1]完整分类结果!$E:$G,3,0)</f>
        <v>家具制造业</v>
      </c>
      <c r="J1030" s="16">
        <f>VLOOKUP(I1030,[2]行业排放因子!$A:$B,2,0)</f>
        <v>0.62276731777852501</v>
      </c>
      <c r="K1030" s="9" t="s">
        <v>756</v>
      </c>
    </row>
    <row r="1031" spans="1:11" ht="12.5" customHeight="1" x14ac:dyDescent="0.25">
      <c r="A1031" s="5" t="s">
        <v>3610</v>
      </c>
      <c r="B1031" s="6" t="s">
        <v>3376</v>
      </c>
      <c r="C1031" s="6" t="s">
        <v>3555</v>
      </c>
      <c r="D1031" s="6" t="s">
        <v>3591</v>
      </c>
      <c r="E1031" s="6" t="s">
        <v>3611</v>
      </c>
      <c r="F1031" s="6" t="s">
        <v>3612</v>
      </c>
      <c r="G1031" s="9" t="s">
        <v>3594</v>
      </c>
      <c r="H1031" s="9" t="s">
        <v>18</v>
      </c>
      <c r="I1031" s="16" t="str">
        <f>VLOOKUP(F1031,[1]完整分类结果!$E:$G,3,0)</f>
        <v>家具制造业</v>
      </c>
      <c r="J1031" s="16">
        <f>VLOOKUP(I1031,[2]行业排放因子!$A:$B,2,0)</f>
        <v>0.62276731777852501</v>
      </c>
      <c r="K1031" s="9" t="s">
        <v>756</v>
      </c>
    </row>
    <row r="1032" spans="1:11" ht="12.5" customHeight="1" x14ac:dyDescent="0.25">
      <c r="A1032" s="5" t="s">
        <v>3613</v>
      </c>
      <c r="B1032" s="6" t="s">
        <v>3376</v>
      </c>
      <c r="C1032" s="6" t="s">
        <v>3555</v>
      </c>
      <c r="D1032" s="6" t="s">
        <v>3591</v>
      </c>
      <c r="E1032" s="6" t="s">
        <v>3614</v>
      </c>
      <c r="F1032" s="6" t="s">
        <v>3615</v>
      </c>
      <c r="G1032" s="9"/>
      <c r="H1032" s="9" t="s">
        <v>18</v>
      </c>
      <c r="I1032" s="16" t="str">
        <f>VLOOKUP(F1032,[1]完整分类结果!$E:$G,3,0)</f>
        <v>家具制造业</v>
      </c>
      <c r="J1032" s="16">
        <f>VLOOKUP(I1032,[2]行业排放因子!$A:$B,2,0)</f>
        <v>0.62276731777852501</v>
      </c>
      <c r="K1032" s="9" t="s">
        <v>756</v>
      </c>
    </row>
    <row r="1033" spans="1:11" ht="12.5" customHeight="1" x14ac:dyDescent="0.25">
      <c r="A1033" s="5" t="s">
        <v>3616</v>
      </c>
      <c r="B1033" s="6" t="s">
        <v>3376</v>
      </c>
      <c r="C1033" s="6" t="s">
        <v>3555</v>
      </c>
      <c r="D1033" s="6" t="s">
        <v>3591</v>
      </c>
      <c r="E1033" s="6" t="s">
        <v>3617</v>
      </c>
      <c r="F1033" s="6" t="s">
        <v>3618</v>
      </c>
      <c r="G1033" s="9"/>
      <c r="H1033" s="9" t="s">
        <v>18</v>
      </c>
      <c r="I1033" s="16" t="str">
        <f>VLOOKUP(F1033,[1]完整分类结果!$E:$G,3,0)</f>
        <v>家具制造业</v>
      </c>
      <c r="J1033" s="16">
        <f>VLOOKUP(I1033,[2]行业排放因子!$A:$B,2,0)</f>
        <v>0.62276731777852501</v>
      </c>
      <c r="K1033" s="9" t="s">
        <v>756</v>
      </c>
    </row>
    <row r="1034" spans="1:11" ht="12.5" customHeight="1" x14ac:dyDescent="0.25">
      <c r="A1034" s="5" t="s">
        <v>3619</v>
      </c>
      <c r="B1034" s="6" t="s">
        <v>3620</v>
      </c>
      <c r="C1034" s="6" t="s">
        <v>3621</v>
      </c>
      <c r="D1034" s="6" t="s">
        <v>3622</v>
      </c>
      <c r="E1034" s="6" t="s">
        <v>3623</v>
      </c>
      <c r="F1034" s="6" t="s">
        <v>3624</v>
      </c>
      <c r="G1034" s="9" t="s">
        <v>3625</v>
      </c>
      <c r="H1034" s="9" t="s">
        <v>18</v>
      </c>
      <c r="I1034" s="16" t="str">
        <f>VLOOKUP(F1034,[1]完整分类结果!$E:$G,3,0)</f>
        <v>造纸及纸制品业</v>
      </c>
      <c r="J1034" s="16">
        <f>VLOOKUP(I1034,[2]行业排放因子!$A:$B,2,0)</f>
        <v>9.5823869422898706</v>
      </c>
      <c r="K1034" s="9" t="s">
        <v>1489</v>
      </c>
    </row>
    <row r="1035" spans="1:11" ht="12.5" customHeight="1" x14ac:dyDescent="0.25">
      <c r="A1035" s="5" t="s">
        <v>3626</v>
      </c>
      <c r="B1035" s="6" t="s">
        <v>3620</v>
      </c>
      <c r="C1035" s="6" t="s">
        <v>3621</v>
      </c>
      <c r="D1035" s="6" t="s">
        <v>3622</v>
      </c>
      <c r="E1035" s="6" t="s">
        <v>3627</v>
      </c>
      <c r="F1035" s="6" t="s">
        <v>3628</v>
      </c>
      <c r="G1035" s="9" t="s">
        <v>3629</v>
      </c>
      <c r="H1035" s="9" t="s">
        <v>18</v>
      </c>
      <c r="I1035" s="16" t="str">
        <f>VLOOKUP(F1035,[1]完整分类结果!$E:$G,3,0)</f>
        <v>造纸及纸制品业</v>
      </c>
      <c r="J1035" s="16">
        <f>VLOOKUP(I1035,[2]行业排放因子!$A:$B,2,0)</f>
        <v>9.5823869422898706</v>
      </c>
      <c r="K1035" s="9" t="s">
        <v>1489</v>
      </c>
    </row>
    <row r="1036" spans="1:11" ht="12.5" customHeight="1" x14ac:dyDescent="0.25">
      <c r="A1036" s="5" t="s">
        <v>3630</v>
      </c>
      <c r="B1036" s="6" t="s">
        <v>3620</v>
      </c>
      <c r="C1036" s="6" t="s">
        <v>3621</v>
      </c>
      <c r="D1036" s="6" t="s">
        <v>3622</v>
      </c>
      <c r="E1036" s="6" t="s">
        <v>3631</v>
      </c>
      <c r="F1036" s="6" t="s">
        <v>3632</v>
      </c>
      <c r="G1036" s="9" t="s">
        <v>3633</v>
      </c>
      <c r="H1036" s="9" t="s">
        <v>18</v>
      </c>
      <c r="I1036" s="16" t="str">
        <f>VLOOKUP(F1036,[1]完整分类结果!$E:$G,3,0)</f>
        <v>造纸及纸制品业</v>
      </c>
      <c r="J1036" s="16">
        <f>VLOOKUP(I1036,[2]行业排放因子!$A:$B,2,0)</f>
        <v>9.5823869422898706</v>
      </c>
      <c r="K1036" s="9" t="s">
        <v>1489</v>
      </c>
    </row>
    <row r="1037" spans="1:11" ht="12.5" customHeight="1" x14ac:dyDescent="0.25">
      <c r="A1037" s="5" t="s">
        <v>3634</v>
      </c>
      <c r="B1037" s="6" t="s">
        <v>3620</v>
      </c>
      <c r="C1037" s="6" t="s">
        <v>3621</v>
      </c>
      <c r="D1037" s="6" t="s">
        <v>3622</v>
      </c>
      <c r="E1037" s="6" t="s">
        <v>3635</v>
      </c>
      <c r="F1037" s="6" t="s">
        <v>3636</v>
      </c>
      <c r="G1037" s="9" t="s">
        <v>3637</v>
      </c>
      <c r="H1037" s="9" t="s">
        <v>18</v>
      </c>
      <c r="I1037" s="16" t="str">
        <f>VLOOKUP(F1037,[1]完整分类结果!$E:$G,3,0)</f>
        <v>造纸及纸制品业</v>
      </c>
      <c r="J1037" s="16">
        <f>VLOOKUP(I1037,[2]行业排放因子!$A:$B,2,0)</f>
        <v>9.5823869422898706</v>
      </c>
      <c r="K1037" s="9" t="s">
        <v>1489</v>
      </c>
    </row>
    <row r="1038" spans="1:11" ht="12.5" customHeight="1" x14ac:dyDescent="0.25">
      <c r="A1038" s="5" t="s">
        <v>3638</v>
      </c>
      <c r="B1038" s="6" t="s">
        <v>3620</v>
      </c>
      <c r="C1038" s="6" t="s">
        <v>3621</v>
      </c>
      <c r="D1038" s="6" t="s">
        <v>3622</v>
      </c>
      <c r="E1038" s="6" t="s">
        <v>3639</v>
      </c>
      <c r="F1038" s="6" t="s">
        <v>3640</v>
      </c>
      <c r="G1038" s="9" t="s">
        <v>3641</v>
      </c>
      <c r="H1038" s="9" t="s">
        <v>18</v>
      </c>
      <c r="I1038" s="16" t="str">
        <f>VLOOKUP(F1038,[1]完整分类结果!$E:$G,3,0)</f>
        <v>造纸及纸制品业</v>
      </c>
      <c r="J1038" s="16">
        <f>VLOOKUP(I1038,[2]行业排放因子!$A:$B,2,0)</f>
        <v>9.5823869422898706</v>
      </c>
      <c r="K1038" s="9" t="s">
        <v>1489</v>
      </c>
    </row>
    <row r="1039" spans="1:11" ht="12.5" customHeight="1" x14ac:dyDescent="0.25">
      <c r="A1039" s="5" t="s">
        <v>3642</v>
      </c>
      <c r="B1039" s="6" t="s">
        <v>3620</v>
      </c>
      <c r="C1039" s="6" t="s">
        <v>3621</v>
      </c>
      <c r="D1039" s="6" t="s">
        <v>3622</v>
      </c>
      <c r="E1039" s="6" t="s">
        <v>3643</v>
      </c>
      <c r="F1039" s="6" t="s">
        <v>3644</v>
      </c>
      <c r="G1039" s="9" t="s">
        <v>3645</v>
      </c>
      <c r="H1039" s="9" t="s">
        <v>18</v>
      </c>
      <c r="I1039" s="16" t="str">
        <f>VLOOKUP(F1039,[1]完整分类结果!$E:$G,3,0)</f>
        <v>造纸及纸制品业</v>
      </c>
      <c r="J1039" s="16">
        <f>VLOOKUP(I1039,[2]行业排放因子!$A:$B,2,0)</f>
        <v>9.5823869422898706</v>
      </c>
      <c r="K1039" s="9" t="s">
        <v>1489</v>
      </c>
    </row>
    <row r="1040" spans="1:11" ht="12.5" customHeight="1" x14ac:dyDescent="0.25">
      <c r="A1040" s="5" t="s">
        <v>3646</v>
      </c>
      <c r="B1040" s="6" t="s">
        <v>3620</v>
      </c>
      <c r="C1040" s="6" t="s">
        <v>3621</v>
      </c>
      <c r="D1040" s="6" t="s">
        <v>3622</v>
      </c>
      <c r="E1040" s="6" t="s">
        <v>3647</v>
      </c>
      <c r="F1040" s="6" t="s">
        <v>3648</v>
      </c>
      <c r="G1040" s="9"/>
      <c r="H1040" s="9" t="s">
        <v>18</v>
      </c>
      <c r="I1040" s="16" t="str">
        <f>VLOOKUP(F1040,[1]完整分类结果!$E:$G,3,0)</f>
        <v>造纸及纸制品业</v>
      </c>
      <c r="J1040" s="16">
        <f>VLOOKUP(I1040,[2]行业排放因子!$A:$B,2,0)</f>
        <v>9.5823869422898706</v>
      </c>
      <c r="K1040" s="9" t="s">
        <v>1489</v>
      </c>
    </row>
    <row r="1041" spans="1:11" ht="12.5" customHeight="1" x14ac:dyDescent="0.25">
      <c r="A1041" s="5" t="s">
        <v>3649</v>
      </c>
      <c r="B1041" s="6" t="s">
        <v>3620</v>
      </c>
      <c r="C1041" s="6" t="s">
        <v>3621</v>
      </c>
      <c r="D1041" s="6" t="s">
        <v>3622</v>
      </c>
      <c r="E1041" s="6" t="s">
        <v>3650</v>
      </c>
      <c r="F1041" s="6" t="s">
        <v>3651</v>
      </c>
      <c r="G1041" s="9" t="s">
        <v>3652</v>
      </c>
      <c r="H1041" s="9" t="s">
        <v>18</v>
      </c>
      <c r="I1041" s="16" t="str">
        <f>VLOOKUP(F1041,[1]完整分类结果!$E:$G,3,0)</f>
        <v>造纸及纸制品业</v>
      </c>
      <c r="J1041" s="16">
        <f>VLOOKUP(I1041,[2]行业排放因子!$A:$B,2,0)</f>
        <v>9.5823869422898706</v>
      </c>
      <c r="K1041" s="9" t="s">
        <v>1489</v>
      </c>
    </row>
    <row r="1042" spans="1:11" ht="12.5" customHeight="1" x14ac:dyDescent="0.25">
      <c r="A1042" s="5" t="s">
        <v>3653</v>
      </c>
      <c r="B1042" s="6" t="s">
        <v>3620</v>
      </c>
      <c r="C1042" s="6" t="s">
        <v>3621</v>
      </c>
      <c r="D1042" s="6" t="s">
        <v>3622</v>
      </c>
      <c r="E1042" s="6" t="s">
        <v>3654</v>
      </c>
      <c r="F1042" s="6" t="s">
        <v>3655</v>
      </c>
      <c r="G1042" s="9" t="s">
        <v>3656</v>
      </c>
      <c r="H1042" s="9" t="s">
        <v>18</v>
      </c>
      <c r="I1042" s="16" t="str">
        <f>VLOOKUP(F1042,[1]完整分类结果!$E:$G,3,0)</f>
        <v>造纸及纸制品业</v>
      </c>
      <c r="J1042" s="16">
        <f>VLOOKUP(I1042,[2]行业排放因子!$A:$B,2,0)</f>
        <v>9.5823869422898706</v>
      </c>
      <c r="K1042" s="9" t="s">
        <v>1489</v>
      </c>
    </row>
    <row r="1043" spans="1:11" ht="12.5" customHeight="1" x14ac:dyDescent="0.25">
      <c r="A1043" s="5" t="s">
        <v>3657</v>
      </c>
      <c r="B1043" s="6" t="s">
        <v>3620</v>
      </c>
      <c r="C1043" s="6" t="s">
        <v>3621</v>
      </c>
      <c r="D1043" s="6" t="s">
        <v>3622</v>
      </c>
      <c r="E1043" s="6" t="s">
        <v>3658</v>
      </c>
      <c r="F1043" s="6" t="s">
        <v>3659</v>
      </c>
      <c r="G1043" s="9" t="s">
        <v>3660</v>
      </c>
      <c r="H1043" s="9" t="s">
        <v>18</v>
      </c>
      <c r="I1043" s="16" t="str">
        <f>VLOOKUP(F1043,[1]完整分类结果!$E:$G,3,0)</f>
        <v>造纸及纸制品业</v>
      </c>
      <c r="J1043" s="16">
        <f>VLOOKUP(I1043,[2]行业排放因子!$A:$B,2,0)</f>
        <v>9.5823869422898706</v>
      </c>
      <c r="K1043" s="9" t="s">
        <v>1489</v>
      </c>
    </row>
    <row r="1044" spans="1:11" ht="12.5" customHeight="1" x14ac:dyDescent="0.25">
      <c r="A1044" s="5" t="s">
        <v>3661</v>
      </c>
      <c r="B1044" s="6" t="s">
        <v>3620</v>
      </c>
      <c r="C1044" s="6" t="s">
        <v>3621</v>
      </c>
      <c r="D1044" s="6" t="s">
        <v>3622</v>
      </c>
      <c r="E1044" s="6" t="s">
        <v>3662</v>
      </c>
      <c r="F1044" s="6" t="s">
        <v>3663</v>
      </c>
      <c r="G1044" s="9" t="s">
        <v>3664</v>
      </c>
      <c r="H1044" s="9" t="s">
        <v>18</v>
      </c>
      <c r="I1044" s="16" t="str">
        <f>VLOOKUP(F1044,[1]完整分类结果!$E:$G,3,0)</f>
        <v>造纸及纸制品业</v>
      </c>
      <c r="J1044" s="16">
        <f>VLOOKUP(I1044,[2]行业排放因子!$A:$B,2,0)</f>
        <v>9.5823869422898706</v>
      </c>
      <c r="K1044" s="9" t="s">
        <v>1489</v>
      </c>
    </row>
    <row r="1045" spans="1:11" ht="12.5" customHeight="1" x14ac:dyDescent="0.25">
      <c r="A1045" s="5" t="s">
        <v>3665</v>
      </c>
      <c r="B1045" s="6" t="s">
        <v>3620</v>
      </c>
      <c r="C1045" s="6" t="s">
        <v>3621</v>
      </c>
      <c r="D1045" s="6" t="s">
        <v>3622</v>
      </c>
      <c r="E1045" s="6" t="s">
        <v>3666</v>
      </c>
      <c r="F1045" s="6" t="s">
        <v>3667</v>
      </c>
      <c r="G1045" s="9" t="s">
        <v>3668</v>
      </c>
      <c r="H1045" s="9" t="s">
        <v>18</v>
      </c>
      <c r="I1045" s="16" t="str">
        <f>VLOOKUP(F1045,[1]完整分类结果!$E:$G,3,0)</f>
        <v>造纸及纸制品业</v>
      </c>
      <c r="J1045" s="16">
        <f>VLOOKUP(I1045,[2]行业排放因子!$A:$B,2,0)</f>
        <v>9.5823869422898706</v>
      </c>
      <c r="K1045" s="9" t="s">
        <v>1489</v>
      </c>
    </row>
    <row r="1046" spans="1:11" ht="12.5" customHeight="1" x14ac:dyDescent="0.25">
      <c r="A1046" s="5" t="s">
        <v>3669</v>
      </c>
      <c r="B1046" s="6" t="s">
        <v>3620</v>
      </c>
      <c r="C1046" s="6" t="s">
        <v>3621</v>
      </c>
      <c r="D1046" s="6" t="s">
        <v>3622</v>
      </c>
      <c r="E1046" s="6" t="s">
        <v>3670</v>
      </c>
      <c r="F1046" s="6" t="s">
        <v>3671</v>
      </c>
      <c r="G1046" s="9" t="s">
        <v>3672</v>
      </c>
      <c r="H1046" s="9" t="s">
        <v>18</v>
      </c>
      <c r="I1046" s="16" t="str">
        <f>VLOOKUP(F1046,[1]完整分类结果!$E:$G,3,0)</f>
        <v>造纸及纸制品业</v>
      </c>
      <c r="J1046" s="16">
        <f>VLOOKUP(I1046,[2]行业排放因子!$A:$B,2,0)</f>
        <v>9.5823869422898706</v>
      </c>
      <c r="K1046" s="9" t="s">
        <v>1489</v>
      </c>
    </row>
    <row r="1047" spans="1:11" ht="12.5" customHeight="1" x14ac:dyDescent="0.25">
      <c r="A1047" s="5" t="s">
        <v>3673</v>
      </c>
      <c r="B1047" s="6" t="s">
        <v>3620</v>
      </c>
      <c r="C1047" s="6" t="s">
        <v>3621</v>
      </c>
      <c r="D1047" s="6" t="s">
        <v>3622</v>
      </c>
      <c r="E1047" s="6" t="s">
        <v>3674</v>
      </c>
      <c r="F1047" s="6" t="s">
        <v>3675</v>
      </c>
      <c r="G1047" s="9"/>
      <c r="H1047" s="9" t="s">
        <v>18</v>
      </c>
      <c r="I1047" s="16" t="str">
        <f>VLOOKUP(F1047,[1]完整分类结果!$E:$G,3,0)</f>
        <v>造纸及纸制品业</v>
      </c>
      <c r="J1047" s="16">
        <f>VLOOKUP(I1047,[2]行业排放因子!$A:$B,2,0)</f>
        <v>9.5823869422898706</v>
      </c>
      <c r="K1047" s="9" t="s">
        <v>1489</v>
      </c>
    </row>
    <row r="1048" spans="1:11" ht="12.5" customHeight="1" x14ac:dyDescent="0.25">
      <c r="A1048" s="5" t="s">
        <v>3676</v>
      </c>
      <c r="B1048" s="6" t="s">
        <v>3620</v>
      </c>
      <c r="C1048" s="6" t="s">
        <v>3621</v>
      </c>
      <c r="D1048" s="6" t="s">
        <v>3622</v>
      </c>
      <c r="E1048" s="6" t="s">
        <v>3677</v>
      </c>
      <c r="F1048" s="6" t="s">
        <v>3678</v>
      </c>
      <c r="G1048" s="9" t="s">
        <v>3679</v>
      </c>
      <c r="H1048" s="9" t="s">
        <v>18</v>
      </c>
      <c r="I1048" s="16" t="str">
        <f>VLOOKUP(F1048,[1]完整分类结果!$E:$G,3,0)</f>
        <v>造纸及纸制品业</v>
      </c>
      <c r="J1048" s="16">
        <f>VLOOKUP(I1048,[2]行业排放因子!$A:$B,2,0)</f>
        <v>9.5823869422898706</v>
      </c>
      <c r="K1048" s="9" t="s">
        <v>1489</v>
      </c>
    </row>
    <row r="1049" spans="1:11" ht="12.5" customHeight="1" x14ac:dyDescent="0.25">
      <c r="A1049" s="5" t="s">
        <v>3680</v>
      </c>
      <c r="B1049" s="6" t="s">
        <v>3620</v>
      </c>
      <c r="C1049" s="6" t="s">
        <v>3621</v>
      </c>
      <c r="D1049" s="6" t="s">
        <v>3622</v>
      </c>
      <c r="E1049" s="6" t="s">
        <v>3681</v>
      </c>
      <c r="F1049" s="6" t="s">
        <v>3682</v>
      </c>
      <c r="G1049" s="9" t="s">
        <v>3683</v>
      </c>
      <c r="H1049" s="9" t="s">
        <v>18</v>
      </c>
      <c r="I1049" s="16" t="str">
        <f>VLOOKUP(F1049,[1]完整分类结果!$E:$G,3,0)</f>
        <v>造纸及纸制品业</v>
      </c>
      <c r="J1049" s="16">
        <f>VLOOKUP(I1049,[2]行业排放因子!$A:$B,2,0)</f>
        <v>9.5823869422898706</v>
      </c>
      <c r="K1049" s="9" t="s">
        <v>1489</v>
      </c>
    </row>
    <row r="1050" spans="1:11" ht="12.5" customHeight="1" x14ac:dyDescent="0.25">
      <c r="A1050" s="5" t="s">
        <v>3684</v>
      </c>
      <c r="B1050" s="6" t="s">
        <v>3620</v>
      </c>
      <c r="C1050" s="6" t="s">
        <v>3621</v>
      </c>
      <c r="D1050" s="6" t="s">
        <v>3622</v>
      </c>
      <c r="E1050" s="6" t="s">
        <v>3685</v>
      </c>
      <c r="F1050" s="6" t="s">
        <v>3686</v>
      </c>
      <c r="G1050" s="9" t="s">
        <v>3687</v>
      </c>
      <c r="H1050" s="9" t="s">
        <v>18</v>
      </c>
      <c r="I1050" s="16" t="str">
        <f>VLOOKUP(F1050,[1]完整分类结果!$E:$G,3,0)</f>
        <v>造纸及纸制品业</v>
      </c>
      <c r="J1050" s="16">
        <f>VLOOKUP(I1050,[2]行业排放因子!$A:$B,2,0)</f>
        <v>9.5823869422898706</v>
      </c>
      <c r="K1050" s="9" t="s">
        <v>1489</v>
      </c>
    </row>
    <row r="1051" spans="1:11" ht="12.5" customHeight="1" x14ac:dyDescent="0.25">
      <c r="A1051" s="5" t="s">
        <v>3688</v>
      </c>
      <c r="B1051" s="6" t="s">
        <v>3620</v>
      </c>
      <c r="C1051" s="6" t="s">
        <v>3621</v>
      </c>
      <c r="D1051" s="6" t="s">
        <v>3622</v>
      </c>
      <c r="E1051" s="6" t="s">
        <v>3689</v>
      </c>
      <c r="F1051" s="6" t="s">
        <v>3690</v>
      </c>
      <c r="G1051" s="9" t="s">
        <v>3691</v>
      </c>
      <c r="H1051" s="9" t="s">
        <v>18</v>
      </c>
      <c r="I1051" s="16" t="str">
        <f>VLOOKUP(F1051,[1]完整分类结果!$E:$G,3,0)</f>
        <v>造纸及纸制品业</v>
      </c>
      <c r="J1051" s="16">
        <f>VLOOKUP(I1051,[2]行业排放因子!$A:$B,2,0)</f>
        <v>9.5823869422898706</v>
      </c>
      <c r="K1051" s="9" t="s">
        <v>1489</v>
      </c>
    </row>
    <row r="1052" spans="1:11" ht="12.5" customHeight="1" x14ac:dyDescent="0.25">
      <c r="A1052" s="5" t="s">
        <v>3692</v>
      </c>
      <c r="B1052" s="6" t="s">
        <v>3620</v>
      </c>
      <c r="C1052" s="6" t="s">
        <v>3621</v>
      </c>
      <c r="D1052" s="6" t="s">
        <v>3622</v>
      </c>
      <c r="E1052" s="6" t="s">
        <v>3693</v>
      </c>
      <c r="F1052" s="6" t="s">
        <v>3694</v>
      </c>
      <c r="G1052" s="9" t="s">
        <v>3695</v>
      </c>
      <c r="H1052" s="9" t="s">
        <v>18</v>
      </c>
      <c r="I1052" s="16" t="str">
        <f>VLOOKUP(F1052,[1]完整分类结果!$E:$G,3,0)</f>
        <v>造纸及纸制品业</v>
      </c>
      <c r="J1052" s="16">
        <f>VLOOKUP(I1052,[2]行业排放因子!$A:$B,2,0)</f>
        <v>9.5823869422898706</v>
      </c>
      <c r="K1052" s="9" t="s">
        <v>1489</v>
      </c>
    </row>
    <row r="1053" spans="1:11" ht="12.5" customHeight="1" x14ac:dyDescent="0.25">
      <c r="A1053" s="5" t="s">
        <v>3696</v>
      </c>
      <c r="B1053" s="6" t="s">
        <v>3620</v>
      </c>
      <c r="C1053" s="6" t="s">
        <v>3621</v>
      </c>
      <c r="D1053" s="6" t="s">
        <v>3622</v>
      </c>
      <c r="E1053" s="6" t="s">
        <v>3697</v>
      </c>
      <c r="F1053" s="6" t="s">
        <v>3698</v>
      </c>
      <c r="G1053" s="9"/>
      <c r="H1053" s="9" t="s">
        <v>18</v>
      </c>
      <c r="I1053" s="16" t="str">
        <f>VLOOKUP(F1053,[1]完整分类结果!$E:$G,3,0)</f>
        <v>造纸及纸制品业</v>
      </c>
      <c r="J1053" s="16">
        <f>VLOOKUP(I1053,[2]行业排放因子!$A:$B,2,0)</f>
        <v>9.5823869422898706</v>
      </c>
      <c r="K1053" s="9" t="s">
        <v>1489</v>
      </c>
    </row>
    <row r="1054" spans="1:11" ht="12.5" customHeight="1" x14ac:dyDescent="0.25">
      <c r="A1054" s="5" t="s">
        <v>3699</v>
      </c>
      <c r="B1054" s="6" t="s">
        <v>3620</v>
      </c>
      <c r="C1054" s="6" t="s">
        <v>3621</v>
      </c>
      <c r="D1054" s="6" t="s">
        <v>3622</v>
      </c>
      <c r="E1054" s="6" t="s">
        <v>3700</v>
      </c>
      <c r="F1054" s="6" t="s">
        <v>3701</v>
      </c>
      <c r="G1054" s="9" t="s">
        <v>3702</v>
      </c>
      <c r="H1054" s="9" t="s">
        <v>18</v>
      </c>
      <c r="I1054" s="16" t="str">
        <f>VLOOKUP(F1054,[1]完整分类结果!$E:$G,3,0)</f>
        <v>造纸及纸制品业</v>
      </c>
      <c r="J1054" s="16">
        <f>VLOOKUP(I1054,[2]行业排放因子!$A:$B,2,0)</f>
        <v>9.5823869422898706</v>
      </c>
      <c r="K1054" s="9" t="s">
        <v>1489</v>
      </c>
    </row>
    <row r="1055" spans="1:11" ht="12.5" customHeight="1" x14ac:dyDescent="0.25">
      <c r="A1055" s="5" t="s">
        <v>3703</v>
      </c>
      <c r="B1055" s="6" t="s">
        <v>3620</v>
      </c>
      <c r="C1055" s="6" t="s">
        <v>3621</v>
      </c>
      <c r="D1055" s="6" t="s">
        <v>3622</v>
      </c>
      <c r="E1055" s="6" t="s">
        <v>3704</v>
      </c>
      <c r="F1055" s="6" t="s">
        <v>3705</v>
      </c>
      <c r="G1055" s="9"/>
      <c r="H1055" s="9" t="s">
        <v>18</v>
      </c>
      <c r="I1055" s="16" t="str">
        <f>VLOOKUP(F1055,[1]完整分类结果!$E:$G,3,0)</f>
        <v>造纸及纸制品业</v>
      </c>
      <c r="J1055" s="16">
        <f>VLOOKUP(I1055,[2]行业排放因子!$A:$B,2,0)</f>
        <v>9.5823869422898706</v>
      </c>
      <c r="K1055" s="9" t="s">
        <v>1489</v>
      </c>
    </row>
    <row r="1056" spans="1:11" ht="12.5" customHeight="1" x14ac:dyDescent="0.25">
      <c r="A1056" s="5" t="s">
        <v>3706</v>
      </c>
      <c r="B1056" s="6" t="s">
        <v>3620</v>
      </c>
      <c r="C1056" s="6" t="s">
        <v>3621</v>
      </c>
      <c r="D1056" s="6" t="s">
        <v>3622</v>
      </c>
      <c r="E1056" s="6" t="s">
        <v>3707</v>
      </c>
      <c r="F1056" s="6" t="s">
        <v>3708</v>
      </c>
      <c r="G1056" s="9" t="s">
        <v>3709</v>
      </c>
      <c r="H1056" s="9" t="s">
        <v>18</v>
      </c>
      <c r="I1056" s="16" t="str">
        <f>VLOOKUP(F1056,[1]完整分类结果!$E:$G,3,0)</f>
        <v>造纸及纸制品业</v>
      </c>
      <c r="J1056" s="16">
        <f>VLOOKUP(I1056,[2]行业排放因子!$A:$B,2,0)</f>
        <v>9.5823869422898706</v>
      </c>
      <c r="K1056" s="9" t="s">
        <v>1489</v>
      </c>
    </row>
    <row r="1057" spans="1:11" ht="12.5" customHeight="1" x14ac:dyDescent="0.25">
      <c r="A1057" s="5" t="s">
        <v>3710</v>
      </c>
      <c r="B1057" s="6" t="s">
        <v>3620</v>
      </c>
      <c r="C1057" s="6" t="s">
        <v>3621</v>
      </c>
      <c r="D1057" s="6" t="s">
        <v>3622</v>
      </c>
      <c r="E1057" s="6" t="s">
        <v>3711</v>
      </c>
      <c r="F1057" s="6" t="s">
        <v>3712</v>
      </c>
      <c r="G1057" s="9" t="s">
        <v>3713</v>
      </c>
      <c r="H1057" s="9" t="s">
        <v>18</v>
      </c>
      <c r="I1057" s="16" t="str">
        <f>VLOOKUP(F1057,[1]完整分类结果!$E:$G,3,0)</f>
        <v>造纸及纸制品业</v>
      </c>
      <c r="J1057" s="16">
        <f>VLOOKUP(I1057,[2]行业排放因子!$A:$B,2,0)</f>
        <v>9.5823869422898706</v>
      </c>
      <c r="K1057" s="9" t="s">
        <v>1489</v>
      </c>
    </row>
    <row r="1058" spans="1:11" ht="12.5" customHeight="1" x14ac:dyDescent="0.25">
      <c r="A1058" s="5" t="s">
        <v>3714</v>
      </c>
      <c r="B1058" s="6" t="s">
        <v>3620</v>
      </c>
      <c r="C1058" s="6" t="s">
        <v>3621</v>
      </c>
      <c r="D1058" s="6" t="s">
        <v>3622</v>
      </c>
      <c r="E1058" s="6" t="s">
        <v>3715</v>
      </c>
      <c r="F1058" s="6" t="s">
        <v>3716</v>
      </c>
      <c r="G1058" s="9" t="s">
        <v>3717</v>
      </c>
      <c r="H1058" s="9" t="s">
        <v>18</v>
      </c>
      <c r="I1058" s="16" t="str">
        <f>VLOOKUP(F1058,[1]完整分类结果!$E:$G,3,0)</f>
        <v>造纸及纸制品业</v>
      </c>
      <c r="J1058" s="16">
        <f>VLOOKUP(I1058,[2]行业排放因子!$A:$B,2,0)</f>
        <v>9.5823869422898706</v>
      </c>
      <c r="K1058" s="9" t="s">
        <v>1489</v>
      </c>
    </row>
    <row r="1059" spans="1:11" ht="12.5" customHeight="1" x14ac:dyDescent="0.25">
      <c r="A1059" s="5" t="s">
        <v>3718</v>
      </c>
      <c r="B1059" s="6" t="s">
        <v>3620</v>
      </c>
      <c r="C1059" s="6" t="s">
        <v>3621</v>
      </c>
      <c r="D1059" s="6" t="s">
        <v>3622</v>
      </c>
      <c r="E1059" s="6" t="s">
        <v>3719</v>
      </c>
      <c r="F1059" s="6" t="s">
        <v>3720</v>
      </c>
      <c r="G1059" s="9" t="s">
        <v>3721</v>
      </c>
      <c r="H1059" s="9" t="s">
        <v>18</v>
      </c>
      <c r="I1059" s="16" t="str">
        <f>VLOOKUP(F1059,[1]完整分类结果!$E:$G,3,0)</f>
        <v>造纸及纸制品业</v>
      </c>
      <c r="J1059" s="16">
        <f>VLOOKUP(I1059,[2]行业排放因子!$A:$B,2,0)</f>
        <v>9.5823869422898706</v>
      </c>
      <c r="K1059" s="9" t="s">
        <v>1489</v>
      </c>
    </row>
    <row r="1060" spans="1:11" ht="12.5" customHeight="1" x14ac:dyDescent="0.25">
      <c r="A1060" s="5" t="s">
        <v>3722</v>
      </c>
      <c r="B1060" s="6" t="s">
        <v>3620</v>
      </c>
      <c r="C1060" s="6" t="s">
        <v>3621</v>
      </c>
      <c r="D1060" s="6" t="s">
        <v>3622</v>
      </c>
      <c r="E1060" s="6" t="s">
        <v>3723</v>
      </c>
      <c r="F1060" s="6" t="s">
        <v>3724</v>
      </c>
      <c r="G1060" s="9" t="s">
        <v>3725</v>
      </c>
      <c r="H1060" s="9" t="s">
        <v>18</v>
      </c>
      <c r="I1060" s="16" t="str">
        <f>VLOOKUP(F1060,[1]完整分类结果!$E:$G,3,0)</f>
        <v>造纸及纸制品业</v>
      </c>
      <c r="J1060" s="16">
        <f>VLOOKUP(I1060,[2]行业排放因子!$A:$B,2,0)</f>
        <v>9.5823869422898706</v>
      </c>
      <c r="K1060" s="9" t="s">
        <v>1489</v>
      </c>
    </row>
    <row r="1061" spans="1:11" ht="12.5" customHeight="1" x14ac:dyDescent="0.25">
      <c r="A1061" s="5" t="s">
        <v>3726</v>
      </c>
      <c r="B1061" s="6" t="s">
        <v>3620</v>
      </c>
      <c r="C1061" s="6" t="s">
        <v>3621</v>
      </c>
      <c r="D1061" s="6" t="s">
        <v>3622</v>
      </c>
      <c r="E1061" s="6" t="s">
        <v>3727</v>
      </c>
      <c r="F1061" s="6" t="s">
        <v>3728</v>
      </c>
      <c r="G1061" s="9" t="s">
        <v>3729</v>
      </c>
      <c r="H1061" s="9" t="s">
        <v>18</v>
      </c>
      <c r="I1061" s="16" t="str">
        <f>VLOOKUP(F1061,[1]完整分类结果!$E:$G,3,0)</f>
        <v>造纸及纸制品业</v>
      </c>
      <c r="J1061" s="16">
        <f>VLOOKUP(I1061,[2]行业排放因子!$A:$B,2,0)</f>
        <v>9.5823869422898706</v>
      </c>
      <c r="K1061" s="9" t="s">
        <v>1489</v>
      </c>
    </row>
    <row r="1062" spans="1:11" ht="12.5" customHeight="1" x14ac:dyDescent="0.25">
      <c r="A1062" s="5" t="s">
        <v>3730</v>
      </c>
      <c r="B1062" s="6" t="s">
        <v>3620</v>
      </c>
      <c r="C1062" s="6" t="s">
        <v>3621</v>
      </c>
      <c r="D1062" s="6" t="s">
        <v>3622</v>
      </c>
      <c r="E1062" s="6" t="s">
        <v>3731</v>
      </c>
      <c r="F1062" s="6" t="s">
        <v>3732</v>
      </c>
      <c r="G1062" s="9" t="s">
        <v>3733</v>
      </c>
      <c r="H1062" s="9" t="s">
        <v>18</v>
      </c>
      <c r="I1062" s="16" t="str">
        <f>VLOOKUP(F1062,[1]完整分类结果!$E:$G,3,0)</f>
        <v>造纸及纸制品业</v>
      </c>
      <c r="J1062" s="16">
        <f>VLOOKUP(I1062,[2]行业排放因子!$A:$B,2,0)</f>
        <v>9.5823869422898706</v>
      </c>
      <c r="K1062" s="9" t="s">
        <v>1489</v>
      </c>
    </row>
    <row r="1063" spans="1:11" ht="12.5" customHeight="1" x14ac:dyDescent="0.25">
      <c r="A1063" s="5" t="s">
        <v>3734</v>
      </c>
      <c r="B1063" s="6" t="s">
        <v>3620</v>
      </c>
      <c r="C1063" s="6" t="s">
        <v>3621</v>
      </c>
      <c r="D1063" s="6" t="s">
        <v>3622</v>
      </c>
      <c r="E1063" s="6" t="s">
        <v>3735</v>
      </c>
      <c r="F1063" s="6" t="s">
        <v>3736</v>
      </c>
      <c r="G1063" s="9" t="s">
        <v>3737</v>
      </c>
      <c r="H1063" s="9" t="s">
        <v>18</v>
      </c>
      <c r="I1063" s="16" t="str">
        <f>VLOOKUP(F1063,[1]完整分类结果!$E:$G,3,0)</f>
        <v>造纸及纸制品业</v>
      </c>
      <c r="J1063" s="16">
        <f>VLOOKUP(I1063,[2]行业排放因子!$A:$B,2,0)</f>
        <v>9.5823869422898706</v>
      </c>
      <c r="K1063" s="9" t="s">
        <v>1489</v>
      </c>
    </row>
    <row r="1064" spans="1:11" ht="12.5" customHeight="1" x14ac:dyDescent="0.25">
      <c r="A1064" s="5" t="s">
        <v>3738</v>
      </c>
      <c r="B1064" s="6" t="s">
        <v>3620</v>
      </c>
      <c r="C1064" s="6" t="s">
        <v>3621</v>
      </c>
      <c r="D1064" s="6" t="s">
        <v>3622</v>
      </c>
      <c r="E1064" s="6" t="s">
        <v>3739</v>
      </c>
      <c r="F1064" s="6" t="s">
        <v>3740</v>
      </c>
      <c r="G1064" s="9" t="s">
        <v>3741</v>
      </c>
      <c r="H1064" s="9" t="s">
        <v>18</v>
      </c>
      <c r="I1064" s="16" t="str">
        <f>VLOOKUP(F1064,[1]完整分类结果!$E:$G,3,0)</f>
        <v>造纸及纸制品业</v>
      </c>
      <c r="J1064" s="16">
        <f>VLOOKUP(I1064,[2]行业排放因子!$A:$B,2,0)</f>
        <v>9.5823869422898706</v>
      </c>
      <c r="K1064" s="9" t="s">
        <v>1489</v>
      </c>
    </row>
    <row r="1065" spans="1:11" ht="12.5" customHeight="1" x14ac:dyDescent="0.25">
      <c r="A1065" s="5" t="s">
        <v>3742</v>
      </c>
      <c r="B1065" s="6" t="s">
        <v>3620</v>
      </c>
      <c r="C1065" s="6" t="s">
        <v>3621</v>
      </c>
      <c r="D1065" s="6" t="s">
        <v>3622</v>
      </c>
      <c r="E1065" s="6" t="s">
        <v>3743</v>
      </c>
      <c r="F1065" s="6" t="s">
        <v>3744</v>
      </c>
      <c r="G1065" s="9"/>
      <c r="H1065" s="9" t="s">
        <v>18</v>
      </c>
      <c r="I1065" s="16" t="str">
        <f>VLOOKUP(F1065,[1]完整分类结果!$E:$G,3,0)</f>
        <v>造纸及纸制品业</v>
      </c>
      <c r="J1065" s="16">
        <f>VLOOKUP(I1065,[2]行业排放因子!$A:$B,2,0)</f>
        <v>9.5823869422898706</v>
      </c>
      <c r="K1065" s="9" t="s">
        <v>1489</v>
      </c>
    </row>
    <row r="1066" spans="1:11" ht="12.5" customHeight="1" x14ac:dyDescent="0.25">
      <c r="A1066" s="5" t="s">
        <v>3745</v>
      </c>
      <c r="B1066" s="6" t="s">
        <v>3620</v>
      </c>
      <c r="C1066" s="6" t="s">
        <v>3621</v>
      </c>
      <c r="D1066" s="6" t="s">
        <v>3622</v>
      </c>
      <c r="E1066" s="6" t="s">
        <v>3746</v>
      </c>
      <c r="F1066" s="6" t="s">
        <v>3747</v>
      </c>
      <c r="G1066" s="9" t="s">
        <v>3748</v>
      </c>
      <c r="H1066" s="9" t="s">
        <v>18</v>
      </c>
      <c r="I1066" s="16" t="str">
        <f>VLOOKUP(F1066,[1]完整分类结果!$E:$G,3,0)</f>
        <v>造纸及纸制品业</v>
      </c>
      <c r="J1066" s="16">
        <f>VLOOKUP(I1066,[2]行业排放因子!$A:$B,2,0)</f>
        <v>9.5823869422898706</v>
      </c>
      <c r="K1066" s="9" t="s">
        <v>1489</v>
      </c>
    </row>
    <row r="1067" spans="1:11" ht="12.5" customHeight="1" x14ac:dyDescent="0.25">
      <c r="A1067" s="5" t="s">
        <v>3749</v>
      </c>
      <c r="B1067" s="6" t="s">
        <v>3620</v>
      </c>
      <c r="C1067" s="6" t="s">
        <v>3621</v>
      </c>
      <c r="D1067" s="6" t="s">
        <v>3622</v>
      </c>
      <c r="E1067" s="6" t="s">
        <v>3750</v>
      </c>
      <c r="F1067" s="6" t="s">
        <v>3751</v>
      </c>
      <c r="G1067" s="9"/>
      <c r="H1067" s="9" t="s">
        <v>18</v>
      </c>
      <c r="I1067" s="16" t="str">
        <f>VLOOKUP(F1067,[1]完整分类结果!$E:$G,3,0)</f>
        <v>造纸及纸制品业</v>
      </c>
      <c r="J1067" s="16">
        <f>VLOOKUP(I1067,[2]行业排放因子!$A:$B,2,0)</f>
        <v>9.5823869422898706</v>
      </c>
      <c r="K1067" s="9" t="s">
        <v>1489</v>
      </c>
    </row>
    <row r="1068" spans="1:11" ht="12.5" customHeight="1" x14ac:dyDescent="0.25">
      <c r="A1068" s="5" t="s">
        <v>3752</v>
      </c>
      <c r="B1068" s="6" t="s">
        <v>3620</v>
      </c>
      <c r="C1068" s="6" t="s">
        <v>3753</v>
      </c>
      <c r="D1068" s="6" t="s">
        <v>3754</v>
      </c>
      <c r="E1068" s="6" t="s">
        <v>3755</v>
      </c>
      <c r="F1068" s="6" t="s">
        <v>3756</v>
      </c>
      <c r="G1068" s="9" t="s">
        <v>3757</v>
      </c>
      <c r="H1068" s="9" t="s">
        <v>18</v>
      </c>
      <c r="I1068" s="16" t="str">
        <f>VLOOKUP(F1068,[1]完整分类结果!$E:$G,3,0)</f>
        <v>印刷业、记录媒介复制业</v>
      </c>
      <c r="J1068" s="16">
        <f>VLOOKUP(I1068,[2]行业排放因子!$A:$B,2,0)</f>
        <v>1.44955998759807</v>
      </c>
      <c r="K1068" s="9" t="s">
        <v>1489</v>
      </c>
    </row>
    <row r="1069" spans="1:11" ht="12.5" customHeight="1" x14ac:dyDescent="0.25">
      <c r="A1069" s="5" t="s">
        <v>3758</v>
      </c>
      <c r="B1069" s="6" t="s">
        <v>3620</v>
      </c>
      <c r="C1069" s="6" t="s">
        <v>3753</v>
      </c>
      <c r="D1069" s="6" t="s">
        <v>3754</v>
      </c>
      <c r="E1069" s="6" t="s">
        <v>3759</v>
      </c>
      <c r="F1069" s="6" t="s">
        <v>3760</v>
      </c>
      <c r="G1069" s="9" t="s">
        <v>3757</v>
      </c>
      <c r="H1069" s="9" t="s">
        <v>18</v>
      </c>
      <c r="I1069" s="16" t="str">
        <f>VLOOKUP(F1069,[1]完整分类结果!$E:$G,3,0)</f>
        <v>印刷业、记录媒介复制业</v>
      </c>
      <c r="J1069" s="16">
        <f>VLOOKUP(I1069,[2]行业排放因子!$A:$B,2,0)</f>
        <v>1.44955998759807</v>
      </c>
      <c r="K1069" s="9" t="s">
        <v>1489</v>
      </c>
    </row>
    <row r="1070" spans="1:11" ht="12.5" customHeight="1" x14ac:dyDescent="0.25">
      <c r="A1070" s="5" t="s">
        <v>3761</v>
      </c>
      <c r="B1070" s="6" t="s">
        <v>3620</v>
      </c>
      <c r="C1070" s="6" t="s">
        <v>3753</v>
      </c>
      <c r="D1070" s="6" t="s">
        <v>3754</v>
      </c>
      <c r="E1070" s="6" t="s">
        <v>3762</v>
      </c>
      <c r="F1070" s="6" t="s">
        <v>3763</v>
      </c>
      <c r="G1070" s="9" t="s">
        <v>3764</v>
      </c>
      <c r="H1070" s="9" t="s">
        <v>18</v>
      </c>
      <c r="I1070" s="16" t="str">
        <f>VLOOKUP(F1070,[1]完整分类结果!$E:$G,3,0)</f>
        <v>印刷业、记录媒介复制业</v>
      </c>
      <c r="J1070" s="16">
        <f>VLOOKUP(I1070,[2]行业排放因子!$A:$B,2,0)</f>
        <v>1.44955998759807</v>
      </c>
      <c r="K1070" s="9" t="s">
        <v>1489</v>
      </c>
    </row>
    <row r="1071" spans="1:11" ht="12.5" customHeight="1" x14ac:dyDescent="0.25">
      <c r="A1071" s="5" t="s">
        <v>3765</v>
      </c>
      <c r="B1071" s="6" t="s">
        <v>3620</v>
      </c>
      <c r="C1071" s="6" t="s">
        <v>3753</v>
      </c>
      <c r="D1071" s="6" t="s">
        <v>3754</v>
      </c>
      <c r="E1071" s="6" t="s">
        <v>3766</v>
      </c>
      <c r="F1071" s="6" t="s">
        <v>3767</v>
      </c>
      <c r="G1071" s="9" t="s">
        <v>3768</v>
      </c>
      <c r="H1071" s="9" t="s">
        <v>18</v>
      </c>
      <c r="I1071" s="16" t="str">
        <f>VLOOKUP(F1071,[1]完整分类结果!$E:$G,3,0)</f>
        <v>印刷业、记录媒介复制业</v>
      </c>
      <c r="J1071" s="16">
        <f>VLOOKUP(I1071,[2]行业排放因子!$A:$B,2,0)</f>
        <v>1.44955998759807</v>
      </c>
      <c r="K1071" s="9" t="s">
        <v>1489</v>
      </c>
    </row>
    <row r="1072" spans="1:11" ht="12.5" customHeight="1" x14ac:dyDescent="0.25">
      <c r="A1072" s="5" t="s">
        <v>3769</v>
      </c>
      <c r="B1072" s="6" t="s">
        <v>3620</v>
      </c>
      <c r="C1072" s="6" t="s">
        <v>3753</v>
      </c>
      <c r="D1072" s="6" t="s">
        <v>3754</v>
      </c>
      <c r="E1072" s="6" t="s">
        <v>3770</v>
      </c>
      <c r="F1072" s="6" t="s">
        <v>3771</v>
      </c>
      <c r="G1072" s="9"/>
      <c r="H1072" s="9" t="s">
        <v>18</v>
      </c>
      <c r="I1072" s="16" t="str">
        <f>VLOOKUP(F1072,[1]完整分类结果!$E:$G,3,0)</f>
        <v>印刷业、记录媒介复制业</v>
      </c>
      <c r="J1072" s="16">
        <f>VLOOKUP(I1072,[2]行业排放因子!$A:$B,2,0)</f>
        <v>1.44955998759807</v>
      </c>
      <c r="K1072" s="9" t="s">
        <v>1489</v>
      </c>
    </row>
    <row r="1073" spans="1:11" ht="12.5" customHeight="1" x14ac:dyDescent="0.25">
      <c r="A1073" s="5" t="s">
        <v>3772</v>
      </c>
      <c r="B1073" s="6" t="s">
        <v>3620</v>
      </c>
      <c r="C1073" s="6" t="s">
        <v>3753</v>
      </c>
      <c r="D1073" s="6" t="s">
        <v>3754</v>
      </c>
      <c r="E1073" s="6" t="s">
        <v>3773</v>
      </c>
      <c r="F1073" s="6" t="s">
        <v>3774</v>
      </c>
      <c r="G1073" s="9" t="s">
        <v>3775</v>
      </c>
      <c r="H1073" s="9" t="s">
        <v>18</v>
      </c>
      <c r="I1073" s="16" t="str">
        <f>VLOOKUP(F1073,[1]完整分类结果!$E:$G,3,0)</f>
        <v>印刷业、记录媒介复制业</v>
      </c>
      <c r="J1073" s="16">
        <f>VLOOKUP(I1073,[2]行业排放因子!$A:$B,2,0)</f>
        <v>1.44955998759807</v>
      </c>
      <c r="K1073" s="9" t="s">
        <v>1489</v>
      </c>
    </row>
    <row r="1074" spans="1:11" ht="12.5" customHeight="1" x14ac:dyDescent="0.25">
      <c r="A1074" s="5" t="s">
        <v>3776</v>
      </c>
      <c r="B1074" s="6" t="s">
        <v>3620</v>
      </c>
      <c r="C1074" s="6" t="s">
        <v>3753</v>
      </c>
      <c r="D1074" s="6" t="s">
        <v>3754</v>
      </c>
      <c r="E1074" s="6" t="s">
        <v>3777</v>
      </c>
      <c r="F1074" s="6" t="s">
        <v>3778</v>
      </c>
      <c r="G1074" s="9" t="s">
        <v>3779</v>
      </c>
      <c r="H1074" s="9" t="s">
        <v>18</v>
      </c>
      <c r="I1074" s="16" t="str">
        <f>VLOOKUP(F1074,[1]完整分类结果!$E:$G,3,0)</f>
        <v>印刷业、记录媒介复制业</v>
      </c>
      <c r="J1074" s="16">
        <f>VLOOKUP(I1074,[2]行业排放因子!$A:$B,2,0)</f>
        <v>1.44955998759807</v>
      </c>
      <c r="K1074" s="9" t="s">
        <v>1489</v>
      </c>
    </row>
    <row r="1075" spans="1:11" ht="12.5" customHeight="1" x14ac:dyDescent="0.25">
      <c r="A1075" s="5" t="s">
        <v>3780</v>
      </c>
      <c r="B1075" s="6" t="s">
        <v>3620</v>
      </c>
      <c r="C1075" s="6" t="s">
        <v>3753</v>
      </c>
      <c r="D1075" s="6" t="s">
        <v>3754</v>
      </c>
      <c r="E1075" s="6" t="s">
        <v>3781</v>
      </c>
      <c r="F1075" s="6" t="s">
        <v>3782</v>
      </c>
      <c r="G1075" s="9" t="s">
        <v>3783</v>
      </c>
      <c r="H1075" s="9" t="s">
        <v>18</v>
      </c>
      <c r="I1075" s="16" t="str">
        <f>VLOOKUP(F1075,[1]完整分类结果!$E:$G,3,0)</f>
        <v>印刷业、记录媒介复制业</v>
      </c>
      <c r="J1075" s="16">
        <f>VLOOKUP(I1075,[2]行业排放因子!$A:$B,2,0)</f>
        <v>1.44955998759807</v>
      </c>
      <c r="K1075" s="9" t="s">
        <v>1489</v>
      </c>
    </row>
    <row r="1076" spans="1:11" ht="12.5" customHeight="1" x14ac:dyDescent="0.25">
      <c r="A1076" s="5" t="s">
        <v>3784</v>
      </c>
      <c r="B1076" s="6" t="s">
        <v>3620</v>
      </c>
      <c r="C1076" s="6" t="s">
        <v>3753</v>
      </c>
      <c r="D1076" s="6" t="s">
        <v>3754</v>
      </c>
      <c r="E1076" s="6" t="s">
        <v>3785</v>
      </c>
      <c r="F1076" s="6" t="s">
        <v>3786</v>
      </c>
      <c r="G1076" s="9" t="s">
        <v>3787</v>
      </c>
      <c r="H1076" s="9" t="s">
        <v>18</v>
      </c>
      <c r="I1076" s="16" t="str">
        <f>VLOOKUP(F1076,[1]完整分类结果!$E:$G,3,0)</f>
        <v>印刷业、记录媒介复制业</v>
      </c>
      <c r="J1076" s="16">
        <f>VLOOKUP(I1076,[2]行业排放因子!$A:$B,2,0)</f>
        <v>1.44955998759807</v>
      </c>
      <c r="K1076" s="9" t="s">
        <v>1489</v>
      </c>
    </row>
    <row r="1077" spans="1:11" ht="12.5" customHeight="1" x14ac:dyDescent="0.25">
      <c r="A1077" s="5" t="s">
        <v>3788</v>
      </c>
      <c r="B1077" s="6" t="s">
        <v>3620</v>
      </c>
      <c r="C1077" s="6" t="s">
        <v>3753</v>
      </c>
      <c r="D1077" s="6" t="s">
        <v>3754</v>
      </c>
      <c r="E1077" s="6" t="s">
        <v>3789</v>
      </c>
      <c r="F1077" s="6" t="s">
        <v>3790</v>
      </c>
      <c r="G1077" s="9"/>
      <c r="H1077" s="9" t="s">
        <v>18</v>
      </c>
      <c r="I1077" s="16" t="str">
        <f>VLOOKUP(F1077,[1]完整分类结果!$E:$G,3,0)</f>
        <v>印刷业、记录媒介复制业</v>
      </c>
      <c r="J1077" s="16">
        <f>VLOOKUP(I1077,[2]行业排放因子!$A:$B,2,0)</f>
        <v>1.44955998759807</v>
      </c>
      <c r="K1077" s="9" t="s">
        <v>1489</v>
      </c>
    </row>
    <row r="1078" spans="1:11" ht="12.5" customHeight="1" x14ac:dyDescent="0.25">
      <c r="A1078" s="5" t="s">
        <v>3791</v>
      </c>
      <c r="B1078" s="6" t="s">
        <v>3620</v>
      </c>
      <c r="C1078" s="6" t="s">
        <v>3753</v>
      </c>
      <c r="D1078" s="6" t="s">
        <v>3754</v>
      </c>
      <c r="E1078" s="6" t="s">
        <v>3792</v>
      </c>
      <c r="F1078" s="6" t="s">
        <v>3793</v>
      </c>
      <c r="G1078" s="9"/>
      <c r="H1078" s="9" t="s">
        <v>18</v>
      </c>
      <c r="I1078" s="16" t="str">
        <f>VLOOKUP(F1078,[1]完整分类结果!$E:$G,3,0)</f>
        <v>印刷业、记录媒介复制业</v>
      </c>
      <c r="J1078" s="16">
        <f>VLOOKUP(I1078,[2]行业排放因子!$A:$B,2,0)</f>
        <v>1.44955998759807</v>
      </c>
      <c r="K1078" s="9" t="s">
        <v>1489</v>
      </c>
    </row>
    <row r="1079" spans="1:11" ht="12.5" customHeight="1" x14ac:dyDescent="0.25">
      <c r="A1079" s="5" t="s">
        <v>3794</v>
      </c>
      <c r="B1079" s="6" t="s">
        <v>3620</v>
      </c>
      <c r="C1079" s="6" t="s">
        <v>3753</v>
      </c>
      <c r="D1079" s="6" t="s">
        <v>3754</v>
      </c>
      <c r="E1079" s="6" t="s">
        <v>3795</v>
      </c>
      <c r="F1079" s="6" t="s">
        <v>3796</v>
      </c>
      <c r="G1079" s="9"/>
      <c r="H1079" s="9" t="s">
        <v>18</v>
      </c>
      <c r="I1079" s="16" t="str">
        <f>VLOOKUP(F1079,[1]完整分类结果!$E:$G,3,0)</f>
        <v>印刷业、记录媒介复制业</v>
      </c>
      <c r="J1079" s="16">
        <f>VLOOKUP(I1079,[2]行业排放因子!$A:$B,2,0)</f>
        <v>1.44955998759807</v>
      </c>
      <c r="K1079" s="9" t="s">
        <v>1489</v>
      </c>
    </row>
    <row r="1080" spans="1:11" ht="12.5" customHeight="1" x14ac:dyDescent="0.25">
      <c r="A1080" s="5" t="s">
        <v>3797</v>
      </c>
      <c r="B1080" s="6" t="s">
        <v>3620</v>
      </c>
      <c r="C1080" s="6" t="s">
        <v>3753</v>
      </c>
      <c r="D1080" s="6" t="s">
        <v>3754</v>
      </c>
      <c r="E1080" s="6" t="s">
        <v>3798</v>
      </c>
      <c r="F1080" s="6" t="s">
        <v>3799</v>
      </c>
      <c r="G1080" s="9"/>
      <c r="H1080" s="9" t="s">
        <v>18</v>
      </c>
      <c r="I1080" s="16" t="str">
        <f>VLOOKUP(F1080,[1]完整分类结果!$E:$G,3,0)</f>
        <v>印刷业、记录媒介复制业</v>
      </c>
      <c r="J1080" s="16">
        <f>VLOOKUP(I1080,[2]行业排放因子!$A:$B,2,0)</f>
        <v>1.44955998759807</v>
      </c>
      <c r="K1080" s="9" t="s">
        <v>1489</v>
      </c>
    </row>
    <row r="1081" spans="1:11" ht="12.5" customHeight="1" x14ac:dyDescent="0.25">
      <c r="A1081" s="5" t="s">
        <v>3800</v>
      </c>
      <c r="B1081" s="6" t="s">
        <v>3620</v>
      </c>
      <c r="C1081" s="6" t="s">
        <v>3753</v>
      </c>
      <c r="D1081" s="6" t="s">
        <v>3754</v>
      </c>
      <c r="E1081" s="6" t="s">
        <v>3801</v>
      </c>
      <c r="F1081" s="6" t="s">
        <v>3802</v>
      </c>
      <c r="G1081" s="9"/>
      <c r="H1081" s="9" t="s">
        <v>18</v>
      </c>
      <c r="I1081" s="16" t="str">
        <f>VLOOKUP(F1081,[1]完整分类结果!$E:$G,3,0)</f>
        <v>印刷业、记录媒介复制业</v>
      </c>
      <c r="J1081" s="16">
        <f>VLOOKUP(I1081,[2]行业排放因子!$A:$B,2,0)</f>
        <v>1.44955998759807</v>
      </c>
      <c r="K1081" s="9" t="s">
        <v>1489</v>
      </c>
    </row>
    <row r="1082" spans="1:11" ht="12.5" customHeight="1" x14ac:dyDescent="0.25">
      <c r="A1082" s="5" t="s">
        <v>3803</v>
      </c>
      <c r="B1082" s="6" t="s">
        <v>3620</v>
      </c>
      <c r="C1082" s="6" t="s">
        <v>3753</v>
      </c>
      <c r="D1082" s="6" t="s">
        <v>3754</v>
      </c>
      <c r="E1082" s="6" t="s">
        <v>3804</v>
      </c>
      <c r="F1082" s="6" t="s">
        <v>3805</v>
      </c>
      <c r="G1082" s="9"/>
      <c r="H1082" s="9" t="s">
        <v>18</v>
      </c>
      <c r="I1082" s="16" t="str">
        <f>VLOOKUP(F1082,[1]完整分类结果!$E:$G,3,0)</f>
        <v>印刷业、记录媒介复制业</v>
      </c>
      <c r="J1082" s="16">
        <f>VLOOKUP(I1082,[2]行业排放因子!$A:$B,2,0)</f>
        <v>1.44955998759807</v>
      </c>
      <c r="K1082" s="9" t="s">
        <v>1489</v>
      </c>
    </row>
    <row r="1083" spans="1:11" ht="12.5" customHeight="1" x14ac:dyDescent="0.25">
      <c r="A1083" s="5" t="s">
        <v>3806</v>
      </c>
      <c r="B1083" s="6" t="s">
        <v>3620</v>
      </c>
      <c r="C1083" s="6" t="s">
        <v>3753</v>
      </c>
      <c r="D1083" s="6" t="s">
        <v>3754</v>
      </c>
      <c r="E1083" s="6" t="s">
        <v>3807</v>
      </c>
      <c r="F1083" s="6" t="s">
        <v>3808</v>
      </c>
      <c r="G1083" s="9"/>
      <c r="H1083" s="9" t="s">
        <v>18</v>
      </c>
      <c r="I1083" s="16" t="str">
        <f>VLOOKUP(F1083,[1]完整分类结果!$E:$G,3,0)</f>
        <v>印刷业、记录媒介复制业</v>
      </c>
      <c r="J1083" s="16">
        <f>VLOOKUP(I1083,[2]行业排放因子!$A:$B,2,0)</f>
        <v>1.44955998759807</v>
      </c>
      <c r="K1083" s="9" t="s">
        <v>1489</v>
      </c>
    </row>
    <row r="1084" spans="1:11" ht="12.5" customHeight="1" x14ac:dyDescent="0.25">
      <c r="A1084" s="5" t="s">
        <v>3809</v>
      </c>
      <c r="B1084" s="6" t="s">
        <v>3620</v>
      </c>
      <c r="C1084" s="6" t="s">
        <v>3753</v>
      </c>
      <c r="D1084" s="6" t="s">
        <v>3754</v>
      </c>
      <c r="E1084" s="6" t="s">
        <v>3810</v>
      </c>
      <c r="F1084" s="6" t="s">
        <v>3811</v>
      </c>
      <c r="G1084" s="9"/>
      <c r="H1084" s="9" t="s">
        <v>18</v>
      </c>
      <c r="I1084" s="16" t="str">
        <f>VLOOKUP(F1084,[1]完整分类结果!$E:$G,3,0)</f>
        <v>印刷业、记录媒介复制业</v>
      </c>
      <c r="J1084" s="16">
        <f>VLOOKUP(I1084,[2]行业排放因子!$A:$B,2,0)</f>
        <v>1.44955998759807</v>
      </c>
      <c r="K1084" s="9" t="s">
        <v>1489</v>
      </c>
    </row>
    <row r="1085" spans="1:11" ht="12.5" customHeight="1" x14ac:dyDescent="0.25">
      <c r="A1085" s="5" t="s">
        <v>3812</v>
      </c>
      <c r="B1085" s="6" t="s">
        <v>3620</v>
      </c>
      <c r="C1085" s="6" t="s">
        <v>3753</v>
      </c>
      <c r="D1085" s="6" t="s">
        <v>3754</v>
      </c>
      <c r="E1085" s="6" t="s">
        <v>3813</v>
      </c>
      <c r="F1085" s="6" t="s">
        <v>3814</v>
      </c>
      <c r="G1085" s="9" t="s">
        <v>3815</v>
      </c>
      <c r="H1085" s="9" t="s">
        <v>18</v>
      </c>
      <c r="I1085" s="16" t="str">
        <f>VLOOKUP(F1085,[1]完整分类结果!$E:$G,3,0)</f>
        <v>印刷业、记录媒介复制业</v>
      </c>
      <c r="J1085" s="16">
        <f>VLOOKUP(I1085,[2]行业排放因子!$A:$B,2,0)</f>
        <v>1.44955998759807</v>
      </c>
      <c r="K1085" s="9" t="s">
        <v>1489</v>
      </c>
    </row>
    <row r="1086" spans="1:11" ht="12.5" customHeight="1" x14ac:dyDescent="0.25">
      <c r="A1086" s="5" t="s">
        <v>3816</v>
      </c>
      <c r="B1086" s="6" t="s">
        <v>3620</v>
      </c>
      <c r="C1086" s="6" t="s">
        <v>3753</v>
      </c>
      <c r="D1086" s="6" t="s">
        <v>3754</v>
      </c>
      <c r="E1086" s="6" t="s">
        <v>3817</v>
      </c>
      <c r="F1086" s="6" t="s">
        <v>3818</v>
      </c>
      <c r="G1086" s="9"/>
      <c r="H1086" s="9" t="s">
        <v>18</v>
      </c>
      <c r="I1086" s="16" t="str">
        <f>VLOOKUP(F1086,[1]完整分类结果!$E:$G,3,0)</f>
        <v>印刷业、记录媒介复制业</v>
      </c>
      <c r="J1086" s="16">
        <f>VLOOKUP(I1086,[2]行业排放因子!$A:$B,2,0)</f>
        <v>1.44955998759807</v>
      </c>
      <c r="K1086" s="9" t="s">
        <v>1489</v>
      </c>
    </row>
    <row r="1087" spans="1:11" ht="12.5" customHeight="1" x14ac:dyDescent="0.25">
      <c r="A1087" s="5" t="s">
        <v>3819</v>
      </c>
      <c r="B1087" s="6" t="s">
        <v>3620</v>
      </c>
      <c r="C1087" s="6" t="s">
        <v>3753</v>
      </c>
      <c r="D1087" s="6" t="s">
        <v>3754</v>
      </c>
      <c r="E1087" s="6" t="s">
        <v>3820</v>
      </c>
      <c r="F1087" s="6" t="s">
        <v>3821</v>
      </c>
      <c r="G1087" s="9" t="s">
        <v>3822</v>
      </c>
      <c r="H1087" s="9" t="s">
        <v>18</v>
      </c>
      <c r="I1087" s="16" t="str">
        <f>VLOOKUP(F1087,[1]完整分类结果!$E:$G,3,0)</f>
        <v>印刷业、记录媒介复制业</v>
      </c>
      <c r="J1087" s="16">
        <f>VLOOKUP(I1087,[2]行业排放因子!$A:$B,2,0)</f>
        <v>1.44955998759807</v>
      </c>
      <c r="K1087" s="9" t="s">
        <v>1489</v>
      </c>
    </row>
    <row r="1088" spans="1:11" ht="12.5" customHeight="1" x14ac:dyDescent="0.25">
      <c r="A1088" s="5" t="s">
        <v>3823</v>
      </c>
      <c r="B1088" s="6" t="s">
        <v>3620</v>
      </c>
      <c r="C1088" s="6" t="s">
        <v>3753</v>
      </c>
      <c r="D1088" s="6" t="s">
        <v>3824</v>
      </c>
      <c r="E1088" s="6" t="s">
        <v>3825</v>
      </c>
      <c r="F1088" s="6" t="s">
        <v>3826</v>
      </c>
      <c r="G1088" s="9" t="s">
        <v>3827</v>
      </c>
      <c r="H1088" s="9" t="s">
        <v>18</v>
      </c>
      <c r="I1088" s="16" t="str">
        <f>VLOOKUP(F1088,[1]完整分类结果!$E:$G,3,0)</f>
        <v>文教体育用品制造业</v>
      </c>
      <c r="J1088" s="16">
        <f>VLOOKUP(I1088,[2]行业排放因子!$A:$B,2,0)</f>
        <v>1.34473732401866</v>
      </c>
      <c r="K1088" s="9" t="s">
        <v>1489</v>
      </c>
    </row>
    <row r="1089" spans="1:11" ht="12.5" customHeight="1" x14ac:dyDescent="0.25">
      <c r="A1089" s="5" t="s">
        <v>3828</v>
      </c>
      <c r="B1089" s="6" t="s">
        <v>3620</v>
      </c>
      <c r="C1089" s="6" t="s">
        <v>3753</v>
      </c>
      <c r="D1089" s="6" t="s">
        <v>3824</v>
      </c>
      <c r="E1089" s="6" t="s">
        <v>3829</v>
      </c>
      <c r="F1089" s="6" t="s">
        <v>3830</v>
      </c>
      <c r="G1089" s="9" t="s">
        <v>3831</v>
      </c>
      <c r="H1089" s="9" t="s">
        <v>18</v>
      </c>
      <c r="I1089" s="16" t="str">
        <f>VLOOKUP(F1089,[1]完整分类结果!$E:$G,3,0)</f>
        <v>文教体育用品制造业</v>
      </c>
      <c r="J1089" s="16">
        <f>VLOOKUP(I1089,[2]行业排放因子!$A:$B,2,0)</f>
        <v>1.34473732401866</v>
      </c>
      <c r="K1089" s="9" t="s">
        <v>1489</v>
      </c>
    </row>
    <row r="1090" spans="1:11" ht="12.5" customHeight="1" x14ac:dyDescent="0.25">
      <c r="A1090" s="5" t="s">
        <v>3832</v>
      </c>
      <c r="B1090" s="6" t="s">
        <v>3620</v>
      </c>
      <c r="C1090" s="6" t="s">
        <v>3753</v>
      </c>
      <c r="D1090" s="6" t="s">
        <v>3824</v>
      </c>
      <c r="E1090" s="6" t="s">
        <v>3833</v>
      </c>
      <c r="F1090" s="6" t="s">
        <v>3834</v>
      </c>
      <c r="G1090" s="9" t="s">
        <v>3835</v>
      </c>
      <c r="H1090" s="9" t="s">
        <v>18</v>
      </c>
      <c r="I1090" s="16" t="str">
        <f>VLOOKUP(F1090,[1]完整分类结果!$E:$G,3,0)</f>
        <v>文教体育用品制造业</v>
      </c>
      <c r="J1090" s="16">
        <f>VLOOKUP(I1090,[2]行业排放因子!$A:$B,2,0)</f>
        <v>1.34473732401866</v>
      </c>
      <c r="K1090" s="9" t="s">
        <v>1489</v>
      </c>
    </row>
    <row r="1091" spans="1:11" ht="12.5" customHeight="1" x14ac:dyDescent="0.25">
      <c r="A1091" s="5" t="s">
        <v>3836</v>
      </c>
      <c r="B1091" s="6" t="s">
        <v>3620</v>
      </c>
      <c r="C1091" s="6" t="s">
        <v>3753</v>
      </c>
      <c r="D1091" s="6" t="s">
        <v>3824</v>
      </c>
      <c r="E1091" s="6" t="s">
        <v>3837</v>
      </c>
      <c r="F1091" s="6" t="s">
        <v>3838</v>
      </c>
      <c r="G1091" s="9"/>
      <c r="H1091" s="9" t="s">
        <v>18</v>
      </c>
      <c r="I1091" s="16" t="str">
        <f>VLOOKUP(F1091,[1]完整分类结果!$E:$G,3,0)</f>
        <v>文教体育用品制造业</v>
      </c>
      <c r="J1091" s="16">
        <f>VLOOKUP(I1091,[2]行业排放因子!$A:$B,2,0)</f>
        <v>1.34473732401866</v>
      </c>
      <c r="K1091" s="9" t="s">
        <v>1489</v>
      </c>
    </row>
    <row r="1092" spans="1:11" ht="12.5" customHeight="1" x14ac:dyDescent="0.25">
      <c r="A1092" s="5" t="s">
        <v>3839</v>
      </c>
      <c r="B1092" s="6" t="s">
        <v>3620</v>
      </c>
      <c r="C1092" s="6" t="s">
        <v>3753</v>
      </c>
      <c r="D1092" s="6" t="s">
        <v>3840</v>
      </c>
      <c r="E1092" s="6" t="s">
        <v>3841</v>
      </c>
      <c r="F1092" s="6" t="s">
        <v>3842</v>
      </c>
      <c r="G1092" s="9" t="s">
        <v>3843</v>
      </c>
      <c r="H1092" s="9" t="s">
        <v>18</v>
      </c>
      <c r="I1092" s="16" t="str">
        <f>VLOOKUP(F1092,[1]完整分类结果!$E:$G,3,0)</f>
        <v>文教体育用品制造业</v>
      </c>
      <c r="J1092" s="16">
        <f>VLOOKUP(I1092,[2]行业排放因子!$A:$B,2,0)</f>
        <v>1.34473732401866</v>
      </c>
      <c r="K1092" s="9" t="s">
        <v>1489</v>
      </c>
    </row>
    <row r="1093" spans="1:11" ht="12.5" customHeight="1" x14ac:dyDescent="0.25">
      <c r="A1093" s="5" t="s">
        <v>3844</v>
      </c>
      <c r="B1093" s="6" t="s">
        <v>3620</v>
      </c>
      <c r="C1093" s="6" t="s">
        <v>3753</v>
      </c>
      <c r="D1093" s="6" t="s">
        <v>3840</v>
      </c>
      <c r="E1093" s="6" t="s">
        <v>3845</v>
      </c>
      <c r="F1093" s="6" t="s">
        <v>3846</v>
      </c>
      <c r="G1093" s="9" t="s">
        <v>3847</v>
      </c>
      <c r="H1093" s="9" t="s">
        <v>18</v>
      </c>
      <c r="I1093" s="16" t="str">
        <f>VLOOKUP(F1093,[1]完整分类结果!$E:$G,3,0)</f>
        <v>文教体育用品制造业</v>
      </c>
      <c r="J1093" s="16">
        <f>VLOOKUP(I1093,[2]行业排放因子!$A:$B,2,0)</f>
        <v>1.34473732401866</v>
      </c>
      <c r="K1093" s="9" t="s">
        <v>1489</v>
      </c>
    </row>
    <row r="1094" spans="1:11" ht="12.5" customHeight="1" x14ac:dyDescent="0.25">
      <c r="A1094" s="5" t="s">
        <v>3848</v>
      </c>
      <c r="B1094" s="6" t="s">
        <v>3620</v>
      </c>
      <c r="C1094" s="6" t="s">
        <v>3753</v>
      </c>
      <c r="D1094" s="6" t="s">
        <v>3840</v>
      </c>
      <c r="E1094" s="6" t="s">
        <v>3849</v>
      </c>
      <c r="F1094" s="6" t="s">
        <v>3850</v>
      </c>
      <c r="G1094" s="9" t="s">
        <v>3851</v>
      </c>
      <c r="H1094" s="9" t="s">
        <v>18</v>
      </c>
      <c r="I1094" s="16" t="str">
        <f>VLOOKUP(F1094,[1]完整分类结果!$E:$G,3,0)</f>
        <v>文教体育用品制造业</v>
      </c>
      <c r="J1094" s="16">
        <f>VLOOKUP(I1094,[2]行业排放因子!$A:$B,2,0)</f>
        <v>1.34473732401866</v>
      </c>
      <c r="K1094" s="9" t="s">
        <v>1489</v>
      </c>
    </row>
    <row r="1095" spans="1:11" ht="12.5" customHeight="1" x14ac:dyDescent="0.25">
      <c r="A1095" s="5" t="s">
        <v>3852</v>
      </c>
      <c r="B1095" s="6" t="s">
        <v>3620</v>
      </c>
      <c r="C1095" s="6" t="s">
        <v>3753</v>
      </c>
      <c r="D1095" s="6" t="s">
        <v>3840</v>
      </c>
      <c r="E1095" s="6" t="s">
        <v>3853</v>
      </c>
      <c r="F1095" s="6" t="s">
        <v>3854</v>
      </c>
      <c r="G1095" s="9"/>
      <c r="H1095" s="9" t="s">
        <v>18</v>
      </c>
      <c r="I1095" s="16" t="str">
        <f>VLOOKUP(F1095,[1]完整分类结果!$E:$G,3,0)</f>
        <v>文教体育用品制造业</v>
      </c>
      <c r="J1095" s="16">
        <f>VLOOKUP(I1095,[2]行业排放因子!$A:$B,2,0)</f>
        <v>1.34473732401866</v>
      </c>
      <c r="K1095" s="9" t="s">
        <v>1489</v>
      </c>
    </row>
    <row r="1096" spans="1:11" ht="12.5" customHeight="1" x14ac:dyDescent="0.25">
      <c r="A1096" s="5" t="s">
        <v>3855</v>
      </c>
      <c r="B1096" s="6" t="s">
        <v>3620</v>
      </c>
      <c r="C1096" s="6" t="s">
        <v>3753</v>
      </c>
      <c r="D1096" s="6" t="s">
        <v>3840</v>
      </c>
      <c r="E1096" s="6" t="s">
        <v>3856</v>
      </c>
      <c r="F1096" s="6" t="s">
        <v>3857</v>
      </c>
      <c r="G1096" s="9" t="s">
        <v>3858</v>
      </c>
      <c r="H1096" s="9" t="s">
        <v>18</v>
      </c>
      <c r="I1096" s="16" t="str">
        <f>VLOOKUP(F1096,[1]完整分类结果!$E:$G,3,0)</f>
        <v>文教体育用品制造业</v>
      </c>
      <c r="J1096" s="16">
        <f>VLOOKUP(I1096,[2]行业排放因子!$A:$B,2,0)</f>
        <v>1.34473732401866</v>
      </c>
      <c r="K1096" s="9" t="s">
        <v>1489</v>
      </c>
    </row>
    <row r="1097" spans="1:11" ht="12.5" customHeight="1" x14ac:dyDescent="0.25">
      <c r="A1097" s="5" t="s">
        <v>3859</v>
      </c>
      <c r="B1097" s="6" t="s">
        <v>3620</v>
      </c>
      <c r="C1097" s="6" t="s">
        <v>3860</v>
      </c>
      <c r="D1097" s="6" t="s">
        <v>3861</v>
      </c>
      <c r="E1097" s="6" t="s">
        <v>3862</v>
      </c>
      <c r="F1097" s="6" t="s">
        <v>3863</v>
      </c>
      <c r="G1097" s="9" t="s">
        <v>3864</v>
      </c>
      <c r="H1097" s="9" t="s">
        <v>18</v>
      </c>
      <c r="I1097" s="16" t="str">
        <f>VLOOKUP(F1097,[1]完整分类结果!$E:$G,3,0)</f>
        <v>文教体育用品制造业</v>
      </c>
      <c r="J1097" s="16">
        <f>VLOOKUP(I1097,[2]行业排放因子!$A:$B,2,0)</f>
        <v>1.34473732401866</v>
      </c>
      <c r="K1097" s="9" t="s">
        <v>1489</v>
      </c>
    </row>
    <row r="1098" spans="1:11" ht="12.5" customHeight="1" x14ac:dyDescent="0.25">
      <c r="A1098" s="5" t="s">
        <v>3865</v>
      </c>
      <c r="B1098" s="6" t="s">
        <v>3620</v>
      </c>
      <c r="C1098" s="6" t="s">
        <v>3860</v>
      </c>
      <c r="D1098" s="6" t="s">
        <v>3861</v>
      </c>
      <c r="E1098" s="6" t="s">
        <v>3866</v>
      </c>
      <c r="F1098" s="6" t="s">
        <v>3867</v>
      </c>
      <c r="G1098" s="9"/>
      <c r="H1098" s="9" t="s">
        <v>18</v>
      </c>
      <c r="I1098" s="16" t="str">
        <f>VLOOKUP(F1098,[1]完整分类结果!$E:$G,3,0)</f>
        <v>文教体育用品制造业</v>
      </c>
      <c r="J1098" s="16">
        <f>VLOOKUP(I1098,[2]行业排放因子!$A:$B,2,0)</f>
        <v>1.34473732401866</v>
      </c>
      <c r="K1098" s="9" t="s">
        <v>1489</v>
      </c>
    </row>
    <row r="1099" spans="1:11" ht="12.5" customHeight="1" x14ac:dyDescent="0.25">
      <c r="A1099" s="5" t="s">
        <v>3868</v>
      </c>
      <c r="B1099" s="6" t="s">
        <v>3620</v>
      </c>
      <c r="C1099" s="6" t="s">
        <v>3860</v>
      </c>
      <c r="D1099" s="6" t="s">
        <v>3861</v>
      </c>
      <c r="E1099" s="6" t="s">
        <v>3869</v>
      </c>
      <c r="F1099" s="6" t="s">
        <v>3870</v>
      </c>
      <c r="G1099" s="9"/>
      <c r="H1099" s="9" t="s">
        <v>18</v>
      </c>
      <c r="I1099" s="16" t="str">
        <f>VLOOKUP(F1099,[1]完整分类结果!$E:$G,3,0)</f>
        <v>文教体育用品制造业</v>
      </c>
      <c r="J1099" s="16">
        <f>VLOOKUP(I1099,[2]行业排放因子!$A:$B,2,0)</f>
        <v>1.34473732401866</v>
      </c>
      <c r="K1099" s="9" t="s">
        <v>1489</v>
      </c>
    </row>
    <row r="1100" spans="1:11" ht="12.5" customHeight="1" x14ac:dyDescent="0.25">
      <c r="A1100" s="5" t="s">
        <v>3871</v>
      </c>
      <c r="B1100" s="6" t="s">
        <v>3620</v>
      </c>
      <c r="C1100" s="6" t="s">
        <v>3860</v>
      </c>
      <c r="D1100" s="6" t="s">
        <v>3861</v>
      </c>
      <c r="E1100" s="6" t="s">
        <v>3872</v>
      </c>
      <c r="F1100" s="6" t="s">
        <v>3873</v>
      </c>
      <c r="G1100" s="9"/>
      <c r="H1100" s="9" t="s">
        <v>18</v>
      </c>
      <c r="I1100" s="16" t="str">
        <f>VLOOKUP(F1100,[1]完整分类结果!$E:$G,3,0)</f>
        <v>文教体育用品制造业</v>
      </c>
      <c r="J1100" s="16">
        <f>VLOOKUP(I1100,[2]行业排放因子!$A:$B,2,0)</f>
        <v>1.34473732401866</v>
      </c>
      <c r="K1100" s="9" t="s">
        <v>1489</v>
      </c>
    </row>
    <row r="1101" spans="1:11" ht="12.5" customHeight="1" x14ac:dyDescent="0.25">
      <c r="A1101" s="5" t="s">
        <v>3874</v>
      </c>
      <c r="B1101" s="6" t="s">
        <v>3620</v>
      </c>
      <c r="C1101" s="6" t="s">
        <v>3860</v>
      </c>
      <c r="D1101" s="6" t="s">
        <v>3861</v>
      </c>
      <c r="E1101" s="6" t="s">
        <v>3875</v>
      </c>
      <c r="F1101" s="6" t="s">
        <v>3876</v>
      </c>
      <c r="G1101" s="9"/>
      <c r="H1101" s="9" t="s">
        <v>18</v>
      </c>
      <c r="I1101" s="16" t="str">
        <f>VLOOKUP(F1101,[1]完整分类结果!$E:$G,3,0)</f>
        <v>文教体育用品制造业</v>
      </c>
      <c r="J1101" s="16">
        <f>VLOOKUP(I1101,[2]行业排放因子!$A:$B,2,0)</f>
        <v>1.34473732401866</v>
      </c>
      <c r="K1101" s="9" t="s">
        <v>1489</v>
      </c>
    </row>
    <row r="1102" spans="1:11" ht="12.5" customHeight="1" x14ac:dyDescent="0.25">
      <c r="A1102" s="5" t="s">
        <v>3877</v>
      </c>
      <c r="B1102" s="6" t="s">
        <v>3620</v>
      </c>
      <c r="C1102" s="6" t="s">
        <v>3860</v>
      </c>
      <c r="D1102" s="6" t="s">
        <v>3861</v>
      </c>
      <c r="E1102" s="6" t="s">
        <v>3878</v>
      </c>
      <c r="F1102" s="6" t="s">
        <v>3879</v>
      </c>
      <c r="G1102" s="9"/>
      <c r="H1102" s="9" t="s">
        <v>18</v>
      </c>
      <c r="I1102" s="16" t="str">
        <f>VLOOKUP(F1102,[1]完整分类结果!$E:$G,3,0)</f>
        <v>文教体育用品制造业</v>
      </c>
      <c r="J1102" s="16">
        <f>VLOOKUP(I1102,[2]行业排放因子!$A:$B,2,0)</f>
        <v>1.34473732401866</v>
      </c>
      <c r="K1102" s="9" t="s">
        <v>1489</v>
      </c>
    </row>
    <row r="1103" spans="1:11" ht="12.5" customHeight="1" x14ac:dyDescent="0.25">
      <c r="A1103" s="5" t="s">
        <v>3880</v>
      </c>
      <c r="B1103" s="6" t="s">
        <v>3620</v>
      </c>
      <c r="C1103" s="6" t="s">
        <v>3860</v>
      </c>
      <c r="D1103" s="6" t="s">
        <v>3861</v>
      </c>
      <c r="E1103" s="6" t="s">
        <v>3881</v>
      </c>
      <c r="F1103" s="6" t="s">
        <v>3882</v>
      </c>
      <c r="G1103" s="9"/>
      <c r="H1103" s="9" t="s">
        <v>18</v>
      </c>
      <c r="I1103" s="16" t="str">
        <f>VLOOKUP(F1103,[1]完整分类结果!$E:$G,3,0)</f>
        <v>文教体育用品制造业</v>
      </c>
      <c r="J1103" s="16">
        <f>VLOOKUP(I1103,[2]行业排放因子!$A:$B,2,0)</f>
        <v>1.34473732401866</v>
      </c>
      <c r="K1103" s="9" t="s">
        <v>1489</v>
      </c>
    </row>
    <row r="1104" spans="1:11" ht="12.5" customHeight="1" x14ac:dyDescent="0.25">
      <c r="A1104" s="5" t="s">
        <v>3883</v>
      </c>
      <c r="B1104" s="6" t="s">
        <v>3620</v>
      </c>
      <c r="C1104" s="6" t="s">
        <v>3860</v>
      </c>
      <c r="D1104" s="6" t="s">
        <v>3861</v>
      </c>
      <c r="E1104" s="6" t="s">
        <v>3884</v>
      </c>
      <c r="F1104" s="6" t="s">
        <v>3885</v>
      </c>
      <c r="G1104" s="9"/>
      <c r="H1104" s="9" t="s">
        <v>18</v>
      </c>
      <c r="I1104" s="16" t="str">
        <f>VLOOKUP(F1104,[1]完整分类结果!$E:$G,3,0)</f>
        <v>文教体育用品制造业</v>
      </c>
      <c r="J1104" s="16">
        <f>VLOOKUP(I1104,[2]行业排放因子!$A:$B,2,0)</f>
        <v>1.34473732401866</v>
      </c>
      <c r="K1104" s="9" t="s">
        <v>1489</v>
      </c>
    </row>
    <row r="1105" spans="1:11" ht="12.5" customHeight="1" x14ac:dyDescent="0.25">
      <c r="A1105" s="5" t="s">
        <v>3886</v>
      </c>
      <c r="B1105" s="6" t="s">
        <v>3620</v>
      </c>
      <c r="C1105" s="6" t="s">
        <v>3860</v>
      </c>
      <c r="D1105" s="6" t="s">
        <v>3861</v>
      </c>
      <c r="E1105" s="6" t="s">
        <v>3887</v>
      </c>
      <c r="F1105" s="6" t="s">
        <v>3888</v>
      </c>
      <c r="G1105" s="9"/>
      <c r="H1105" s="9" t="s">
        <v>18</v>
      </c>
      <c r="I1105" s="16" t="str">
        <f>VLOOKUP(F1105,[1]完整分类结果!$E:$G,3,0)</f>
        <v>文教体育用品制造业</v>
      </c>
      <c r="J1105" s="16">
        <f>VLOOKUP(I1105,[2]行业排放因子!$A:$B,2,0)</f>
        <v>1.34473732401866</v>
      </c>
      <c r="K1105" s="9" t="s">
        <v>1489</v>
      </c>
    </row>
    <row r="1106" spans="1:11" ht="12.5" customHeight="1" x14ac:dyDescent="0.25">
      <c r="A1106" s="5" t="s">
        <v>3889</v>
      </c>
      <c r="B1106" s="6" t="s">
        <v>3620</v>
      </c>
      <c r="C1106" s="6" t="s">
        <v>3860</v>
      </c>
      <c r="D1106" s="6" t="s">
        <v>3861</v>
      </c>
      <c r="E1106" s="6" t="s">
        <v>3890</v>
      </c>
      <c r="F1106" s="6" t="s">
        <v>3891</v>
      </c>
      <c r="G1106" s="9"/>
      <c r="H1106" s="9" t="s">
        <v>18</v>
      </c>
      <c r="I1106" s="16" t="str">
        <f>VLOOKUP(F1106,[1]完整分类结果!$E:$G,3,0)</f>
        <v>文教体育用品制造业</v>
      </c>
      <c r="J1106" s="16">
        <f>VLOOKUP(I1106,[2]行业排放因子!$A:$B,2,0)</f>
        <v>1.34473732401866</v>
      </c>
      <c r="K1106" s="9" t="s">
        <v>1489</v>
      </c>
    </row>
    <row r="1107" spans="1:11" ht="12.5" customHeight="1" x14ac:dyDescent="0.25">
      <c r="A1107" s="5" t="s">
        <v>3892</v>
      </c>
      <c r="B1107" s="6" t="s">
        <v>3620</v>
      </c>
      <c r="C1107" s="6" t="s">
        <v>3860</v>
      </c>
      <c r="D1107" s="6" t="s">
        <v>3861</v>
      </c>
      <c r="E1107" s="6" t="s">
        <v>3893</v>
      </c>
      <c r="F1107" s="6" t="s">
        <v>3894</v>
      </c>
      <c r="G1107" s="9"/>
      <c r="H1107" s="9" t="s">
        <v>18</v>
      </c>
      <c r="I1107" s="16" t="str">
        <f>VLOOKUP(F1107,[1]完整分类结果!$E:$G,3,0)</f>
        <v>文教体育用品制造业</v>
      </c>
      <c r="J1107" s="16">
        <f>VLOOKUP(I1107,[2]行业排放因子!$A:$B,2,0)</f>
        <v>1.34473732401866</v>
      </c>
      <c r="K1107" s="9" t="s">
        <v>1489</v>
      </c>
    </row>
    <row r="1108" spans="1:11" ht="12.5" customHeight="1" x14ac:dyDescent="0.25">
      <c r="A1108" s="5" t="s">
        <v>3895</v>
      </c>
      <c r="B1108" s="6" t="s">
        <v>3620</v>
      </c>
      <c r="C1108" s="6" t="s">
        <v>3860</v>
      </c>
      <c r="D1108" s="6" t="s">
        <v>3861</v>
      </c>
      <c r="E1108" s="6" t="s">
        <v>3896</v>
      </c>
      <c r="F1108" s="6" t="s">
        <v>3897</v>
      </c>
      <c r="G1108" s="9"/>
      <c r="H1108" s="9" t="s">
        <v>18</v>
      </c>
      <c r="I1108" s="16" t="str">
        <f>VLOOKUP(F1108,[1]完整分类结果!$E:$G,3,0)</f>
        <v>文教体育用品制造业</v>
      </c>
      <c r="J1108" s="16">
        <f>VLOOKUP(I1108,[2]行业排放因子!$A:$B,2,0)</f>
        <v>1.34473732401866</v>
      </c>
      <c r="K1108" s="9" t="s">
        <v>3898</v>
      </c>
    </row>
    <row r="1109" spans="1:11" ht="12.5" customHeight="1" x14ac:dyDescent="0.25">
      <c r="A1109" s="5" t="s">
        <v>3899</v>
      </c>
      <c r="B1109" s="6" t="s">
        <v>3620</v>
      </c>
      <c r="C1109" s="6" t="s">
        <v>3860</v>
      </c>
      <c r="D1109" s="6" t="s">
        <v>3861</v>
      </c>
      <c r="E1109" s="6" t="s">
        <v>3900</v>
      </c>
      <c r="F1109" s="6" t="s">
        <v>3901</v>
      </c>
      <c r="G1109" s="9"/>
      <c r="H1109" s="9" t="s">
        <v>18</v>
      </c>
      <c r="I1109" s="16" t="str">
        <f>VLOOKUP(F1109,[1]完整分类结果!$E:$G,3,0)</f>
        <v>文教体育用品制造业</v>
      </c>
      <c r="J1109" s="16">
        <f>VLOOKUP(I1109,[2]行业排放因子!$A:$B,2,0)</f>
        <v>1.34473732401866</v>
      </c>
      <c r="K1109" s="9" t="s">
        <v>1489</v>
      </c>
    </row>
    <row r="1110" spans="1:11" ht="12.5" customHeight="1" x14ac:dyDescent="0.25">
      <c r="A1110" s="5" t="s">
        <v>3902</v>
      </c>
      <c r="B1110" s="6" t="s">
        <v>3620</v>
      </c>
      <c r="C1110" s="6" t="s">
        <v>3860</v>
      </c>
      <c r="D1110" s="6" t="s">
        <v>3861</v>
      </c>
      <c r="E1110" s="6" t="s">
        <v>3903</v>
      </c>
      <c r="F1110" s="6" t="s">
        <v>3904</v>
      </c>
      <c r="G1110" s="9" t="s">
        <v>3905</v>
      </c>
      <c r="H1110" s="9" t="s">
        <v>18</v>
      </c>
      <c r="I1110" s="16" t="str">
        <f>VLOOKUP(F1110,[1]完整分类结果!$E:$G,3,0)</f>
        <v>文教体育用品制造业</v>
      </c>
      <c r="J1110" s="16">
        <f>VLOOKUP(I1110,[2]行业排放因子!$A:$B,2,0)</f>
        <v>1.34473732401866</v>
      </c>
      <c r="K1110" s="9" t="s">
        <v>1489</v>
      </c>
    </row>
    <row r="1111" spans="1:11" ht="12.5" customHeight="1" x14ac:dyDescent="0.25">
      <c r="A1111" s="5" t="s">
        <v>3906</v>
      </c>
      <c r="B1111" s="6" t="s">
        <v>3620</v>
      </c>
      <c r="C1111" s="6" t="s">
        <v>3860</v>
      </c>
      <c r="D1111" s="6" t="s">
        <v>3861</v>
      </c>
      <c r="E1111" s="6" t="s">
        <v>3907</v>
      </c>
      <c r="F1111" s="6" t="s">
        <v>3908</v>
      </c>
      <c r="G1111" s="9" t="s">
        <v>3909</v>
      </c>
      <c r="H1111" s="9" t="s">
        <v>18</v>
      </c>
      <c r="I1111" s="16" t="str">
        <f>VLOOKUP(F1111,[1]完整分类结果!$E:$G,3,0)</f>
        <v>文教体育用品制造业</v>
      </c>
      <c r="J1111" s="16">
        <f>VLOOKUP(I1111,[2]行业排放因子!$A:$B,2,0)</f>
        <v>1.34473732401866</v>
      </c>
      <c r="K1111" s="9" t="s">
        <v>1489</v>
      </c>
    </row>
    <row r="1112" spans="1:11" ht="12.5" customHeight="1" x14ac:dyDescent="0.25">
      <c r="A1112" s="5" t="s">
        <v>3910</v>
      </c>
      <c r="B1112" s="6" t="s">
        <v>3620</v>
      </c>
      <c r="C1112" s="6" t="s">
        <v>3860</v>
      </c>
      <c r="D1112" s="6" t="s">
        <v>3861</v>
      </c>
      <c r="E1112" s="6" t="s">
        <v>3911</v>
      </c>
      <c r="F1112" s="6" t="s">
        <v>3912</v>
      </c>
      <c r="G1112" s="9" t="s">
        <v>3913</v>
      </c>
      <c r="H1112" s="9" t="s">
        <v>18</v>
      </c>
      <c r="I1112" s="16" t="str">
        <f>VLOOKUP(F1112,[1]完整分类结果!$E:$G,3,0)</f>
        <v>文教体育用品制造业</v>
      </c>
      <c r="J1112" s="16">
        <f>VLOOKUP(I1112,[2]行业排放因子!$A:$B,2,0)</f>
        <v>1.34473732401866</v>
      </c>
      <c r="K1112" s="9" t="s">
        <v>1489</v>
      </c>
    </row>
    <row r="1113" spans="1:11" ht="12.5" customHeight="1" x14ac:dyDescent="0.25">
      <c r="A1113" s="5" t="s">
        <v>3914</v>
      </c>
      <c r="B1113" s="6" t="s">
        <v>3620</v>
      </c>
      <c r="C1113" s="6" t="s">
        <v>3860</v>
      </c>
      <c r="D1113" s="6" t="s">
        <v>3861</v>
      </c>
      <c r="E1113" s="6" t="s">
        <v>3915</v>
      </c>
      <c r="F1113" s="6" t="s">
        <v>3916</v>
      </c>
      <c r="G1113" s="9" t="s">
        <v>3917</v>
      </c>
      <c r="H1113" s="9" t="s">
        <v>18</v>
      </c>
      <c r="I1113" s="16" t="str">
        <f>VLOOKUP(F1113,[1]完整分类结果!$E:$G,3,0)</f>
        <v>文教体育用品制造业</v>
      </c>
      <c r="J1113" s="16">
        <f>VLOOKUP(I1113,[2]行业排放因子!$A:$B,2,0)</f>
        <v>1.34473732401866</v>
      </c>
      <c r="K1113" s="9" t="s">
        <v>1489</v>
      </c>
    </row>
    <row r="1114" spans="1:11" ht="12.5" customHeight="1" x14ac:dyDescent="0.25">
      <c r="A1114" s="5" t="s">
        <v>3918</v>
      </c>
      <c r="B1114" s="6" t="s">
        <v>3620</v>
      </c>
      <c r="C1114" s="6" t="s">
        <v>3860</v>
      </c>
      <c r="D1114" s="6" t="s">
        <v>3861</v>
      </c>
      <c r="E1114" s="6" t="s">
        <v>3919</v>
      </c>
      <c r="F1114" s="6" t="s">
        <v>3920</v>
      </c>
      <c r="G1114" s="9"/>
      <c r="H1114" s="9" t="s">
        <v>18</v>
      </c>
      <c r="I1114" s="16" t="str">
        <f>VLOOKUP(F1114,[1]完整分类结果!$E:$G,3,0)</f>
        <v>文教体育用品制造业</v>
      </c>
      <c r="J1114" s="16">
        <f>VLOOKUP(I1114,[2]行业排放因子!$A:$B,2,0)</f>
        <v>1.34473732401866</v>
      </c>
      <c r="K1114" s="9" t="s">
        <v>1489</v>
      </c>
    </row>
    <row r="1115" spans="1:11" ht="12.5" customHeight="1" x14ac:dyDescent="0.25">
      <c r="A1115" s="5" t="s">
        <v>3921</v>
      </c>
      <c r="B1115" s="6" t="s">
        <v>3620</v>
      </c>
      <c r="C1115" s="6" t="s">
        <v>3860</v>
      </c>
      <c r="D1115" s="6" t="s">
        <v>3922</v>
      </c>
      <c r="E1115" s="6" t="s">
        <v>3923</v>
      </c>
      <c r="F1115" s="6" t="s">
        <v>3922</v>
      </c>
      <c r="G1115" s="9" t="s">
        <v>3924</v>
      </c>
      <c r="H1115" s="9" t="s">
        <v>18</v>
      </c>
      <c r="I1115" s="16" t="str">
        <f>VLOOKUP(F1115,[1]完整分类结果!$E:$G,3,0)</f>
        <v>文教体育用品制造业</v>
      </c>
      <c r="J1115" s="16">
        <f>VLOOKUP(I1115,[2]行业排放因子!$A:$B,2,0)</f>
        <v>1.34473732401866</v>
      </c>
      <c r="K1115" s="9" t="s">
        <v>1489</v>
      </c>
    </row>
    <row r="1116" spans="1:11" ht="12.5" customHeight="1" x14ac:dyDescent="0.25">
      <c r="A1116" s="5" t="s">
        <v>3925</v>
      </c>
      <c r="B1116" s="6" t="s">
        <v>3620</v>
      </c>
      <c r="C1116" s="6" t="s">
        <v>3926</v>
      </c>
      <c r="D1116" s="6" t="s">
        <v>3927</v>
      </c>
      <c r="E1116" s="6" t="s">
        <v>3928</v>
      </c>
      <c r="F1116" s="6" t="s">
        <v>3929</v>
      </c>
      <c r="G1116" s="9" t="s">
        <v>3930</v>
      </c>
      <c r="H1116" s="9" t="s">
        <v>18</v>
      </c>
      <c r="I1116" s="16" t="str">
        <f>VLOOKUP(F1116,[1]完整分类结果!$E:$G,3,0)</f>
        <v>文教体育用品制造业</v>
      </c>
      <c r="J1116" s="16">
        <f>VLOOKUP(I1116,[2]行业排放因子!$A:$B,2,0)</f>
        <v>1.34473732401866</v>
      </c>
      <c r="K1116" s="9" t="s">
        <v>1489</v>
      </c>
    </row>
    <row r="1117" spans="1:11" ht="12.5" customHeight="1" x14ac:dyDescent="0.25">
      <c r="A1117" s="5" t="s">
        <v>3931</v>
      </c>
      <c r="B1117" s="6" t="s">
        <v>3620</v>
      </c>
      <c r="C1117" s="6" t="s">
        <v>3926</v>
      </c>
      <c r="D1117" s="6" t="s">
        <v>3927</v>
      </c>
      <c r="E1117" s="6" t="s">
        <v>3932</v>
      </c>
      <c r="F1117" s="6" t="s">
        <v>3933</v>
      </c>
      <c r="G1117" s="9" t="s">
        <v>3934</v>
      </c>
      <c r="H1117" s="9" t="s">
        <v>18</v>
      </c>
      <c r="I1117" s="16" t="str">
        <f>VLOOKUP(F1117,[1]完整分类结果!$E:$G,3,0)</f>
        <v>文教体育用品制造业</v>
      </c>
      <c r="J1117" s="16">
        <f>VLOOKUP(I1117,[2]行业排放因子!$A:$B,2,0)</f>
        <v>1.34473732401866</v>
      </c>
      <c r="K1117" s="9" t="s">
        <v>1489</v>
      </c>
    </row>
    <row r="1118" spans="1:11" ht="12.5" customHeight="1" x14ac:dyDescent="0.25">
      <c r="A1118" s="5" t="s">
        <v>3935</v>
      </c>
      <c r="B1118" s="6" t="s">
        <v>3620</v>
      </c>
      <c r="C1118" s="6" t="s">
        <v>3926</v>
      </c>
      <c r="D1118" s="6" t="s">
        <v>3927</v>
      </c>
      <c r="E1118" s="6" t="s">
        <v>3936</v>
      </c>
      <c r="F1118" s="6" t="s">
        <v>3937</v>
      </c>
      <c r="G1118" s="9" t="s">
        <v>3938</v>
      </c>
      <c r="H1118" s="9" t="s">
        <v>18</v>
      </c>
      <c r="I1118" s="16" t="str">
        <f>VLOOKUP(F1118,[1]完整分类结果!$E:$G,3,0)</f>
        <v>文教体育用品制造业</v>
      </c>
      <c r="J1118" s="16">
        <f>VLOOKUP(I1118,[2]行业排放因子!$A:$B,2,0)</f>
        <v>1.34473732401866</v>
      </c>
      <c r="K1118" s="9" t="s">
        <v>1489</v>
      </c>
    </row>
    <row r="1119" spans="1:11" ht="12.5" customHeight="1" x14ac:dyDescent="0.25">
      <c r="A1119" s="5" t="s">
        <v>3939</v>
      </c>
      <c r="B1119" s="6" t="s">
        <v>3620</v>
      </c>
      <c r="C1119" s="6" t="s">
        <v>3926</v>
      </c>
      <c r="D1119" s="6" t="s">
        <v>3927</v>
      </c>
      <c r="E1119" s="6" t="s">
        <v>3940</v>
      </c>
      <c r="F1119" s="6" t="s">
        <v>3941</v>
      </c>
      <c r="G1119" s="9"/>
      <c r="H1119" s="9" t="s">
        <v>18</v>
      </c>
      <c r="I1119" s="16" t="str">
        <f>VLOOKUP(F1119,[1]完整分类结果!$E:$G,3,0)</f>
        <v>文教体育用品制造业</v>
      </c>
      <c r="J1119" s="16">
        <f>VLOOKUP(I1119,[2]行业排放因子!$A:$B,2,0)</f>
        <v>1.34473732401866</v>
      </c>
      <c r="K1119" s="9" t="s">
        <v>1489</v>
      </c>
    </row>
    <row r="1120" spans="1:11" ht="12.5" customHeight="1" x14ac:dyDescent="0.25">
      <c r="A1120" s="5" t="s">
        <v>3942</v>
      </c>
      <c r="B1120" s="6" t="s">
        <v>3620</v>
      </c>
      <c r="C1120" s="6" t="s">
        <v>3926</v>
      </c>
      <c r="D1120" s="6" t="s">
        <v>3927</v>
      </c>
      <c r="E1120" s="6" t="s">
        <v>3943</v>
      </c>
      <c r="F1120" s="6" t="s">
        <v>3944</v>
      </c>
      <c r="G1120" s="9"/>
      <c r="H1120" s="9" t="s">
        <v>18</v>
      </c>
      <c r="I1120" s="16" t="str">
        <f>VLOOKUP(F1120,[1]完整分类结果!$E:$G,3,0)</f>
        <v>文教体育用品制造业</v>
      </c>
      <c r="J1120" s="16">
        <f>VLOOKUP(I1120,[2]行业排放因子!$A:$B,2,0)</f>
        <v>1.34473732401866</v>
      </c>
      <c r="K1120" s="9" t="s">
        <v>1489</v>
      </c>
    </row>
    <row r="1121" spans="1:11" ht="12.5" customHeight="1" x14ac:dyDescent="0.25">
      <c r="A1121" s="5" t="s">
        <v>3945</v>
      </c>
      <c r="B1121" s="6" t="s">
        <v>3620</v>
      </c>
      <c r="C1121" s="6" t="s">
        <v>3926</v>
      </c>
      <c r="D1121" s="6" t="s">
        <v>3927</v>
      </c>
      <c r="E1121" s="6" t="s">
        <v>3946</v>
      </c>
      <c r="F1121" s="6" t="s">
        <v>3947</v>
      </c>
      <c r="G1121" s="9" t="s">
        <v>3948</v>
      </c>
      <c r="H1121" s="9" t="s">
        <v>18</v>
      </c>
      <c r="I1121" s="16" t="str">
        <f>VLOOKUP(F1121,[1]完整分类结果!$E:$G,3,0)</f>
        <v>文教体育用品制造业</v>
      </c>
      <c r="J1121" s="16">
        <f>VLOOKUP(I1121,[2]行业排放因子!$A:$B,2,0)</f>
        <v>1.34473732401866</v>
      </c>
      <c r="K1121" s="9" t="s">
        <v>1489</v>
      </c>
    </row>
    <row r="1122" spans="1:11" ht="12.5" customHeight="1" x14ac:dyDescent="0.25">
      <c r="A1122" s="5" t="s">
        <v>3949</v>
      </c>
      <c r="B1122" s="6" t="s">
        <v>3620</v>
      </c>
      <c r="C1122" s="6" t="s">
        <v>3926</v>
      </c>
      <c r="D1122" s="6" t="s">
        <v>3927</v>
      </c>
      <c r="E1122" s="6" t="s">
        <v>3950</v>
      </c>
      <c r="F1122" s="6" t="s">
        <v>3951</v>
      </c>
      <c r="G1122" s="9" t="s">
        <v>3952</v>
      </c>
      <c r="H1122" s="9" t="s">
        <v>18</v>
      </c>
      <c r="I1122" s="16" t="str">
        <f>VLOOKUP(F1122,[1]完整分类结果!$E:$G,3,0)</f>
        <v>文教体育用品制造业</v>
      </c>
      <c r="J1122" s="16">
        <f>VLOOKUP(I1122,[2]行业排放因子!$A:$B,2,0)</f>
        <v>1.34473732401866</v>
      </c>
      <c r="K1122" s="9" t="s">
        <v>1489</v>
      </c>
    </row>
    <row r="1123" spans="1:11" ht="12.5" customHeight="1" x14ac:dyDescent="0.25">
      <c r="A1123" s="5" t="s">
        <v>3953</v>
      </c>
      <c r="B1123" s="6" t="s">
        <v>3620</v>
      </c>
      <c r="C1123" s="6" t="s">
        <v>3926</v>
      </c>
      <c r="D1123" s="6" t="s">
        <v>3927</v>
      </c>
      <c r="E1123" s="6" t="s">
        <v>3954</v>
      </c>
      <c r="F1123" s="6" t="s">
        <v>3955</v>
      </c>
      <c r="G1123" s="9" t="s">
        <v>3956</v>
      </c>
      <c r="H1123" s="9" t="s">
        <v>18</v>
      </c>
      <c r="I1123" s="16" t="str">
        <f>VLOOKUP(F1123,[1]完整分类结果!$E:$G,3,0)</f>
        <v>文教体育用品制造业</v>
      </c>
      <c r="J1123" s="16">
        <f>VLOOKUP(I1123,[2]行业排放因子!$A:$B,2,0)</f>
        <v>1.34473732401866</v>
      </c>
      <c r="K1123" s="9" t="s">
        <v>1489</v>
      </c>
    </row>
    <row r="1124" spans="1:11" ht="12.5" customHeight="1" x14ac:dyDescent="0.25">
      <c r="A1124" s="5" t="s">
        <v>3957</v>
      </c>
      <c r="B1124" s="6" t="s">
        <v>3620</v>
      </c>
      <c r="C1124" s="6" t="s">
        <v>3926</v>
      </c>
      <c r="D1124" s="6" t="s">
        <v>3927</v>
      </c>
      <c r="E1124" s="6" t="s">
        <v>3958</v>
      </c>
      <c r="F1124" s="6" t="s">
        <v>3959</v>
      </c>
      <c r="G1124" s="9" t="s">
        <v>3960</v>
      </c>
      <c r="H1124" s="9" t="s">
        <v>18</v>
      </c>
      <c r="I1124" s="16" t="str">
        <f>VLOOKUP(F1124,[1]完整分类结果!$E:$G,3,0)</f>
        <v>文教体育用品制造业</v>
      </c>
      <c r="J1124" s="16">
        <f>VLOOKUP(I1124,[2]行业排放因子!$A:$B,2,0)</f>
        <v>1.34473732401866</v>
      </c>
      <c r="K1124" s="9" t="s">
        <v>1489</v>
      </c>
    </row>
    <row r="1125" spans="1:11" ht="12.5" customHeight="1" x14ac:dyDescent="0.25">
      <c r="A1125" s="5" t="s">
        <v>3961</v>
      </c>
      <c r="B1125" s="6" t="s">
        <v>3620</v>
      </c>
      <c r="C1125" s="6" t="s">
        <v>3926</v>
      </c>
      <c r="D1125" s="6" t="s">
        <v>3927</v>
      </c>
      <c r="E1125" s="6" t="s">
        <v>3962</v>
      </c>
      <c r="F1125" s="6" t="s">
        <v>3963</v>
      </c>
      <c r="G1125" s="9" t="s">
        <v>3964</v>
      </c>
      <c r="H1125" s="9" t="s">
        <v>18</v>
      </c>
      <c r="I1125" s="16" t="str">
        <f>VLOOKUP(F1125,[1]完整分类结果!$E:$G,3,0)</f>
        <v>文教体育用品制造业</v>
      </c>
      <c r="J1125" s="16">
        <f>VLOOKUP(I1125,[2]行业排放因子!$A:$B,2,0)</f>
        <v>1.34473732401866</v>
      </c>
      <c r="K1125" s="9" t="s">
        <v>1489</v>
      </c>
    </row>
    <row r="1126" spans="1:11" ht="12.5" customHeight="1" x14ac:dyDescent="0.25">
      <c r="A1126" s="5" t="s">
        <v>3965</v>
      </c>
      <c r="B1126" s="6" t="s">
        <v>3620</v>
      </c>
      <c r="C1126" s="6" t="s">
        <v>3926</v>
      </c>
      <c r="D1126" s="6" t="s">
        <v>3927</v>
      </c>
      <c r="E1126" s="6" t="s">
        <v>3966</v>
      </c>
      <c r="F1126" s="6" t="s">
        <v>3967</v>
      </c>
      <c r="G1126" s="9" t="s">
        <v>3968</v>
      </c>
      <c r="H1126" s="9" t="s">
        <v>18</v>
      </c>
      <c r="I1126" s="16" t="str">
        <f>VLOOKUP(F1126,[1]完整分类结果!$E:$G,3,0)</f>
        <v>文教体育用品制造业</v>
      </c>
      <c r="J1126" s="16">
        <f>VLOOKUP(I1126,[2]行业排放因子!$A:$B,2,0)</f>
        <v>1.34473732401866</v>
      </c>
      <c r="K1126" s="9" t="s">
        <v>1489</v>
      </c>
    </row>
    <row r="1127" spans="1:11" ht="12.5" customHeight="1" x14ac:dyDescent="0.25">
      <c r="A1127" s="5" t="s">
        <v>3969</v>
      </c>
      <c r="B1127" s="6" t="s">
        <v>3620</v>
      </c>
      <c r="C1127" s="6" t="s">
        <v>3926</v>
      </c>
      <c r="D1127" s="6" t="s">
        <v>3927</v>
      </c>
      <c r="E1127" s="6" t="s">
        <v>3970</v>
      </c>
      <c r="F1127" s="6" t="s">
        <v>3971</v>
      </c>
      <c r="G1127" s="9" t="s">
        <v>3972</v>
      </c>
      <c r="H1127" s="9" t="s">
        <v>18</v>
      </c>
      <c r="I1127" s="16" t="str">
        <f>VLOOKUP(F1127,[1]完整分类结果!$E:$G,3,0)</f>
        <v>文教体育用品制造业</v>
      </c>
      <c r="J1127" s="16">
        <f>VLOOKUP(I1127,[2]行业排放因子!$A:$B,2,0)</f>
        <v>1.34473732401866</v>
      </c>
      <c r="K1127" s="9" t="s">
        <v>1489</v>
      </c>
    </row>
    <row r="1128" spans="1:11" ht="12.5" customHeight="1" x14ac:dyDescent="0.25">
      <c r="A1128" s="5" t="s">
        <v>3973</v>
      </c>
      <c r="B1128" s="6" t="s">
        <v>3620</v>
      </c>
      <c r="C1128" s="6" t="s">
        <v>3926</v>
      </c>
      <c r="D1128" s="6" t="s">
        <v>3927</v>
      </c>
      <c r="E1128" s="6" t="s">
        <v>3974</v>
      </c>
      <c r="F1128" s="6" t="s">
        <v>3975</v>
      </c>
      <c r="G1128" s="9" t="s">
        <v>3976</v>
      </c>
      <c r="H1128" s="9" t="s">
        <v>18</v>
      </c>
      <c r="I1128" s="16" t="str">
        <f>VLOOKUP(F1128,[1]完整分类结果!$E:$G,3,0)</f>
        <v>文教体育用品制造业</v>
      </c>
      <c r="J1128" s="16">
        <f>VLOOKUP(I1128,[2]行业排放因子!$A:$B,2,0)</f>
        <v>1.34473732401866</v>
      </c>
      <c r="K1128" s="9" t="s">
        <v>1489</v>
      </c>
    </row>
    <row r="1129" spans="1:11" ht="12.5" customHeight="1" x14ac:dyDescent="0.25">
      <c r="A1129" s="5" t="s">
        <v>3977</v>
      </c>
      <c r="B1129" s="6" t="s">
        <v>3620</v>
      </c>
      <c r="C1129" s="6" t="s">
        <v>3926</v>
      </c>
      <c r="D1129" s="6" t="s">
        <v>3927</v>
      </c>
      <c r="E1129" s="6" t="s">
        <v>3978</v>
      </c>
      <c r="F1129" s="6" t="s">
        <v>3979</v>
      </c>
      <c r="G1129" s="9"/>
      <c r="H1129" s="9" t="s">
        <v>18</v>
      </c>
      <c r="I1129" s="16" t="str">
        <f>VLOOKUP(F1129,[1]完整分类结果!$E:$G,3,0)</f>
        <v>文教体育用品制造业</v>
      </c>
      <c r="J1129" s="16">
        <f>VLOOKUP(I1129,[2]行业排放因子!$A:$B,2,0)</f>
        <v>1.34473732401866</v>
      </c>
      <c r="K1129" s="9" t="s">
        <v>1489</v>
      </c>
    </row>
    <row r="1130" spans="1:11" ht="12.5" customHeight="1" x14ac:dyDescent="0.25">
      <c r="A1130" s="5" t="s">
        <v>3980</v>
      </c>
      <c r="B1130" s="6" t="s">
        <v>3620</v>
      </c>
      <c r="C1130" s="6" t="s">
        <v>3926</v>
      </c>
      <c r="D1130" s="6" t="s">
        <v>3927</v>
      </c>
      <c r="E1130" s="6" t="s">
        <v>3981</v>
      </c>
      <c r="F1130" s="6" t="s">
        <v>3982</v>
      </c>
      <c r="G1130" s="9" t="s">
        <v>3983</v>
      </c>
      <c r="H1130" s="9" t="s">
        <v>18</v>
      </c>
      <c r="I1130" s="16" t="str">
        <f>VLOOKUP(F1130,[1]完整分类结果!$E:$G,3,0)</f>
        <v>文教体育用品制造业</v>
      </c>
      <c r="J1130" s="16">
        <f>VLOOKUP(I1130,[2]行业排放因子!$A:$B,2,0)</f>
        <v>1.34473732401866</v>
      </c>
      <c r="K1130" s="9" t="s">
        <v>1489</v>
      </c>
    </row>
    <row r="1131" spans="1:11" ht="12.5" customHeight="1" x14ac:dyDescent="0.25">
      <c r="A1131" s="5" t="s">
        <v>3984</v>
      </c>
      <c r="B1131" s="6" t="s">
        <v>3620</v>
      </c>
      <c r="C1131" s="6" t="s">
        <v>3926</v>
      </c>
      <c r="D1131" s="6" t="s">
        <v>3927</v>
      </c>
      <c r="E1131" s="6" t="s">
        <v>3985</v>
      </c>
      <c r="F1131" s="6" t="s">
        <v>3986</v>
      </c>
      <c r="G1131" s="9" t="s">
        <v>3987</v>
      </c>
      <c r="H1131" s="9" t="s">
        <v>18</v>
      </c>
      <c r="I1131" s="16" t="str">
        <f>VLOOKUP(F1131,[1]完整分类结果!$E:$G,3,0)</f>
        <v>文教体育用品制造业</v>
      </c>
      <c r="J1131" s="16">
        <f>VLOOKUP(I1131,[2]行业排放因子!$A:$B,2,0)</f>
        <v>1.34473732401866</v>
      </c>
      <c r="K1131" s="9" t="s">
        <v>1489</v>
      </c>
    </row>
    <row r="1132" spans="1:11" ht="12.5" customHeight="1" x14ac:dyDescent="0.25">
      <c r="A1132" s="5" t="s">
        <v>3988</v>
      </c>
      <c r="B1132" s="6" t="s">
        <v>3620</v>
      </c>
      <c r="C1132" s="6" t="s">
        <v>3926</v>
      </c>
      <c r="D1132" s="6" t="s">
        <v>3927</v>
      </c>
      <c r="E1132" s="6" t="s">
        <v>3989</v>
      </c>
      <c r="F1132" s="6" t="s">
        <v>3990</v>
      </c>
      <c r="G1132" s="9" t="s">
        <v>3991</v>
      </c>
      <c r="H1132" s="9" t="s">
        <v>18</v>
      </c>
      <c r="I1132" s="16" t="str">
        <f>VLOOKUP(F1132,[1]完整分类结果!$E:$G,3,0)</f>
        <v>文教体育用品制造业</v>
      </c>
      <c r="J1132" s="16">
        <f>VLOOKUP(I1132,[2]行业排放因子!$A:$B,2,0)</f>
        <v>1.34473732401866</v>
      </c>
      <c r="K1132" s="9" t="s">
        <v>1489</v>
      </c>
    </row>
    <row r="1133" spans="1:11" ht="12.5" customHeight="1" x14ac:dyDescent="0.25">
      <c r="A1133" s="5" t="s">
        <v>3992</v>
      </c>
      <c r="B1133" s="6" t="s">
        <v>3620</v>
      </c>
      <c r="C1133" s="6" t="s">
        <v>3926</v>
      </c>
      <c r="D1133" s="6" t="s">
        <v>3927</v>
      </c>
      <c r="E1133" s="6" t="s">
        <v>3993</v>
      </c>
      <c r="F1133" s="6" t="s">
        <v>3994</v>
      </c>
      <c r="G1133" s="9" t="s">
        <v>3995</v>
      </c>
      <c r="H1133" s="9" t="s">
        <v>18</v>
      </c>
      <c r="I1133" s="16" t="str">
        <f>VLOOKUP(F1133,[1]完整分类结果!$E:$G,3,0)</f>
        <v>文教体育用品制造业</v>
      </c>
      <c r="J1133" s="16">
        <f>VLOOKUP(I1133,[2]行业排放因子!$A:$B,2,0)</f>
        <v>1.34473732401866</v>
      </c>
      <c r="K1133" s="9" t="s">
        <v>1489</v>
      </c>
    </row>
    <row r="1134" spans="1:11" ht="12.5" customHeight="1" x14ac:dyDescent="0.25">
      <c r="A1134" s="5" t="s">
        <v>3996</v>
      </c>
      <c r="B1134" s="6" t="s">
        <v>3620</v>
      </c>
      <c r="C1134" s="6" t="s">
        <v>3926</v>
      </c>
      <c r="D1134" s="6" t="s">
        <v>3927</v>
      </c>
      <c r="E1134" s="6" t="s">
        <v>3997</v>
      </c>
      <c r="F1134" s="6" t="s">
        <v>3998</v>
      </c>
      <c r="G1134" s="9" t="s">
        <v>3999</v>
      </c>
      <c r="H1134" s="9" t="s">
        <v>18</v>
      </c>
      <c r="I1134" s="16" t="str">
        <f>VLOOKUP(F1134,[1]完整分类结果!$E:$G,3,0)</f>
        <v>文教体育用品制造业</v>
      </c>
      <c r="J1134" s="16">
        <f>VLOOKUP(I1134,[2]行业排放因子!$A:$B,2,0)</f>
        <v>1.34473732401866</v>
      </c>
      <c r="K1134" s="9" t="s">
        <v>1489</v>
      </c>
    </row>
    <row r="1135" spans="1:11" ht="12.5" customHeight="1" x14ac:dyDescent="0.25">
      <c r="A1135" s="5" t="s">
        <v>4000</v>
      </c>
      <c r="B1135" s="6" t="s">
        <v>3620</v>
      </c>
      <c r="C1135" s="6" t="s">
        <v>3926</v>
      </c>
      <c r="D1135" s="6" t="s">
        <v>3927</v>
      </c>
      <c r="E1135" s="6" t="s">
        <v>4001</v>
      </c>
      <c r="F1135" s="6" t="s">
        <v>4002</v>
      </c>
      <c r="G1135" s="9" t="s">
        <v>4003</v>
      </c>
      <c r="H1135" s="9" t="s">
        <v>18</v>
      </c>
      <c r="I1135" s="16" t="str">
        <f>VLOOKUP(F1135,[1]完整分类结果!$E:$G,3,0)</f>
        <v>文教体育用品制造业</v>
      </c>
      <c r="J1135" s="16">
        <f>VLOOKUP(I1135,[2]行业排放因子!$A:$B,2,0)</f>
        <v>1.34473732401866</v>
      </c>
      <c r="K1135" s="9" t="s">
        <v>1489</v>
      </c>
    </row>
    <row r="1136" spans="1:11" ht="12.5" customHeight="1" x14ac:dyDescent="0.25">
      <c r="A1136" s="5" t="s">
        <v>4004</v>
      </c>
      <c r="B1136" s="6" t="s">
        <v>3620</v>
      </c>
      <c r="C1136" s="6" t="s">
        <v>3926</v>
      </c>
      <c r="D1136" s="6" t="s">
        <v>4005</v>
      </c>
      <c r="E1136" s="6" t="s">
        <v>4006</v>
      </c>
      <c r="F1136" s="6" t="s">
        <v>4007</v>
      </c>
      <c r="G1136" s="9" t="s">
        <v>4008</v>
      </c>
      <c r="H1136" s="9" t="s">
        <v>18</v>
      </c>
      <c r="I1136" s="16" t="str">
        <f>VLOOKUP(F1136,[1]完整分类结果!$E:$G,3,0)</f>
        <v>文教体育用品制造业</v>
      </c>
      <c r="J1136" s="16">
        <f>VLOOKUP(I1136,[2]行业排放因子!$A:$B,2,0)</f>
        <v>1.34473732401866</v>
      </c>
      <c r="K1136" s="9" t="s">
        <v>1489</v>
      </c>
    </row>
    <row r="1137" spans="1:11" ht="12.5" customHeight="1" x14ac:dyDescent="0.25">
      <c r="A1137" s="5" t="s">
        <v>4009</v>
      </c>
      <c r="B1137" s="6" t="s">
        <v>3620</v>
      </c>
      <c r="C1137" s="6" t="s">
        <v>3926</v>
      </c>
      <c r="D1137" s="6" t="s">
        <v>4005</v>
      </c>
      <c r="E1137" s="6" t="s">
        <v>4010</v>
      </c>
      <c r="F1137" s="6" t="s">
        <v>4011</v>
      </c>
      <c r="G1137" s="9" t="s">
        <v>4012</v>
      </c>
      <c r="H1137" s="9" t="s">
        <v>18</v>
      </c>
      <c r="I1137" s="16" t="str">
        <f>VLOOKUP(F1137,[1]完整分类结果!$E:$G,3,0)</f>
        <v>文教体育用品制造业</v>
      </c>
      <c r="J1137" s="16">
        <f>VLOOKUP(I1137,[2]行业排放因子!$A:$B,2,0)</f>
        <v>1.34473732401866</v>
      </c>
      <c r="K1137" s="9" t="s">
        <v>1489</v>
      </c>
    </row>
    <row r="1138" spans="1:11" ht="12.5" customHeight="1" x14ac:dyDescent="0.25">
      <c r="A1138" s="5" t="s">
        <v>4013</v>
      </c>
      <c r="B1138" s="6" t="s">
        <v>3620</v>
      </c>
      <c r="C1138" s="6" t="s">
        <v>3926</v>
      </c>
      <c r="D1138" s="6" t="s">
        <v>4005</v>
      </c>
      <c r="E1138" s="6" t="s">
        <v>4014</v>
      </c>
      <c r="F1138" s="6" t="s">
        <v>4015</v>
      </c>
      <c r="G1138" s="9" t="s">
        <v>4016</v>
      </c>
      <c r="H1138" s="9" t="s">
        <v>18</v>
      </c>
      <c r="I1138" s="16" t="str">
        <f>VLOOKUP(F1138,[1]完整分类结果!$E:$G,3,0)</f>
        <v>文教体育用品制造业</v>
      </c>
      <c r="J1138" s="16">
        <f>VLOOKUP(I1138,[2]行业排放因子!$A:$B,2,0)</f>
        <v>1.34473732401866</v>
      </c>
      <c r="K1138" s="9" t="s">
        <v>1489</v>
      </c>
    </row>
    <row r="1139" spans="1:11" ht="12.5" customHeight="1" x14ac:dyDescent="0.25">
      <c r="A1139" s="5" t="s">
        <v>4017</v>
      </c>
      <c r="B1139" s="6" t="s">
        <v>3620</v>
      </c>
      <c r="C1139" s="6" t="s">
        <v>3926</v>
      </c>
      <c r="D1139" s="6" t="s">
        <v>4005</v>
      </c>
      <c r="E1139" s="6" t="s">
        <v>4018</v>
      </c>
      <c r="F1139" s="6" t="s">
        <v>4019</v>
      </c>
      <c r="G1139" s="9" t="s">
        <v>4020</v>
      </c>
      <c r="H1139" s="9" t="s">
        <v>18</v>
      </c>
      <c r="I1139" s="16" t="str">
        <f>VLOOKUP(F1139,[1]完整分类结果!$E:$G,3,0)</f>
        <v>文教体育用品制造业</v>
      </c>
      <c r="J1139" s="16">
        <f>VLOOKUP(I1139,[2]行业排放因子!$A:$B,2,0)</f>
        <v>1.34473732401866</v>
      </c>
      <c r="K1139" s="9" t="s">
        <v>1489</v>
      </c>
    </row>
    <row r="1140" spans="1:11" ht="12.5" customHeight="1" x14ac:dyDescent="0.25">
      <c r="A1140" s="5" t="s">
        <v>4021</v>
      </c>
      <c r="B1140" s="6" t="s">
        <v>3620</v>
      </c>
      <c r="C1140" s="6" t="s">
        <v>3926</v>
      </c>
      <c r="D1140" s="6" t="s">
        <v>4005</v>
      </c>
      <c r="E1140" s="6" t="s">
        <v>4022</v>
      </c>
      <c r="F1140" s="6" t="s">
        <v>4023</v>
      </c>
      <c r="G1140" s="9"/>
      <c r="H1140" s="9" t="s">
        <v>18</v>
      </c>
      <c r="I1140" s="16" t="str">
        <f>VLOOKUP(F1140,[1]完整分类结果!$E:$G,3,0)</f>
        <v>文教体育用品制造业</v>
      </c>
      <c r="J1140" s="16">
        <f>VLOOKUP(I1140,[2]行业排放因子!$A:$B,2,0)</f>
        <v>1.34473732401866</v>
      </c>
      <c r="K1140" s="9" t="s">
        <v>1489</v>
      </c>
    </row>
    <row r="1141" spans="1:11" ht="12.5" customHeight="1" x14ac:dyDescent="0.25">
      <c r="A1141" s="5" t="s">
        <v>4024</v>
      </c>
      <c r="B1141" s="6" t="s">
        <v>3620</v>
      </c>
      <c r="C1141" s="6" t="s">
        <v>3926</v>
      </c>
      <c r="D1141" s="6" t="s">
        <v>4025</v>
      </c>
      <c r="E1141" s="6" t="s">
        <v>4026</v>
      </c>
      <c r="F1141" s="6" t="s">
        <v>4027</v>
      </c>
      <c r="G1141" s="9" t="s">
        <v>4028</v>
      </c>
      <c r="H1141" s="9" t="s">
        <v>18</v>
      </c>
      <c r="I1141" s="16" t="str">
        <f>VLOOKUP(F1141,[1]完整分类结果!$E:$G,3,0)</f>
        <v>文教体育用品制造业</v>
      </c>
      <c r="J1141" s="16">
        <f>VLOOKUP(I1141,[2]行业排放因子!$A:$B,2,0)</f>
        <v>1.34473732401866</v>
      </c>
      <c r="K1141" s="9" t="s">
        <v>1489</v>
      </c>
    </row>
    <row r="1142" spans="1:11" ht="12.5" customHeight="1" x14ac:dyDescent="0.25">
      <c r="A1142" s="5" t="s">
        <v>4029</v>
      </c>
      <c r="B1142" s="6" t="s">
        <v>3620</v>
      </c>
      <c r="C1142" s="6" t="s">
        <v>3926</v>
      </c>
      <c r="D1142" s="6" t="s">
        <v>4025</v>
      </c>
      <c r="E1142" s="6" t="s">
        <v>4030</v>
      </c>
      <c r="F1142" s="6" t="s">
        <v>4031</v>
      </c>
      <c r="G1142" s="9"/>
      <c r="H1142" s="9" t="s">
        <v>18</v>
      </c>
      <c r="I1142" s="16" t="str">
        <f>VLOOKUP(F1142,[1]完整分类结果!$E:$G,3,0)</f>
        <v>文教体育用品制造业</v>
      </c>
      <c r="J1142" s="16">
        <f>VLOOKUP(I1142,[2]行业排放因子!$A:$B,2,0)</f>
        <v>1.34473732401866</v>
      </c>
      <c r="K1142" s="9" t="s">
        <v>1489</v>
      </c>
    </row>
    <row r="1143" spans="1:11" ht="12.5" customHeight="1" x14ac:dyDescent="0.25">
      <c r="A1143" s="5" t="s">
        <v>4032</v>
      </c>
      <c r="B1143" s="6" t="s">
        <v>3620</v>
      </c>
      <c r="C1143" s="6" t="s">
        <v>3926</v>
      </c>
      <c r="D1143" s="6" t="s">
        <v>4025</v>
      </c>
      <c r="E1143" s="6" t="s">
        <v>4033</v>
      </c>
      <c r="F1143" s="6" t="s">
        <v>4034</v>
      </c>
      <c r="G1143" s="9" t="s">
        <v>4035</v>
      </c>
      <c r="H1143" s="9" t="s">
        <v>18</v>
      </c>
      <c r="I1143" s="16" t="str">
        <f>VLOOKUP(F1143,[1]完整分类结果!$E:$G,3,0)</f>
        <v>文教体育用品制造业</v>
      </c>
      <c r="J1143" s="16">
        <f>VLOOKUP(I1143,[2]行业排放因子!$A:$B,2,0)</f>
        <v>1.34473732401866</v>
      </c>
      <c r="K1143" s="9" t="s">
        <v>1489</v>
      </c>
    </row>
    <row r="1144" spans="1:11" ht="12.5" customHeight="1" x14ac:dyDescent="0.25">
      <c r="A1144" s="5" t="s">
        <v>4036</v>
      </c>
      <c r="B1144" s="6" t="s">
        <v>3620</v>
      </c>
      <c r="C1144" s="6" t="s">
        <v>3926</v>
      </c>
      <c r="D1144" s="6" t="s">
        <v>4025</v>
      </c>
      <c r="E1144" s="6" t="s">
        <v>4037</v>
      </c>
      <c r="F1144" s="6" t="s">
        <v>4038</v>
      </c>
      <c r="G1144" s="9" t="s">
        <v>4039</v>
      </c>
      <c r="H1144" s="9" t="s">
        <v>18</v>
      </c>
      <c r="I1144" s="16" t="str">
        <f>VLOOKUP(F1144,[1]完整分类结果!$E:$G,3,0)</f>
        <v>文教体育用品制造业</v>
      </c>
      <c r="J1144" s="16">
        <f>VLOOKUP(I1144,[2]行业排放因子!$A:$B,2,0)</f>
        <v>1.34473732401866</v>
      </c>
      <c r="K1144" s="9" t="s">
        <v>1489</v>
      </c>
    </row>
    <row r="1145" spans="1:11" ht="12.5" customHeight="1" x14ac:dyDescent="0.25">
      <c r="A1145" s="5" t="s">
        <v>4040</v>
      </c>
      <c r="B1145" s="6" t="s">
        <v>3620</v>
      </c>
      <c r="C1145" s="6" t="s">
        <v>3926</v>
      </c>
      <c r="D1145" s="6" t="s">
        <v>4041</v>
      </c>
      <c r="E1145" s="6" t="s">
        <v>4042</v>
      </c>
      <c r="F1145" s="6" t="s">
        <v>4043</v>
      </c>
      <c r="G1145" s="9" t="s">
        <v>4044</v>
      </c>
      <c r="H1145" s="9" t="s">
        <v>18</v>
      </c>
      <c r="I1145" s="16" t="str">
        <f>VLOOKUP(F1145,[1]完整分类结果!$E:$G,3,0)</f>
        <v>文教体育用品制造业</v>
      </c>
      <c r="J1145" s="16">
        <f>VLOOKUP(I1145,[2]行业排放因子!$A:$B,2,0)</f>
        <v>1.34473732401866</v>
      </c>
      <c r="K1145" s="9" t="s">
        <v>1489</v>
      </c>
    </row>
    <row r="1146" spans="1:11" ht="12.5" customHeight="1" x14ac:dyDescent="0.25">
      <c r="A1146" s="5" t="s">
        <v>4045</v>
      </c>
      <c r="B1146" s="6" t="s">
        <v>3620</v>
      </c>
      <c r="C1146" s="6" t="s">
        <v>3926</v>
      </c>
      <c r="D1146" s="6" t="s">
        <v>4041</v>
      </c>
      <c r="E1146" s="6" t="s">
        <v>4046</v>
      </c>
      <c r="F1146" s="6" t="s">
        <v>4047</v>
      </c>
      <c r="G1146" s="9"/>
      <c r="H1146" s="9" t="s">
        <v>18</v>
      </c>
      <c r="I1146" s="16" t="str">
        <f>VLOOKUP(F1146,[1]完整分类结果!$E:$G,3,0)</f>
        <v>文教体育用品制造业</v>
      </c>
      <c r="J1146" s="16">
        <f>VLOOKUP(I1146,[2]行业排放因子!$A:$B,2,0)</f>
        <v>1.34473732401866</v>
      </c>
      <c r="K1146" s="9" t="s">
        <v>1489</v>
      </c>
    </row>
    <row r="1147" spans="1:11" ht="12.5" customHeight="1" x14ac:dyDescent="0.25">
      <c r="A1147" s="5" t="s">
        <v>4048</v>
      </c>
      <c r="B1147" s="6" t="s">
        <v>3620</v>
      </c>
      <c r="C1147" s="6" t="s">
        <v>3926</v>
      </c>
      <c r="D1147" s="6" t="s">
        <v>4041</v>
      </c>
      <c r="E1147" s="6" t="s">
        <v>4049</v>
      </c>
      <c r="F1147" s="6" t="s">
        <v>4050</v>
      </c>
      <c r="G1147" s="9" t="s">
        <v>4051</v>
      </c>
      <c r="H1147" s="9" t="s">
        <v>18</v>
      </c>
      <c r="I1147" s="16" t="str">
        <f>VLOOKUP(F1147,[1]完整分类结果!$E:$G,3,0)</f>
        <v>文教体育用品制造业</v>
      </c>
      <c r="J1147" s="16">
        <f>VLOOKUP(I1147,[2]行业排放因子!$A:$B,2,0)</f>
        <v>1.34473732401866</v>
      </c>
      <c r="K1147" s="9" t="s">
        <v>1489</v>
      </c>
    </row>
    <row r="1148" spans="1:11" ht="12.5" customHeight="1" x14ac:dyDescent="0.25">
      <c r="A1148" s="5" t="s">
        <v>4052</v>
      </c>
      <c r="B1148" s="6" t="s">
        <v>3620</v>
      </c>
      <c r="C1148" s="6" t="s">
        <v>3926</v>
      </c>
      <c r="D1148" s="6" t="s">
        <v>4041</v>
      </c>
      <c r="E1148" s="6" t="s">
        <v>4053</v>
      </c>
      <c r="F1148" s="6" t="s">
        <v>4054</v>
      </c>
      <c r="G1148" s="9"/>
      <c r="H1148" s="9" t="s">
        <v>18</v>
      </c>
      <c r="I1148" s="16" t="str">
        <f>VLOOKUP(F1148,[1]完整分类结果!$E:$G,3,0)</f>
        <v>文教体育用品制造业</v>
      </c>
      <c r="J1148" s="16">
        <f>VLOOKUP(I1148,[2]行业排放因子!$A:$B,2,0)</f>
        <v>1.34473732401866</v>
      </c>
      <c r="K1148" s="9" t="s">
        <v>1489</v>
      </c>
    </row>
    <row r="1149" spans="1:11" ht="12.5" customHeight="1" x14ac:dyDescent="0.25">
      <c r="A1149" s="5" t="s">
        <v>4055</v>
      </c>
      <c r="B1149" s="6" t="s">
        <v>3620</v>
      </c>
      <c r="C1149" s="6" t="s">
        <v>3926</v>
      </c>
      <c r="D1149" s="6" t="s">
        <v>4041</v>
      </c>
      <c r="E1149" s="6" t="s">
        <v>4056</v>
      </c>
      <c r="F1149" s="6" t="s">
        <v>4057</v>
      </c>
      <c r="G1149" s="9" t="s">
        <v>4058</v>
      </c>
      <c r="H1149" s="9" t="s">
        <v>18</v>
      </c>
      <c r="I1149" s="16" t="str">
        <f>VLOOKUP(F1149,[1]完整分类结果!$E:$G,3,0)</f>
        <v>文教体育用品制造业</v>
      </c>
      <c r="J1149" s="16">
        <f>VLOOKUP(I1149,[2]行业排放因子!$A:$B,2,0)</f>
        <v>1.34473732401866</v>
      </c>
      <c r="K1149" s="9" t="s">
        <v>1489</v>
      </c>
    </row>
    <row r="1150" spans="1:11" ht="12.5" customHeight="1" x14ac:dyDescent="0.25">
      <c r="A1150" s="5" t="s">
        <v>4059</v>
      </c>
      <c r="B1150" s="6" t="s">
        <v>3620</v>
      </c>
      <c r="C1150" s="6" t="s">
        <v>3926</v>
      </c>
      <c r="D1150" s="6" t="s">
        <v>4041</v>
      </c>
      <c r="E1150" s="6" t="s">
        <v>4060</v>
      </c>
      <c r="F1150" s="6" t="s">
        <v>4061</v>
      </c>
      <c r="G1150" s="9"/>
      <c r="H1150" s="9" t="s">
        <v>18</v>
      </c>
      <c r="I1150" s="16" t="str">
        <f>VLOOKUP(F1150,[1]完整分类结果!$E:$G,3,0)</f>
        <v>文教体育用品制造业</v>
      </c>
      <c r="J1150" s="16">
        <f>VLOOKUP(I1150,[2]行业排放因子!$A:$B,2,0)</f>
        <v>1.34473732401866</v>
      </c>
      <c r="K1150" s="9" t="s">
        <v>1489</v>
      </c>
    </row>
    <row r="1151" spans="1:11" ht="12.5" customHeight="1" x14ac:dyDescent="0.25">
      <c r="A1151" s="5" t="s">
        <v>4062</v>
      </c>
      <c r="B1151" s="6" t="s">
        <v>3620</v>
      </c>
      <c r="C1151" s="6" t="s">
        <v>3926</v>
      </c>
      <c r="D1151" s="6" t="s">
        <v>4041</v>
      </c>
      <c r="E1151" s="6" t="s">
        <v>4063</v>
      </c>
      <c r="F1151" s="6" t="s">
        <v>4064</v>
      </c>
      <c r="G1151" s="9"/>
      <c r="H1151" s="9" t="s">
        <v>18</v>
      </c>
      <c r="I1151" s="16" t="str">
        <f>VLOOKUP(F1151,[1]完整分类结果!$E:$G,3,0)</f>
        <v>文教体育用品制造业</v>
      </c>
      <c r="J1151" s="16">
        <f>VLOOKUP(I1151,[2]行业排放因子!$A:$B,2,0)</f>
        <v>1.34473732401866</v>
      </c>
      <c r="K1151" s="9" t="s">
        <v>1489</v>
      </c>
    </row>
    <row r="1152" spans="1:11" ht="12.5" customHeight="1" x14ac:dyDescent="0.25">
      <c r="A1152" s="5" t="s">
        <v>4065</v>
      </c>
      <c r="B1152" s="6" t="s">
        <v>3620</v>
      </c>
      <c r="C1152" s="6" t="s">
        <v>3926</v>
      </c>
      <c r="D1152" s="6" t="s">
        <v>4041</v>
      </c>
      <c r="E1152" s="6" t="s">
        <v>4066</v>
      </c>
      <c r="F1152" s="6" t="s">
        <v>4067</v>
      </c>
      <c r="G1152" s="9" t="s">
        <v>4068</v>
      </c>
      <c r="H1152" s="9" t="s">
        <v>18</v>
      </c>
      <c r="I1152" s="16" t="str">
        <f>VLOOKUP(F1152,[1]完整分类结果!$E:$G,3,0)</f>
        <v>文教体育用品制造业</v>
      </c>
      <c r="J1152" s="16">
        <f>VLOOKUP(I1152,[2]行业排放因子!$A:$B,2,0)</f>
        <v>1.34473732401866</v>
      </c>
      <c r="K1152" s="9" t="s">
        <v>1489</v>
      </c>
    </row>
    <row r="1153" spans="1:11" ht="12.5" customHeight="1" x14ac:dyDescent="0.25">
      <c r="A1153" s="5" t="s">
        <v>4069</v>
      </c>
      <c r="B1153" s="6" t="s">
        <v>3620</v>
      </c>
      <c r="C1153" s="6" t="s">
        <v>3926</v>
      </c>
      <c r="D1153" s="6" t="s">
        <v>4041</v>
      </c>
      <c r="E1153" s="6" t="s">
        <v>4070</v>
      </c>
      <c r="F1153" s="6" t="s">
        <v>4071</v>
      </c>
      <c r="G1153" s="9"/>
      <c r="H1153" s="9" t="s">
        <v>18</v>
      </c>
      <c r="I1153" s="16" t="str">
        <f>VLOOKUP(F1153,[1]完整分类结果!$E:$G,3,0)</f>
        <v>文教体育用品制造业</v>
      </c>
      <c r="J1153" s="16">
        <f>VLOOKUP(I1153,[2]行业排放因子!$A:$B,2,0)</f>
        <v>1.34473732401866</v>
      </c>
      <c r="K1153" s="9" t="s">
        <v>1489</v>
      </c>
    </row>
    <row r="1154" spans="1:11" ht="12.5" customHeight="1" x14ac:dyDescent="0.25">
      <c r="A1154" s="5" t="s">
        <v>4072</v>
      </c>
      <c r="B1154" s="6" t="s">
        <v>3620</v>
      </c>
      <c r="C1154" s="6" t="s">
        <v>3926</v>
      </c>
      <c r="D1154" s="6" t="s">
        <v>4041</v>
      </c>
      <c r="E1154" s="6" t="s">
        <v>4073</v>
      </c>
      <c r="F1154" s="6" t="s">
        <v>4074</v>
      </c>
      <c r="G1154" s="9"/>
      <c r="H1154" s="9" t="s">
        <v>18</v>
      </c>
      <c r="I1154" s="16" t="str">
        <f>VLOOKUP(F1154,[1]完整分类结果!$E:$G,3,0)</f>
        <v>文教体育用品制造业</v>
      </c>
      <c r="J1154" s="16">
        <f>VLOOKUP(I1154,[2]行业排放因子!$A:$B,2,0)</f>
        <v>1.34473732401866</v>
      </c>
      <c r="K1154" s="9" t="s">
        <v>1489</v>
      </c>
    </row>
    <row r="1155" spans="1:11" ht="12.5" customHeight="1" x14ac:dyDescent="0.25">
      <c r="A1155" s="5" t="s">
        <v>4075</v>
      </c>
      <c r="B1155" s="6" t="s">
        <v>3620</v>
      </c>
      <c r="C1155" s="6" t="s">
        <v>3926</v>
      </c>
      <c r="D1155" s="6" t="s">
        <v>4041</v>
      </c>
      <c r="E1155" s="6" t="s">
        <v>4076</v>
      </c>
      <c r="F1155" s="6" t="s">
        <v>4077</v>
      </c>
      <c r="G1155" s="9" t="s">
        <v>4078</v>
      </c>
      <c r="H1155" s="9" t="s">
        <v>18</v>
      </c>
      <c r="I1155" s="16" t="str">
        <f>VLOOKUP(F1155,[1]完整分类结果!$E:$G,3,0)</f>
        <v>文教体育用品制造业</v>
      </c>
      <c r="J1155" s="16">
        <f>VLOOKUP(I1155,[2]行业排放因子!$A:$B,2,0)</f>
        <v>1.34473732401866</v>
      </c>
      <c r="K1155" s="9" t="s">
        <v>1489</v>
      </c>
    </row>
    <row r="1156" spans="1:11" ht="12.5" customHeight="1" x14ac:dyDescent="0.25">
      <c r="A1156" s="5" t="s">
        <v>4079</v>
      </c>
      <c r="B1156" s="6" t="s">
        <v>3620</v>
      </c>
      <c r="C1156" s="6" t="s">
        <v>3926</v>
      </c>
      <c r="D1156" s="6" t="s">
        <v>4041</v>
      </c>
      <c r="E1156" s="6" t="s">
        <v>4080</v>
      </c>
      <c r="F1156" s="6" t="s">
        <v>4081</v>
      </c>
      <c r="G1156" s="9" t="s">
        <v>4082</v>
      </c>
      <c r="H1156" s="9" t="s">
        <v>18</v>
      </c>
      <c r="I1156" s="16" t="str">
        <f>VLOOKUP(F1156,[1]完整分类结果!$E:$G,3,0)</f>
        <v>文教体育用品制造业</v>
      </c>
      <c r="J1156" s="16">
        <f>VLOOKUP(I1156,[2]行业排放因子!$A:$B,2,0)</f>
        <v>1.34473732401866</v>
      </c>
      <c r="K1156" s="9" t="s">
        <v>1489</v>
      </c>
    </row>
    <row r="1157" spans="1:11" ht="12.5" customHeight="1" x14ac:dyDescent="0.25">
      <c r="A1157" s="5" t="s">
        <v>4083</v>
      </c>
      <c r="B1157" s="6" t="s">
        <v>3620</v>
      </c>
      <c r="C1157" s="6" t="s">
        <v>3926</v>
      </c>
      <c r="D1157" s="6" t="s">
        <v>4041</v>
      </c>
      <c r="E1157" s="6" t="s">
        <v>4084</v>
      </c>
      <c r="F1157" s="6" t="s">
        <v>4085</v>
      </c>
      <c r="G1157" s="9" t="s">
        <v>4086</v>
      </c>
      <c r="H1157" s="9" t="s">
        <v>18</v>
      </c>
      <c r="I1157" s="16" t="str">
        <f>VLOOKUP(F1157,[1]完整分类结果!$E:$G,3,0)</f>
        <v>文教体育用品制造业</v>
      </c>
      <c r="J1157" s="16">
        <f>VLOOKUP(I1157,[2]行业排放因子!$A:$B,2,0)</f>
        <v>1.34473732401866</v>
      </c>
      <c r="K1157" s="9" t="s">
        <v>1489</v>
      </c>
    </row>
    <row r="1158" spans="1:11" ht="12.5" customHeight="1" x14ac:dyDescent="0.25">
      <c r="A1158" s="5" t="s">
        <v>4087</v>
      </c>
      <c r="B1158" s="6" t="s">
        <v>3620</v>
      </c>
      <c r="C1158" s="6" t="s">
        <v>3926</v>
      </c>
      <c r="D1158" s="6" t="s">
        <v>4041</v>
      </c>
      <c r="E1158" s="6" t="s">
        <v>4088</v>
      </c>
      <c r="F1158" s="6" t="s">
        <v>4089</v>
      </c>
      <c r="G1158" s="9" t="s">
        <v>4090</v>
      </c>
      <c r="H1158" s="9" t="s">
        <v>18</v>
      </c>
      <c r="I1158" s="16" t="str">
        <f>VLOOKUP(F1158,[1]完整分类结果!$E:$G,3,0)</f>
        <v>文教体育用品制造业</v>
      </c>
      <c r="J1158" s="16">
        <f>VLOOKUP(I1158,[2]行业排放因子!$A:$B,2,0)</f>
        <v>1.34473732401866</v>
      </c>
      <c r="K1158" s="9" t="s">
        <v>1489</v>
      </c>
    </row>
    <row r="1159" spans="1:11" ht="12.5" customHeight="1" x14ac:dyDescent="0.25">
      <c r="A1159" s="5" t="s">
        <v>4091</v>
      </c>
      <c r="B1159" s="6" t="s">
        <v>3620</v>
      </c>
      <c r="C1159" s="6" t="s">
        <v>3926</v>
      </c>
      <c r="D1159" s="6" t="s">
        <v>4041</v>
      </c>
      <c r="E1159" s="6" t="s">
        <v>4092</v>
      </c>
      <c r="F1159" s="6" t="s">
        <v>4093</v>
      </c>
      <c r="G1159" s="9"/>
      <c r="H1159" s="9" t="s">
        <v>18</v>
      </c>
      <c r="I1159" s="16" t="str">
        <f>VLOOKUP(F1159,[1]完整分类结果!$E:$G,3,0)</f>
        <v>文教体育用品制造业</v>
      </c>
      <c r="J1159" s="16">
        <f>VLOOKUP(I1159,[2]行业排放因子!$A:$B,2,0)</f>
        <v>1.34473732401866</v>
      </c>
      <c r="K1159" s="9" t="s">
        <v>1489</v>
      </c>
    </row>
    <row r="1160" spans="1:11" ht="12.5" customHeight="1" x14ac:dyDescent="0.25">
      <c r="A1160" s="5" t="s">
        <v>4094</v>
      </c>
      <c r="B1160" s="6" t="s">
        <v>3620</v>
      </c>
      <c r="C1160" s="6" t="s">
        <v>3926</v>
      </c>
      <c r="D1160" s="6" t="s">
        <v>4041</v>
      </c>
      <c r="E1160" s="6" t="s">
        <v>4095</v>
      </c>
      <c r="F1160" s="6" t="s">
        <v>4096</v>
      </c>
      <c r="G1160" s="9" t="s">
        <v>4097</v>
      </c>
      <c r="H1160" s="9" t="s">
        <v>18</v>
      </c>
      <c r="I1160" s="16" t="str">
        <f>VLOOKUP(F1160,[1]完整分类结果!$E:$G,3,0)</f>
        <v>文教体育用品制造业</v>
      </c>
      <c r="J1160" s="16">
        <f>VLOOKUP(I1160,[2]行业排放因子!$A:$B,2,0)</f>
        <v>1.34473732401866</v>
      </c>
      <c r="K1160" s="9" t="s">
        <v>1489</v>
      </c>
    </row>
    <row r="1161" spans="1:11" ht="12.5" customHeight="1" x14ac:dyDescent="0.25">
      <c r="A1161" s="5" t="s">
        <v>4098</v>
      </c>
      <c r="B1161" s="6" t="s">
        <v>3620</v>
      </c>
      <c r="C1161" s="6" t="s">
        <v>3926</v>
      </c>
      <c r="D1161" s="6" t="s">
        <v>4041</v>
      </c>
      <c r="E1161" s="6" t="s">
        <v>4099</v>
      </c>
      <c r="F1161" s="6" t="s">
        <v>4100</v>
      </c>
      <c r="G1161" s="9" t="s">
        <v>4101</v>
      </c>
      <c r="H1161" s="9" t="s">
        <v>18</v>
      </c>
      <c r="I1161" s="16" t="str">
        <f>VLOOKUP(F1161,[1]完整分类结果!$E:$G,3,0)</f>
        <v>文教体育用品制造业</v>
      </c>
      <c r="J1161" s="16">
        <f>VLOOKUP(I1161,[2]行业排放因子!$A:$B,2,0)</f>
        <v>1.34473732401866</v>
      </c>
      <c r="K1161" s="9" t="s">
        <v>1489</v>
      </c>
    </row>
    <row r="1162" spans="1:11" ht="12.5" customHeight="1" x14ac:dyDescent="0.25">
      <c r="A1162" s="5" t="s">
        <v>4102</v>
      </c>
      <c r="B1162" s="6" t="s">
        <v>3620</v>
      </c>
      <c r="C1162" s="6" t="s">
        <v>3926</v>
      </c>
      <c r="D1162" s="6" t="s">
        <v>4041</v>
      </c>
      <c r="E1162" s="6" t="s">
        <v>4103</v>
      </c>
      <c r="F1162" s="6" t="s">
        <v>4104</v>
      </c>
      <c r="G1162" s="9" t="s">
        <v>4105</v>
      </c>
      <c r="H1162" s="9" t="s">
        <v>18</v>
      </c>
      <c r="I1162" s="16" t="str">
        <f>VLOOKUP(F1162,[1]完整分类结果!$E:$G,3,0)</f>
        <v>文教体育用品制造业</v>
      </c>
      <c r="J1162" s="16">
        <f>VLOOKUP(I1162,[2]行业排放因子!$A:$B,2,0)</f>
        <v>1.34473732401866</v>
      </c>
      <c r="K1162" s="9" t="s">
        <v>1489</v>
      </c>
    </row>
    <row r="1163" spans="1:11" ht="12.5" customHeight="1" x14ac:dyDescent="0.25">
      <c r="A1163" s="5" t="s">
        <v>4106</v>
      </c>
      <c r="B1163" s="6" t="s">
        <v>3620</v>
      </c>
      <c r="C1163" s="6" t="s">
        <v>3926</v>
      </c>
      <c r="D1163" s="6" t="s">
        <v>4041</v>
      </c>
      <c r="E1163" s="6" t="s">
        <v>4107</v>
      </c>
      <c r="F1163" s="6" t="s">
        <v>4108</v>
      </c>
      <c r="G1163" s="9"/>
      <c r="H1163" s="9" t="s">
        <v>18</v>
      </c>
      <c r="I1163" s="16" t="str">
        <f>VLOOKUP(F1163,[1]完整分类结果!$E:$G,3,0)</f>
        <v>文教体育用品制造业</v>
      </c>
      <c r="J1163" s="16">
        <f>VLOOKUP(I1163,[2]行业排放因子!$A:$B,2,0)</f>
        <v>1.34473732401866</v>
      </c>
      <c r="K1163" s="9" t="s">
        <v>1489</v>
      </c>
    </row>
    <row r="1164" spans="1:11" ht="12.5" customHeight="1" x14ac:dyDescent="0.25">
      <c r="A1164" s="5" t="s">
        <v>4109</v>
      </c>
      <c r="B1164" s="6" t="s">
        <v>3620</v>
      </c>
      <c r="C1164" s="6" t="s">
        <v>3926</v>
      </c>
      <c r="D1164" s="6" t="s">
        <v>4110</v>
      </c>
      <c r="E1164" s="6" t="s">
        <v>4111</v>
      </c>
      <c r="F1164" s="6" t="s">
        <v>4112</v>
      </c>
      <c r="G1164" s="9" t="s">
        <v>4113</v>
      </c>
      <c r="H1164" s="9" t="s">
        <v>18</v>
      </c>
      <c r="I1164" s="16" t="str">
        <f>VLOOKUP(F1164,[1]完整分类结果!$E:$G,3,0)</f>
        <v>文教体育用品制造业</v>
      </c>
      <c r="J1164" s="16">
        <f>VLOOKUP(I1164,[2]行业排放因子!$A:$B,2,0)</f>
        <v>1.34473732401866</v>
      </c>
      <c r="K1164" s="9" t="s">
        <v>1489</v>
      </c>
    </row>
    <row r="1165" spans="1:11" ht="12.5" customHeight="1" x14ac:dyDescent="0.25">
      <c r="A1165" s="5" t="s">
        <v>4114</v>
      </c>
      <c r="B1165" s="6" t="s">
        <v>3620</v>
      </c>
      <c r="C1165" s="6" t="s">
        <v>3926</v>
      </c>
      <c r="D1165" s="6" t="s">
        <v>4110</v>
      </c>
      <c r="E1165" s="6" t="s">
        <v>4115</v>
      </c>
      <c r="F1165" s="6" t="s">
        <v>4116</v>
      </c>
      <c r="G1165" s="9" t="s">
        <v>4117</v>
      </c>
      <c r="H1165" s="9" t="s">
        <v>18</v>
      </c>
      <c r="I1165" s="16" t="str">
        <f>VLOOKUP(F1165,[1]完整分类结果!$E:$G,3,0)</f>
        <v>文教体育用品制造业</v>
      </c>
      <c r="J1165" s="16">
        <f>VLOOKUP(I1165,[2]行业排放因子!$A:$B,2,0)</f>
        <v>1.34473732401866</v>
      </c>
      <c r="K1165" s="9" t="s">
        <v>1489</v>
      </c>
    </row>
    <row r="1166" spans="1:11" ht="12.5" customHeight="1" x14ac:dyDescent="0.25">
      <c r="A1166" s="5" t="s">
        <v>4118</v>
      </c>
      <c r="B1166" s="6" t="s">
        <v>3620</v>
      </c>
      <c r="C1166" s="6" t="s">
        <v>3926</v>
      </c>
      <c r="D1166" s="6" t="s">
        <v>4110</v>
      </c>
      <c r="E1166" s="6" t="s">
        <v>4119</v>
      </c>
      <c r="F1166" s="6" t="s">
        <v>4120</v>
      </c>
      <c r="G1166" s="9" t="s">
        <v>4121</v>
      </c>
      <c r="H1166" s="9" t="s">
        <v>18</v>
      </c>
      <c r="I1166" s="16" t="str">
        <f>VLOOKUP(F1166,[1]完整分类结果!$E:$G,3,0)</f>
        <v>文教体育用品制造业</v>
      </c>
      <c r="J1166" s="16">
        <f>VLOOKUP(I1166,[2]行业排放因子!$A:$B,2,0)</f>
        <v>1.34473732401866</v>
      </c>
      <c r="K1166" s="9" t="s">
        <v>1489</v>
      </c>
    </row>
    <row r="1167" spans="1:11" ht="12.5" customHeight="1" x14ac:dyDescent="0.25">
      <c r="A1167" s="5" t="s">
        <v>4122</v>
      </c>
      <c r="B1167" s="6" t="s">
        <v>3620</v>
      </c>
      <c r="C1167" s="6" t="s">
        <v>3926</v>
      </c>
      <c r="D1167" s="6" t="s">
        <v>4110</v>
      </c>
      <c r="E1167" s="6" t="s">
        <v>4123</v>
      </c>
      <c r="F1167" s="6" t="s">
        <v>4124</v>
      </c>
      <c r="G1167" s="9" t="s">
        <v>4125</v>
      </c>
      <c r="H1167" s="9" t="s">
        <v>18</v>
      </c>
      <c r="I1167" s="16" t="str">
        <f>VLOOKUP(F1167,[1]完整分类结果!$E:$G,3,0)</f>
        <v>文教体育用品制造业</v>
      </c>
      <c r="J1167" s="16">
        <f>VLOOKUP(I1167,[2]行业排放因子!$A:$B,2,0)</f>
        <v>1.34473732401866</v>
      </c>
      <c r="K1167" s="9" t="s">
        <v>1489</v>
      </c>
    </row>
    <row r="1168" spans="1:11" ht="12.5" customHeight="1" x14ac:dyDescent="0.25">
      <c r="A1168" s="5" t="s">
        <v>4126</v>
      </c>
      <c r="B1168" s="6" t="s">
        <v>3620</v>
      </c>
      <c r="C1168" s="6" t="s">
        <v>3926</v>
      </c>
      <c r="D1168" s="6" t="s">
        <v>4110</v>
      </c>
      <c r="E1168" s="6" t="s">
        <v>4127</v>
      </c>
      <c r="F1168" s="6" t="s">
        <v>4128</v>
      </c>
      <c r="G1168" s="9" t="s">
        <v>4129</v>
      </c>
      <c r="H1168" s="9" t="s">
        <v>18</v>
      </c>
      <c r="I1168" s="16" t="str">
        <f>VLOOKUP(F1168,[1]完整分类结果!$E:$G,3,0)</f>
        <v>文教体育用品制造业</v>
      </c>
      <c r="J1168" s="16">
        <f>VLOOKUP(I1168,[2]行业排放因子!$A:$B,2,0)</f>
        <v>1.34473732401866</v>
      </c>
      <c r="K1168" s="9" t="s">
        <v>1489</v>
      </c>
    </row>
    <row r="1169" spans="1:11" ht="12.5" customHeight="1" x14ac:dyDescent="0.25">
      <c r="A1169" s="5" t="s">
        <v>4130</v>
      </c>
      <c r="B1169" s="6" t="s">
        <v>3620</v>
      </c>
      <c r="C1169" s="6" t="s">
        <v>3926</v>
      </c>
      <c r="D1169" s="6" t="s">
        <v>4131</v>
      </c>
      <c r="E1169" s="6" t="s">
        <v>4132</v>
      </c>
      <c r="F1169" s="6" t="s">
        <v>4133</v>
      </c>
      <c r="G1169" s="9" t="s">
        <v>4134</v>
      </c>
      <c r="H1169" s="9" t="s">
        <v>18</v>
      </c>
      <c r="I1169" s="16" t="str">
        <f>VLOOKUP(F1169,[1]完整分类结果!$E:$G,3,0)</f>
        <v>文教体育用品制造业</v>
      </c>
      <c r="J1169" s="16">
        <f>VLOOKUP(I1169,[2]行业排放因子!$A:$B,2,0)</f>
        <v>1.34473732401866</v>
      </c>
      <c r="K1169" s="9" t="s">
        <v>1489</v>
      </c>
    </row>
    <row r="1170" spans="1:11" ht="12.5" customHeight="1" x14ac:dyDescent="0.25">
      <c r="A1170" s="5" t="s">
        <v>4135</v>
      </c>
      <c r="B1170" s="6" t="s">
        <v>3620</v>
      </c>
      <c r="C1170" s="6" t="s">
        <v>3926</v>
      </c>
      <c r="D1170" s="6" t="s">
        <v>4131</v>
      </c>
      <c r="E1170" s="6" t="s">
        <v>4136</v>
      </c>
      <c r="F1170" s="6" t="s">
        <v>4137</v>
      </c>
      <c r="G1170" s="9" t="s">
        <v>4138</v>
      </c>
      <c r="H1170" s="9" t="s">
        <v>18</v>
      </c>
      <c r="I1170" s="16" t="str">
        <f>VLOOKUP(F1170,[1]完整分类结果!$E:$G,3,0)</f>
        <v>文教体育用品制造业</v>
      </c>
      <c r="J1170" s="16">
        <f>VLOOKUP(I1170,[2]行业排放因子!$A:$B,2,0)</f>
        <v>1.34473732401866</v>
      </c>
      <c r="K1170" s="9" t="s">
        <v>1489</v>
      </c>
    </row>
    <row r="1171" spans="1:11" ht="12.5" customHeight="1" x14ac:dyDescent="0.25">
      <c r="A1171" s="5" t="s">
        <v>4139</v>
      </c>
      <c r="B1171" s="6" t="s">
        <v>3620</v>
      </c>
      <c r="C1171" s="6" t="s">
        <v>3926</v>
      </c>
      <c r="D1171" s="6" t="s">
        <v>4131</v>
      </c>
      <c r="E1171" s="6" t="s">
        <v>4140</v>
      </c>
      <c r="F1171" s="6" t="s">
        <v>4141</v>
      </c>
      <c r="G1171" s="9" t="s">
        <v>4142</v>
      </c>
      <c r="H1171" s="9" t="s">
        <v>18</v>
      </c>
      <c r="I1171" s="16" t="str">
        <f>VLOOKUP(F1171,[1]完整分类结果!$E:$G,3,0)</f>
        <v>文教体育用品制造业</v>
      </c>
      <c r="J1171" s="16">
        <f>VLOOKUP(I1171,[2]行业排放因子!$A:$B,2,0)</f>
        <v>1.34473732401866</v>
      </c>
      <c r="K1171" s="9" t="s">
        <v>1489</v>
      </c>
    </row>
    <row r="1172" spans="1:11" ht="12.5" customHeight="1" x14ac:dyDescent="0.25">
      <c r="A1172" s="5" t="s">
        <v>4143</v>
      </c>
      <c r="B1172" s="6" t="s">
        <v>3620</v>
      </c>
      <c r="C1172" s="6" t="s">
        <v>3926</v>
      </c>
      <c r="D1172" s="6" t="s">
        <v>4131</v>
      </c>
      <c r="E1172" s="6" t="s">
        <v>4144</v>
      </c>
      <c r="F1172" s="6" t="s">
        <v>4145</v>
      </c>
      <c r="G1172" s="9" t="s">
        <v>4146</v>
      </c>
      <c r="H1172" s="9" t="s">
        <v>18</v>
      </c>
      <c r="I1172" s="16" t="str">
        <f>VLOOKUP(F1172,[1]完整分类结果!$E:$G,3,0)</f>
        <v>文教体育用品制造业</v>
      </c>
      <c r="J1172" s="16">
        <f>VLOOKUP(I1172,[2]行业排放因子!$A:$B,2,0)</f>
        <v>1.34473732401866</v>
      </c>
      <c r="K1172" s="9" t="s">
        <v>1489</v>
      </c>
    </row>
    <row r="1173" spans="1:11" ht="12.5" customHeight="1" x14ac:dyDescent="0.25">
      <c r="A1173" s="5" t="s">
        <v>4147</v>
      </c>
      <c r="B1173" s="6" t="s">
        <v>3620</v>
      </c>
      <c r="C1173" s="6" t="s">
        <v>3926</v>
      </c>
      <c r="D1173" s="6" t="s">
        <v>4131</v>
      </c>
      <c r="E1173" s="6" t="s">
        <v>4148</v>
      </c>
      <c r="F1173" s="6" t="s">
        <v>4149</v>
      </c>
      <c r="G1173" s="9" t="s">
        <v>4150</v>
      </c>
      <c r="H1173" s="9" t="s">
        <v>18</v>
      </c>
      <c r="I1173" s="16" t="str">
        <f>VLOOKUP(F1173,[1]完整分类结果!$E:$G,3,0)</f>
        <v>文教体育用品制造业</v>
      </c>
      <c r="J1173" s="16">
        <f>VLOOKUP(I1173,[2]行业排放因子!$A:$B,2,0)</f>
        <v>1.34473732401866</v>
      </c>
      <c r="K1173" s="9" t="s">
        <v>1489</v>
      </c>
    </row>
    <row r="1174" spans="1:11" ht="12.5" customHeight="1" x14ac:dyDescent="0.25">
      <c r="A1174" s="5" t="s">
        <v>4151</v>
      </c>
      <c r="B1174" s="6" t="s">
        <v>3620</v>
      </c>
      <c r="C1174" s="6" t="s">
        <v>3926</v>
      </c>
      <c r="D1174" s="6" t="s">
        <v>4131</v>
      </c>
      <c r="E1174" s="6" t="s">
        <v>4152</v>
      </c>
      <c r="F1174" s="6" t="s">
        <v>4153</v>
      </c>
      <c r="G1174" s="9" t="s">
        <v>4154</v>
      </c>
      <c r="H1174" s="9" t="s">
        <v>18</v>
      </c>
      <c r="I1174" s="16" t="str">
        <f>VLOOKUP(F1174,[1]完整分类结果!$E:$G,3,0)</f>
        <v>文教体育用品制造业</v>
      </c>
      <c r="J1174" s="16">
        <f>VLOOKUP(I1174,[2]行业排放因子!$A:$B,2,0)</f>
        <v>1.34473732401866</v>
      </c>
      <c r="K1174" s="9" t="s">
        <v>1489</v>
      </c>
    </row>
    <row r="1175" spans="1:11" ht="12.5" customHeight="1" x14ac:dyDescent="0.25">
      <c r="A1175" s="5" t="s">
        <v>4155</v>
      </c>
      <c r="B1175" s="6" t="s">
        <v>3620</v>
      </c>
      <c r="C1175" s="6" t="s">
        <v>3926</v>
      </c>
      <c r="D1175" s="6" t="s">
        <v>4131</v>
      </c>
      <c r="E1175" s="6" t="s">
        <v>4156</v>
      </c>
      <c r="F1175" s="6" t="s">
        <v>4157</v>
      </c>
      <c r="G1175" s="9" t="s">
        <v>4158</v>
      </c>
      <c r="H1175" s="9" t="s">
        <v>18</v>
      </c>
      <c r="I1175" s="16" t="str">
        <f>VLOOKUP(F1175,[1]完整分类结果!$E:$G,3,0)</f>
        <v>文教体育用品制造业</v>
      </c>
      <c r="J1175" s="16">
        <f>VLOOKUP(I1175,[2]行业排放因子!$A:$B,2,0)</f>
        <v>1.34473732401866</v>
      </c>
      <c r="K1175" s="9" t="s">
        <v>1489</v>
      </c>
    </row>
    <row r="1176" spans="1:11" ht="12.5" customHeight="1" x14ac:dyDescent="0.25">
      <c r="A1176" s="5" t="s">
        <v>4159</v>
      </c>
      <c r="B1176" s="6" t="s">
        <v>3620</v>
      </c>
      <c r="C1176" s="6" t="s">
        <v>3926</v>
      </c>
      <c r="D1176" s="6" t="s">
        <v>4131</v>
      </c>
      <c r="E1176" s="6" t="s">
        <v>4160</v>
      </c>
      <c r="F1176" s="6" t="s">
        <v>4161</v>
      </c>
      <c r="G1176" s="9"/>
      <c r="H1176" s="9" t="s">
        <v>18</v>
      </c>
      <c r="I1176" s="16" t="str">
        <f>VLOOKUP(F1176,[1]完整分类结果!$E:$G,3,0)</f>
        <v>文教体育用品制造业</v>
      </c>
      <c r="J1176" s="16">
        <f>VLOOKUP(I1176,[2]行业排放因子!$A:$B,2,0)</f>
        <v>1.34473732401866</v>
      </c>
      <c r="K1176" s="9" t="s">
        <v>1489</v>
      </c>
    </row>
    <row r="1177" spans="1:11" ht="12.5" customHeight="1" x14ac:dyDescent="0.25">
      <c r="A1177" s="5" t="s">
        <v>4162</v>
      </c>
      <c r="B1177" s="6" t="s">
        <v>3620</v>
      </c>
      <c r="C1177" s="6" t="s">
        <v>3926</v>
      </c>
      <c r="D1177" s="6" t="s">
        <v>4131</v>
      </c>
      <c r="E1177" s="6" t="s">
        <v>4163</v>
      </c>
      <c r="F1177" s="6" t="s">
        <v>4164</v>
      </c>
      <c r="G1177" s="9" t="s">
        <v>4165</v>
      </c>
      <c r="H1177" s="9" t="s">
        <v>18</v>
      </c>
      <c r="I1177" s="16" t="str">
        <f>VLOOKUP(F1177,[1]完整分类结果!$E:$G,3,0)</f>
        <v>文教体育用品制造业</v>
      </c>
      <c r="J1177" s="16">
        <f>VLOOKUP(I1177,[2]行业排放因子!$A:$B,2,0)</f>
        <v>1.34473732401866</v>
      </c>
      <c r="K1177" s="9" t="s">
        <v>1489</v>
      </c>
    </row>
    <row r="1178" spans="1:11" ht="12.5" customHeight="1" x14ac:dyDescent="0.25">
      <c r="A1178" s="5" t="s">
        <v>4166</v>
      </c>
      <c r="B1178" s="6" t="s">
        <v>3620</v>
      </c>
      <c r="C1178" s="6" t="s">
        <v>3926</v>
      </c>
      <c r="D1178" s="6" t="s">
        <v>4167</v>
      </c>
      <c r="E1178" s="6" t="s">
        <v>4168</v>
      </c>
      <c r="F1178" s="6" t="s">
        <v>4169</v>
      </c>
      <c r="G1178" s="9" t="s">
        <v>4170</v>
      </c>
      <c r="H1178" s="9" t="s">
        <v>18</v>
      </c>
      <c r="I1178" s="16" t="str">
        <f>VLOOKUP(F1178,[1]完整分类结果!$E:$G,3,0)</f>
        <v>文教体育用品制造业</v>
      </c>
      <c r="J1178" s="16">
        <f>VLOOKUP(I1178,[2]行业排放因子!$A:$B,2,0)</f>
        <v>1.34473732401866</v>
      </c>
      <c r="K1178" s="9" t="s">
        <v>1489</v>
      </c>
    </row>
    <row r="1179" spans="1:11" ht="12.5" customHeight="1" x14ac:dyDescent="0.25">
      <c r="A1179" s="5" t="s">
        <v>4171</v>
      </c>
      <c r="B1179" s="6" t="s">
        <v>3620</v>
      </c>
      <c r="C1179" s="6" t="s">
        <v>3926</v>
      </c>
      <c r="D1179" s="6" t="s">
        <v>4167</v>
      </c>
      <c r="E1179" s="6" t="s">
        <v>4172</v>
      </c>
      <c r="F1179" s="6" t="s">
        <v>4173</v>
      </c>
      <c r="G1179" s="9" t="s">
        <v>4174</v>
      </c>
      <c r="H1179" s="9" t="s">
        <v>18</v>
      </c>
      <c r="I1179" s="16" t="str">
        <f>VLOOKUP(F1179,[1]完整分类结果!$E:$G,3,0)</f>
        <v>文教体育用品制造业</v>
      </c>
      <c r="J1179" s="16">
        <f>VLOOKUP(I1179,[2]行业排放因子!$A:$B,2,0)</f>
        <v>1.34473732401866</v>
      </c>
      <c r="K1179" s="9" t="s">
        <v>1489</v>
      </c>
    </row>
    <row r="1180" spans="1:11" ht="12.5" customHeight="1" x14ac:dyDescent="0.25">
      <c r="A1180" s="5" t="s">
        <v>4175</v>
      </c>
      <c r="B1180" s="6" t="s">
        <v>3620</v>
      </c>
      <c r="C1180" s="6" t="s">
        <v>3926</v>
      </c>
      <c r="D1180" s="6" t="s">
        <v>4167</v>
      </c>
      <c r="E1180" s="6" t="s">
        <v>4176</v>
      </c>
      <c r="F1180" s="6" t="s">
        <v>4177</v>
      </c>
      <c r="G1180" s="9"/>
      <c r="H1180" s="9" t="s">
        <v>18</v>
      </c>
      <c r="I1180" s="16" t="str">
        <f>VLOOKUP(F1180,[1]完整分类结果!$E:$G,3,0)</f>
        <v>文教体育用品制造业</v>
      </c>
      <c r="J1180" s="16">
        <f>VLOOKUP(I1180,[2]行业排放因子!$A:$B,2,0)</f>
        <v>1.34473732401866</v>
      </c>
      <c r="K1180" s="9" t="s">
        <v>1489</v>
      </c>
    </row>
    <row r="1181" spans="1:11" ht="12.5" customHeight="1" x14ac:dyDescent="0.25">
      <c r="A1181" s="5" t="s">
        <v>4178</v>
      </c>
      <c r="B1181" s="6" t="s">
        <v>3620</v>
      </c>
      <c r="C1181" s="6" t="s">
        <v>3926</v>
      </c>
      <c r="D1181" s="6" t="s">
        <v>4179</v>
      </c>
      <c r="E1181" s="6" t="s">
        <v>4180</v>
      </c>
      <c r="F1181" s="6" t="s">
        <v>4181</v>
      </c>
      <c r="G1181" s="9" t="s">
        <v>4182</v>
      </c>
      <c r="H1181" s="9" t="s">
        <v>18</v>
      </c>
      <c r="I1181" s="16" t="str">
        <f>VLOOKUP(F1181,[1]完整分类结果!$E:$G,3,0)</f>
        <v>文教体育用品制造业</v>
      </c>
      <c r="J1181" s="16">
        <f>VLOOKUP(I1181,[2]行业排放因子!$A:$B,2,0)</f>
        <v>1.34473732401866</v>
      </c>
      <c r="K1181" s="9" t="s">
        <v>1489</v>
      </c>
    </row>
    <row r="1182" spans="1:11" ht="12.5" customHeight="1" x14ac:dyDescent="0.25">
      <c r="A1182" s="5" t="s">
        <v>4183</v>
      </c>
      <c r="B1182" s="6" t="s">
        <v>3620</v>
      </c>
      <c r="C1182" s="6" t="s">
        <v>3926</v>
      </c>
      <c r="D1182" s="6" t="s">
        <v>4179</v>
      </c>
      <c r="E1182" s="6" t="s">
        <v>4184</v>
      </c>
      <c r="F1182" s="6" t="s">
        <v>4185</v>
      </c>
      <c r="G1182" s="9" t="s">
        <v>4186</v>
      </c>
      <c r="H1182" s="9" t="s">
        <v>18</v>
      </c>
      <c r="I1182" s="16" t="str">
        <f>VLOOKUP(F1182,[1]完整分类结果!$E:$G,3,0)</f>
        <v>文教体育用品制造业</v>
      </c>
      <c r="J1182" s="16">
        <f>VLOOKUP(I1182,[2]行业排放因子!$A:$B,2,0)</f>
        <v>1.34473732401866</v>
      </c>
      <c r="K1182" s="9" t="s">
        <v>1489</v>
      </c>
    </row>
    <row r="1183" spans="1:11" ht="12.5" customHeight="1" x14ac:dyDescent="0.25">
      <c r="A1183" s="5" t="s">
        <v>4187</v>
      </c>
      <c r="B1183" s="6" t="s">
        <v>3620</v>
      </c>
      <c r="C1183" s="6" t="s">
        <v>3926</v>
      </c>
      <c r="D1183" s="6" t="s">
        <v>4179</v>
      </c>
      <c r="E1183" s="6" t="s">
        <v>4188</v>
      </c>
      <c r="F1183" s="6" t="s">
        <v>4189</v>
      </c>
      <c r="G1183" s="9" t="s">
        <v>4190</v>
      </c>
      <c r="H1183" s="9" t="s">
        <v>18</v>
      </c>
      <c r="I1183" s="16" t="str">
        <f>VLOOKUP(F1183,[1]完整分类结果!$E:$G,3,0)</f>
        <v>文教体育用品制造业</v>
      </c>
      <c r="J1183" s="16">
        <f>VLOOKUP(I1183,[2]行业排放因子!$A:$B,2,0)</f>
        <v>1.34473732401866</v>
      </c>
      <c r="K1183" s="9" t="s">
        <v>1489</v>
      </c>
    </row>
    <row r="1184" spans="1:11" ht="12.5" customHeight="1" x14ac:dyDescent="0.25">
      <c r="A1184" s="5" t="s">
        <v>4191</v>
      </c>
      <c r="B1184" s="6" t="s">
        <v>3620</v>
      </c>
      <c r="C1184" s="6" t="s">
        <v>3926</v>
      </c>
      <c r="D1184" s="6" t="s">
        <v>4179</v>
      </c>
      <c r="E1184" s="6" t="s">
        <v>4192</v>
      </c>
      <c r="F1184" s="6" t="s">
        <v>4193</v>
      </c>
      <c r="G1184" s="9" t="s">
        <v>4194</v>
      </c>
      <c r="H1184" s="9" t="s">
        <v>18</v>
      </c>
      <c r="I1184" s="16" t="str">
        <f>VLOOKUP(F1184,[1]完整分类结果!$E:$G,3,0)</f>
        <v>文教体育用品制造业</v>
      </c>
      <c r="J1184" s="16">
        <f>VLOOKUP(I1184,[2]行业排放因子!$A:$B,2,0)</f>
        <v>1.34473732401866</v>
      </c>
      <c r="K1184" s="9" t="s">
        <v>1489</v>
      </c>
    </row>
    <row r="1185" spans="1:11" ht="12.5" customHeight="1" x14ac:dyDescent="0.25">
      <c r="A1185" s="5" t="s">
        <v>4195</v>
      </c>
      <c r="B1185" s="6" t="s">
        <v>3620</v>
      </c>
      <c r="C1185" s="6" t="s">
        <v>3926</v>
      </c>
      <c r="D1185" s="6" t="s">
        <v>4179</v>
      </c>
      <c r="E1185" s="6" t="s">
        <v>4196</v>
      </c>
      <c r="F1185" s="6" t="s">
        <v>4197</v>
      </c>
      <c r="G1185" s="9"/>
      <c r="H1185" s="9" t="s">
        <v>18</v>
      </c>
      <c r="I1185" s="16" t="str">
        <f>VLOOKUP(F1185,[1]完整分类结果!$E:$G,3,0)</f>
        <v>文教体育用品制造业</v>
      </c>
      <c r="J1185" s="16">
        <f>VLOOKUP(I1185,[2]行业排放因子!$A:$B,2,0)</f>
        <v>1.34473732401866</v>
      </c>
      <c r="K1185" s="9" t="s">
        <v>1489</v>
      </c>
    </row>
    <row r="1186" spans="1:11" ht="12.5" customHeight="1" x14ac:dyDescent="0.25">
      <c r="A1186" s="5" t="s">
        <v>4198</v>
      </c>
      <c r="B1186" s="6" t="s">
        <v>3620</v>
      </c>
      <c r="C1186" s="6" t="s">
        <v>3926</v>
      </c>
      <c r="D1186" s="6" t="s">
        <v>4179</v>
      </c>
      <c r="E1186" s="6" t="s">
        <v>4199</v>
      </c>
      <c r="F1186" s="6" t="s">
        <v>4200</v>
      </c>
      <c r="G1186" s="9"/>
      <c r="H1186" s="9" t="s">
        <v>18</v>
      </c>
      <c r="I1186" s="16" t="str">
        <f>VLOOKUP(F1186,[1]完整分类结果!$E:$G,3,0)</f>
        <v>文教体育用品制造业</v>
      </c>
      <c r="J1186" s="16">
        <f>VLOOKUP(I1186,[2]行业排放因子!$A:$B,2,0)</f>
        <v>1.34473732401866</v>
      </c>
      <c r="K1186" s="9" t="s">
        <v>1489</v>
      </c>
    </row>
    <row r="1187" spans="1:11" ht="12.5" customHeight="1" x14ac:dyDescent="0.25">
      <c r="A1187" s="5" t="s">
        <v>4201</v>
      </c>
      <c r="B1187" s="6" t="s">
        <v>3620</v>
      </c>
      <c r="C1187" s="6" t="s">
        <v>3926</v>
      </c>
      <c r="D1187" s="6" t="s">
        <v>4179</v>
      </c>
      <c r="E1187" s="6" t="s">
        <v>4202</v>
      </c>
      <c r="F1187" s="6" t="s">
        <v>4203</v>
      </c>
      <c r="G1187" s="9"/>
      <c r="H1187" s="9" t="s">
        <v>18</v>
      </c>
      <c r="I1187" s="16" t="str">
        <f>VLOOKUP(F1187,[1]完整分类结果!$E:$G,3,0)</f>
        <v>文教体育用品制造业</v>
      </c>
      <c r="J1187" s="16">
        <f>VLOOKUP(I1187,[2]行业排放因子!$A:$B,2,0)</f>
        <v>1.34473732401866</v>
      </c>
      <c r="K1187" s="9" t="s">
        <v>1489</v>
      </c>
    </row>
    <row r="1188" spans="1:11" ht="12.5" customHeight="1" x14ac:dyDescent="0.25">
      <c r="A1188" s="5" t="s">
        <v>4204</v>
      </c>
      <c r="B1188" s="6" t="s">
        <v>3620</v>
      </c>
      <c r="C1188" s="6" t="s">
        <v>3926</v>
      </c>
      <c r="D1188" s="6" t="s">
        <v>4179</v>
      </c>
      <c r="E1188" s="6" t="s">
        <v>4205</v>
      </c>
      <c r="F1188" s="6" t="s">
        <v>4206</v>
      </c>
      <c r="G1188" s="9"/>
      <c r="H1188" s="9" t="s">
        <v>18</v>
      </c>
      <c r="I1188" s="16" t="str">
        <f>VLOOKUP(F1188,[1]完整分类结果!$E:$G,3,0)</f>
        <v>文教体育用品制造业</v>
      </c>
      <c r="J1188" s="16">
        <f>VLOOKUP(I1188,[2]行业排放因子!$A:$B,2,0)</f>
        <v>1.34473732401866</v>
      </c>
      <c r="K1188" s="9" t="s">
        <v>1489</v>
      </c>
    </row>
    <row r="1189" spans="1:11" ht="12.5" customHeight="1" x14ac:dyDescent="0.25">
      <c r="A1189" s="5" t="s">
        <v>4207</v>
      </c>
      <c r="B1189" s="6" t="s">
        <v>3620</v>
      </c>
      <c r="C1189" s="6" t="s">
        <v>3926</v>
      </c>
      <c r="D1189" s="6" t="s">
        <v>4179</v>
      </c>
      <c r="E1189" s="6" t="s">
        <v>4208</v>
      </c>
      <c r="F1189" s="6" t="s">
        <v>4209</v>
      </c>
      <c r="G1189" s="9"/>
      <c r="H1189" s="9" t="s">
        <v>18</v>
      </c>
      <c r="I1189" s="16" t="str">
        <f>VLOOKUP(F1189,[1]完整分类结果!$E:$G,3,0)</f>
        <v>文教体育用品制造业</v>
      </c>
      <c r="J1189" s="16">
        <f>VLOOKUP(I1189,[2]行业排放因子!$A:$B,2,0)</f>
        <v>1.34473732401866</v>
      </c>
      <c r="K1189" s="9" t="s">
        <v>1489</v>
      </c>
    </row>
    <row r="1190" spans="1:11" ht="12.5" customHeight="1" x14ac:dyDescent="0.25">
      <c r="A1190" s="5" t="s">
        <v>4210</v>
      </c>
      <c r="B1190" s="6" t="s">
        <v>3620</v>
      </c>
      <c r="C1190" s="6" t="s">
        <v>3926</v>
      </c>
      <c r="D1190" s="6" t="s">
        <v>4179</v>
      </c>
      <c r="E1190" s="6" t="s">
        <v>4211</v>
      </c>
      <c r="F1190" s="6" t="s">
        <v>4212</v>
      </c>
      <c r="G1190" s="9" t="s">
        <v>4213</v>
      </c>
      <c r="H1190" s="9" t="s">
        <v>18</v>
      </c>
      <c r="I1190" s="16" t="str">
        <f>VLOOKUP(F1190,[1]完整分类结果!$E:$G,3,0)</f>
        <v>文教体育用品制造业</v>
      </c>
      <c r="J1190" s="16">
        <f>VLOOKUP(I1190,[2]行业排放因子!$A:$B,2,0)</f>
        <v>1.34473732401866</v>
      </c>
      <c r="K1190" s="9" t="s">
        <v>1489</v>
      </c>
    </row>
    <row r="1191" spans="1:11" ht="12.5" customHeight="1" x14ac:dyDescent="0.25">
      <c r="A1191" s="5" t="s">
        <v>4214</v>
      </c>
      <c r="B1191" s="6" t="s">
        <v>3620</v>
      </c>
      <c r="C1191" s="6" t="s">
        <v>3926</v>
      </c>
      <c r="D1191" s="6" t="s">
        <v>4179</v>
      </c>
      <c r="E1191" s="6" t="s">
        <v>4215</v>
      </c>
      <c r="F1191" s="6" t="s">
        <v>4216</v>
      </c>
      <c r="G1191" s="9" t="s">
        <v>4217</v>
      </c>
      <c r="H1191" s="9" t="s">
        <v>18</v>
      </c>
      <c r="I1191" s="16" t="str">
        <f>VLOOKUP(F1191,[1]完整分类结果!$E:$G,3,0)</f>
        <v>文教体育用品制造业</v>
      </c>
      <c r="J1191" s="16">
        <f>VLOOKUP(I1191,[2]行业排放因子!$A:$B,2,0)</f>
        <v>1.34473732401866</v>
      </c>
      <c r="K1191" s="9" t="s">
        <v>1489</v>
      </c>
    </row>
    <row r="1192" spans="1:11" ht="12.5" customHeight="1" x14ac:dyDescent="0.25">
      <c r="A1192" s="5" t="s">
        <v>4218</v>
      </c>
      <c r="B1192" s="6" t="s">
        <v>3620</v>
      </c>
      <c r="C1192" s="6" t="s">
        <v>4219</v>
      </c>
      <c r="D1192" s="6" t="s">
        <v>4220</v>
      </c>
      <c r="E1192" s="6" t="s">
        <v>4221</v>
      </c>
      <c r="F1192" s="6" t="s">
        <v>4222</v>
      </c>
      <c r="G1192" s="9" t="s">
        <v>4223</v>
      </c>
      <c r="H1192" s="9" t="s">
        <v>18</v>
      </c>
      <c r="I1192" s="16" t="str">
        <f>VLOOKUP(F1192,[1]完整分类结果!$E:$G,3,0)</f>
        <v>文教体育用品制造业</v>
      </c>
      <c r="J1192" s="16">
        <f>VLOOKUP(I1192,[2]行业排放因子!$A:$B,2,0)</f>
        <v>1.34473732401866</v>
      </c>
      <c r="K1192" s="9" t="s">
        <v>1489</v>
      </c>
    </row>
    <row r="1193" spans="1:11" ht="12.5" customHeight="1" x14ac:dyDescent="0.25">
      <c r="A1193" s="5" t="s">
        <v>4224</v>
      </c>
      <c r="B1193" s="6" t="s">
        <v>3620</v>
      </c>
      <c r="C1193" s="6" t="s">
        <v>4219</v>
      </c>
      <c r="D1193" s="6" t="s">
        <v>4220</v>
      </c>
      <c r="E1193" s="6" t="s">
        <v>4225</v>
      </c>
      <c r="F1193" s="6" t="s">
        <v>4226</v>
      </c>
      <c r="G1193" s="9" t="s">
        <v>4227</v>
      </c>
      <c r="H1193" s="9" t="s">
        <v>18</v>
      </c>
      <c r="I1193" s="16" t="str">
        <f>VLOOKUP(F1193,[1]完整分类结果!$E:$G,3,0)</f>
        <v>文教体育用品制造业</v>
      </c>
      <c r="J1193" s="16">
        <f>VLOOKUP(I1193,[2]行业排放因子!$A:$B,2,0)</f>
        <v>1.34473732401866</v>
      </c>
      <c r="K1193" s="9" t="s">
        <v>1489</v>
      </c>
    </row>
    <row r="1194" spans="1:11" ht="12.5" customHeight="1" x14ac:dyDescent="0.25">
      <c r="A1194" s="5" t="s">
        <v>4228</v>
      </c>
      <c r="B1194" s="6" t="s">
        <v>3620</v>
      </c>
      <c r="C1194" s="6" t="s">
        <v>4219</v>
      </c>
      <c r="D1194" s="6" t="s">
        <v>4220</v>
      </c>
      <c r="E1194" s="6" t="s">
        <v>4229</v>
      </c>
      <c r="F1194" s="6" t="s">
        <v>4230</v>
      </c>
      <c r="G1194" s="9"/>
      <c r="H1194" s="9" t="s">
        <v>18</v>
      </c>
      <c r="I1194" s="16" t="str">
        <f>VLOOKUP(F1194,[1]完整分类结果!$E:$G,3,0)</f>
        <v>文教体育用品制造业</v>
      </c>
      <c r="J1194" s="16">
        <f>VLOOKUP(I1194,[2]行业排放因子!$A:$B,2,0)</f>
        <v>1.34473732401866</v>
      </c>
      <c r="K1194" s="9" t="s">
        <v>1489</v>
      </c>
    </row>
    <row r="1195" spans="1:11" ht="12.5" customHeight="1" x14ac:dyDescent="0.25">
      <c r="A1195" s="5" t="s">
        <v>4231</v>
      </c>
      <c r="B1195" s="6" t="s">
        <v>3620</v>
      </c>
      <c r="C1195" s="6" t="s">
        <v>4219</v>
      </c>
      <c r="D1195" s="6" t="s">
        <v>4220</v>
      </c>
      <c r="E1195" s="6" t="s">
        <v>4232</v>
      </c>
      <c r="F1195" s="6" t="s">
        <v>4233</v>
      </c>
      <c r="G1195" s="9" t="s">
        <v>4234</v>
      </c>
      <c r="H1195" s="9" t="s">
        <v>18</v>
      </c>
      <c r="I1195" s="16" t="str">
        <f>VLOOKUP(F1195,[1]完整分类结果!$E:$G,3,0)</f>
        <v>文教体育用品制造业</v>
      </c>
      <c r="J1195" s="16">
        <f>VLOOKUP(I1195,[2]行业排放因子!$A:$B,2,0)</f>
        <v>1.34473732401866</v>
      </c>
      <c r="K1195" s="9" t="s">
        <v>1489</v>
      </c>
    </row>
    <row r="1196" spans="1:11" ht="12.5" customHeight="1" x14ac:dyDescent="0.25">
      <c r="A1196" s="5" t="s">
        <v>4235</v>
      </c>
      <c r="B1196" s="6" t="s">
        <v>3620</v>
      </c>
      <c r="C1196" s="6" t="s">
        <v>4219</v>
      </c>
      <c r="D1196" s="6" t="s">
        <v>4220</v>
      </c>
      <c r="E1196" s="6" t="s">
        <v>4236</v>
      </c>
      <c r="F1196" s="6" t="s">
        <v>4237</v>
      </c>
      <c r="G1196" s="9" t="s">
        <v>4238</v>
      </c>
      <c r="H1196" s="9" t="s">
        <v>18</v>
      </c>
      <c r="I1196" s="16" t="str">
        <f>VLOOKUP(F1196,[1]完整分类结果!$E:$G,3,0)</f>
        <v>文教体育用品制造业</v>
      </c>
      <c r="J1196" s="16">
        <f>VLOOKUP(I1196,[2]行业排放因子!$A:$B,2,0)</f>
        <v>1.34473732401866</v>
      </c>
      <c r="K1196" s="9" t="s">
        <v>1489</v>
      </c>
    </row>
    <row r="1197" spans="1:11" ht="12.5" customHeight="1" x14ac:dyDescent="0.25">
      <c r="A1197" s="5" t="s">
        <v>4239</v>
      </c>
      <c r="B1197" s="6" t="s">
        <v>3620</v>
      </c>
      <c r="C1197" s="6" t="s">
        <v>4219</v>
      </c>
      <c r="D1197" s="6" t="s">
        <v>4220</v>
      </c>
      <c r="E1197" s="6" t="s">
        <v>4240</v>
      </c>
      <c r="F1197" s="6" t="s">
        <v>4241</v>
      </c>
      <c r="G1197" s="9"/>
      <c r="H1197" s="9" t="s">
        <v>18</v>
      </c>
      <c r="I1197" s="16" t="str">
        <f>VLOOKUP(F1197,[1]完整分类结果!$E:$G,3,0)</f>
        <v>文教体育用品制造业</v>
      </c>
      <c r="J1197" s="16">
        <f>VLOOKUP(I1197,[2]行业排放因子!$A:$B,2,0)</f>
        <v>1.34473732401866</v>
      </c>
      <c r="K1197" s="9" t="s">
        <v>1489</v>
      </c>
    </row>
    <row r="1198" spans="1:11" ht="12.5" customHeight="1" x14ac:dyDescent="0.25">
      <c r="A1198" s="5" t="s">
        <v>4242</v>
      </c>
      <c r="B1198" s="6" t="s">
        <v>3620</v>
      </c>
      <c r="C1198" s="6" t="s">
        <v>4219</v>
      </c>
      <c r="D1198" s="6" t="s">
        <v>4220</v>
      </c>
      <c r="E1198" s="6" t="s">
        <v>4243</v>
      </c>
      <c r="F1198" s="6" t="s">
        <v>4244</v>
      </c>
      <c r="G1198" s="9" t="s">
        <v>4245</v>
      </c>
      <c r="H1198" s="9" t="s">
        <v>18</v>
      </c>
      <c r="I1198" s="16" t="str">
        <f>VLOOKUP(F1198,[1]完整分类结果!$E:$G,3,0)</f>
        <v>文教体育用品制造业</v>
      </c>
      <c r="J1198" s="16">
        <f>VLOOKUP(I1198,[2]行业排放因子!$A:$B,2,0)</f>
        <v>1.34473732401866</v>
      </c>
      <c r="K1198" s="9" t="s">
        <v>1489</v>
      </c>
    </row>
    <row r="1199" spans="1:11" ht="12.5" customHeight="1" x14ac:dyDescent="0.25">
      <c r="A1199" s="5" t="s">
        <v>4246</v>
      </c>
      <c r="B1199" s="6" t="s">
        <v>3620</v>
      </c>
      <c r="C1199" s="6" t="s">
        <v>4219</v>
      </c>
      <c r="D1199" s="6" t="s">
        <v>4220</v>
      </c>
      <c r="E1199" s="6" t="s">
        <v>4247</v>
      </c>
      <c r="F1199" s="6" t="s">
        <v>4248</v>
      </c>
      <c r="G1199" s="9" t="s">
        <v>4249</v>
      </c>
      <c r="H1199" s="9" t="s">
        <v>18</v>
      </c>
      <c r="I1199" s="16" t="str">
        <f>VLOOKUP(F1199,[1]完整分类结果!$E:$G,3,0)</f>
        <v>文教体育用品制造业</v>
      </c>
      <c r="J1199" s="16">
        <f>VLOOKUP(I1199,[2]行业排放因子!$A:$B,2,0)</f>
        <v>1.34473732401866</v>
      </c>
      <c r="K1199" s="9" t="s">
        <v>1489</v>
      </c>
    </row>
    <row r="1200" spans="1:11" ht="12.5" customHeight="1" x14ac:dyDescent="0.25">
      <c r="A1200" s="5" t="s">
        <v>4250</v>
      </c>
      <c r="B1200" s="6" t="s">
        <v>3620</v>
      </c>
      <c r="C1200" s="6" t="s">
        <v>4219</v>
      </c>
      <c r="D1200" s="6" t="s">
        <v>4220</v>
      </c>
      <c r="E1200" s="6" t="s">
        <v>4251</v>
      </c>
      <c r="F1200" s="6" t="s">
        <v>4252</v>
      </c>
      <c r="G1200" s="9" t="s">
        <v>4253</v>
      </c>
      <c r="H1200" s="9" t="s">
        <v>18</v>
      </c>
      <c r="I1200" s="16" t="str">
        <f>VLOOKUP(F1200,[1]完整分类结果!$E:$G,3,0)</f>
        <v>文教体育用品制造业</v>
      </c>
      <c r="J1200" s="16">
        <f>VLOOKUP(I1200,[2]行业排放因子!$A:$B,2,0)</f>
        <v>1.34473732401866</v>
      </c>
      <c r="K1200" s="9" t="s">
        <v>1489</v>
      </c>
    </row>
    <row r="1201" spans="1:11" ht="12.5" customHeight="1" x14ac:dyDescent="0.25">
      <c r="A1201" s="5" t="s">
        <v>4254</v>
      </c>
      <c r="B1201" s="6" t="s">
        <v>3620</v>
      </c>
      <c r="C1201" s="6" t="s">
        <v>4219</v>
      </c>
      <c r="D1201" s="6" t="s">
        <v>4220</v>
      </c>
      <c r="E1201" s="6" t="s">
        <v>4255</v>
      </c>
      <c r="F1201" s="6" t="s">
        <v>4256</v>
      </c>
      <c r="G1201" s="9" t="s">
        <v>4257</v>
      </c>
      <c r="H1201" s="9" t="s">
        <v>18</v>
      </c>
      <c r="I1201" s="16" t="str">
        <f>VLOOKUP(F1201,[1]完整分类结果!$E:$G,3,0)</f>
        <v>文教体育用品制造业</v>
      </c>
      <c r="J1201" s="16">
        <f>VLOOKUP(I1201,[2]行业排放因子!$A:$B,2,0)</f>
        <v>1.34473732401866</v>
      </c>
      <c r="K1201" s="9" t="s">
        <v>1489</v>
      </c>
    </row>
    <row r="1202" spans="1:11" ht="12.5" customHeight="1" x14ac:dyDescent="0.25">
      <c r="A1202" s="5" t="s">
        <v>4258</v>
      </c>
      <c r="B1202" s="6" t="s">
        <v>3620</v>
      </c>
      <c r="C1202" s="6" t="s">
        <v>4219</v>
      </c>
      <c r="D1202" s="6" t="s">
        <v>4220</v>
      </c>
      <c r="E1202" s="6" t="s">
        <v>4259</v>
      </c>
      <c r="F1202" s="6" t="s">
        <v>4260</v>
      </c>
      <c r="G1202" s="9" t="s">
        <v>4261</v>
      </c>
      <c r="H1202" s="9" t="s">
        <v>18</v>
      </c>
      <c r="I1202" s="16" t="str">
        <f>VLOOKUP(F1202,[1]完整分类结果!$E:$G,3,0)</f>
        <v>文教体育用品制造业</v>
      </c>
      <c r="J1202" s="16">
        <f>VLOOKUP(I1202,[2]行业排放因子!$A:$B,2,0)</f>
        <v>1.34473732401866</v>
      </c>
      <c r="K1202" s="9" t="s">
        <v>1489</v>
      </c>
    </row>
    <row r="1203" spans="1:11" ht="12.5" customHeight="1" x14ac:dyDescent="0.25">
      <c r="A1203" s="5" t="s">
        <v>4262</v>
      </c>
      <c r="B1203" s="6" t="s">
        <v>3620</v>
      </c>
      <c r="C1203" s="6" t="s">
        <v>4219</v>
      </c>
      <c r="D1203" s="6" t="s">
        <v>4220</v>
      </c>
      <c r="E1203" s="6" t="s">
        <v>4263</v>
      </c>
      <c r="F1203" s="6" t="s">
        <v>4264</v>
      </c>
      <c r="G1203" s="9"/>
      <c r="H1203" s="9" t="s">
        <v>18</v>
      </c>
      <c r="I1203" s="16" t="str">
        <f>VLOOKUP(F1203,[1]完整分类结果!$E:$G,3,0)</f>
        <v>文教体育用品制造业</v>
      </c>
      <c r="J1203" s="16">
        <f>VLOOKUP(I1203,[2]行业排放因子!$A:$B,2,0)</f>
        <v>1.34473732401866</v>
      </c>
      <c r="K1203" s="9" t="s">
        <v>1489</v>
      </c>
    </row>
    <row r="1204" spans="1:11" ht="12.5" customHeight="1" x14ac:dyDescent="0.25">
      <c r="A1204" s="5" t="s">
        <v>4265</v>
      </c>
      <c r="B1204" s="6" t="s">
        <v>3620</v>
      </c>
      <c r="C1204" s="6" t="s">
        <v>4219</v>
      </c>
      <c r="D1204" s="6" t="s">
        <v>4220</v>
      </c>
      <c r="E1204" s="6" t="s">
        <v>4266</v>
      </c>
      <c r="F1204" s="6" t="s">
        <v>4267</v>
      </c>
      <c r="G1204" s="9" t="s">
        <v>4268</v>
      </c>
      <c r="H1204" s="9" t="s">
        <v>18</v>
      </c>
      <c r="I1204" s="16" t="str">
        <f>VLOOKUP(F1204,[1]完整分类结果!$E:$G,3,0)</f>
        <v>文教体育用品制造业</v>
      </c>
      <c r="J1204" s="16">
        <f>VLOOKUP(I1204,[2]行业排放因子!$A:$B,2,0)</f>
        <v>1.34473732401866</v>
      </c>
      <c r="K1204" s="9" t="s">
        <v>1489</v>
      </c>
    </row>
    <row r="1205" spans="1:11" ht="12.5" customHeight="1" x14ac:dyDescent="0.25">
      <c r="A1205" s="5" t="s">
        <v>4269</v>
      </c>
      <c r="B1205" s="6" t="s">
        <v>3620</v>
      </c>
      <c r="C1205" s="6" t="s">
        <v>4219</v>
      </c>
      <c r="D1205" s="6" t="s">
        <v>4220</v>
      </c>
      <c r="E1205" s="6" t="s">
        <v>4270</v>
      </c>
      <c r="F1205" s="6" t="s">
        <v>4271</v>
      </c>
      <c r="G1205" s="9" t="s">
        <v>4272</v>
      </c>
      <c r="H1205" s="9" t="s">
        <v>18</v>
      </c>
      <c r="I1205" s="16" t="str">
        <f>VLOOKUP(F1205,[1]完整分类结果!$E:$G,3,0)</f>
        <v>文教体育用品制造业</v>
      </c>
      <c r="J1205" s="16">
        <f>VLOOKUP(I1205,[2]行业排放因子!$A:$B,2,0)</f>
        <v>1.34473732401866</v>
      </c>
      <c r="K1205" s="9" t="s">
        <v>1489</v>
      </c>
    </row>
    <row r="1206" spans="1:11" ht="12.5" customHeight="1" x14ac:dyDescent="0.25">
      <c r="A1206" s="5" t="s">
        <v>4273</v>
      </c>
      <c r="B1206" s="6" t="s">
        <v>3620</v>
      </c>
      <c r="C1206" s="6" t="s">
        <v>4219</v>
      </c>
      <c r="D1206" s="6" t="s">
        <v>4220</v>
      </c>
      <c r="E1206" s="6" t="s">
        <v>4274</v>
      </c>
      <c r="F1206" s="6" t="s">
        <v>4275</v>
      </c>
      <c r="G1206" s="9" t="s">
        <v>4276</v>
      </c>
      <c r="H1206" s="9" t="s">
        <v>18</v>
      </c>
      <c r="I1206" s="16" t="str">
        <f>VLOOKUP(F1206,[1]完整分类结果!$E:$G,3,0)</f>
        <v>文教体育用品制造业</v>
      </c>
      <c r="J1206" s="16">
        <f>VLOOKUP(I1206,[2]行业排放因子!$A:$B,2,0)</f>
        <v>1.34473732401866</v>
      </c>
      <c r="K1206" s="9" t="s">
        <v>1489</v>
      </c>
    </row>
    <row r="1207" spans="1:11" ht="12.5" customHeight="1" x14ac:dyDescent="0.25">
      <c r="A1207" s="5" t="s">
        <v>4277</v>
      </c>
      <c r="B1207" s="6" t="s">
        <v>3620</v>
      </c>
      <c r="C1207" s="6" t="s">
        <v>4219</v>
      </c>
      <c r="D1207" s="6" t="s">
        <v>4220</v>
      </c>
      <c r="E1207" s="6" t="s">
        <v>4278</v>
      </c>
      <c r="F1207" s="6" t="s">
        <v>4279</v>
      </c>
      <c r="G1207" s="9" t="s">
        <v>4280</v>
      </c>
      <c r="H1207" s="9" t="s">
        <v>18</v>
      </c>
      <c r="I1207" s="16" t="str">
        <f>VLOOKUP(F1207,[1]完整分类结果!$E:$G,3,0)</f>
        <v>文教体育用品制造业</v>
      </c>
      <c r="J1207" s="16">
        <f>VLOOKUP(I1207,[2]行业排放因子!$A:$B,2,0)</f>
        <v>1.34473732401866</v>
      </c>
      <c r="K1207" s="9" t="s">
        <v>1489</v>
      </c>
    </row>
    <row r="1208" spans="1:11" ht="12.5" customHeight="1" x14ac:dyDescent="0.25">
      <c r="A1208" s="5" t="s">
        <v>4281</v>
      </c>
      <c r="B1208" s="6" t="s">
        <v>3620</v>
      </c>
      <c r="C1208" s="6" t="s">
        <v>4219</v>
      </c>
      <c r="D1208" s="6" t="s">
        <v>4220</v>
      </c>
      <c r="E1208" s="6" t="s">
        <v>4282</v>
      </c>
      <c r="F1208" s="6" t="s">
        <v>4283</v>
      </c>
      <c r="G1208" s="9" t="s">
        <v>4284</v>
      </c>
      <c r="H1208" s="9" t="s">
        <v>18</v>
      </c>
      <c r="I1208" s="16" t="str">
        <f>VLOOKUP(F1208,[1]完整分类结果!$E:$G,3,0)</f>
        <v>文教体育用品制造业</v>
      </c>
      <c r="J1208" s="16">
        <f>VLOOKUP(I1208,[2]行业排放因子!$A:$B,2,0)</f>
        <v>1.34473732401866</v>
      </c>
      <c r="K1208" s="9" t="s">
        <v>1489</v>
      </c>
    </row>
    <row r="1209" spans="1:11" ht="12.5" customHeight="1" x14ac:dyDescent="0.25">
      <c r="A1209" s="5" t="s">
        <v>4285</v>
      </c>
      <c r="B1209" s="6" t="s">
        <v>3620</v>
      </c>
      <c r="C1209" s="6" t="s">
        <v>4219</v>
      </c>
      <c r="D1209" s="6" t="s">
        <v>4220</v>
      </c>
      <c r="E1209" s="6" t="s">
        <v>4286</v>
      </c>
      <c r="F1209" s="6" t="s">
        <v>4287</v>
      </c>
      <c r="G1209" s="9"/>
      <c r="H1209" s="9" t="s">
        <v>18</v>
      </c>
      <c r="I1209" s="16" t="str">
        <f>VLOOKUP(F1209,[1]完整分类结果!$E:$G,3,0)</f>
        <v>文教体育用品制造业</v>
      </c>
      <c r="J1209" s="16">
        <f>VLOOKUP(I1209,[2]行业排放因子!$A:$B,2,0)</f>
        <v>1.34473732401866</v>
      </c>
      <c r="K1209" s="9" t="s">
        <v>1489</v>
      </c>
    </row>
    <row r="1210" spans="1:11" ht="12.5" customHeight="1" x14ac:dyDescent="0.25">
      <c r="A1210" s="5" t="s">
        <v>4288</v>
      </c>
      <c r="B1210" s="6" t="s">
        <v>3620</v>
      </c>
      <c r="C1210" s="6" t="s">
        <v>4219</v>
      </c>
      <c r="D1210" s="6" t="s">
        <v>4220</v>
      </c>
      <c r="E1210" s="6" t="s">
        <v>4289</v>
      </c>
      <c r="F1210" s="6" t="s">
        <v>4290</v>
      </c>
      <c r="G1210" s="9"/>
      <c r="H1210" s="9" t="s">
        <v>18</v>
      </c>
      <c r="I1210" s="16" t="str">
        <f>VLOOKUP(F1210,[1]完整分类结果!$E:$G,3,0)</f>
        <v>文教体育用品制造业</v>
      </c>
      <c r="J1210" s="16">
        <f>VLOOKUP(I1210,[2]行业排放因子!$A:$B,2,0)</f>
        <v>1.34473732401866</v>
      </c>
      <c r="K1210" s="9" t="s">
        <v>1489</v>
      </c>
    </row>
    <row r="1211" spans="1:11" ht="12.5" customHeight="1" x14ac:dyDescent="0.25">
      <c r="A1211" s="5" t="s">
        <v>4291</v>
      </c>
      <c r="B1211" s="6" t="s">
        <v>3620</v>
      </c>
      <c r="C1211" s="6" t="s">
        <v>4219</v>
      </c>
      <c r="D1211" s="6" t="s">
        <v>4220</v>
      </c>
      <c r="E1211" s="6" t="s">
        <v>4292</v>
      </c>
      <c r="F1211" s="6" t="s">
        <v>4293</v>
      </c>
      <c r="G1211" s="9"/>
      <c r="H1211" s="9" t="s">
        <v>18</v>
      </c>
      <c r="I1211" s="16" t="str">
        <f>VLOOKUP(F1211,[1]完整分类结果!$E:$G,3,0)</f>
        <v>文教体育用品制造业</v>
      </c>
      <c r="J1211" s="16">
        <f>VLOOKUP(I1211,[2]行业排放因子!$A:$B,2,0)</f>
        <v>1.34473732401866</v>
      </c>
      <c r="K1211" s="9" t="s">
        <v>1489</v>
      </c>
    </row>
    <row r="1212" spans="1:11" ht="12.5" customHeight="1" x14ac:dyDescent="0.25">
      <c r="A1212" s="5" t="s">
        <v>4294</v>
      </c>
      <c r="B1212" s="6" t="s">
        <v>3620</v>
      </c>
      <c r="C1212" s="6" t="s">
        <v>4219</v>
      </c>
      <c r="D1212" s="6" t="s">
        <v>4220</v>
      </c>
      <c r="E1212" s="6" t="s">
        <v>4295</v>
      </c>
      <c r="F1212" s="6" t="s">
        <v>4296</v>
      </c>
      <c r="G1212" s="9"/>
      <c r="H1212" s="9" t="s">
        <v>18</v>
      </c>
      <c r="I1212" s="16" t="str">
        <f>VLOOKUP(F1212,[1]完整分类结果!$E:$G,3,0)</f>
        <v>文教体育用品制造业</v>
      </c>
      <c r="J1212" s="16">
        <f>VLOOKUP(I1212,[2]行业排放因子!$A:$B,2,0)</f>
        <v>1.34473732401866</v>
      </c>
      <c r="K1212" s="9" t="s">
        <v>1489</v>
      </c>
    </row>
    <row r="1213" spans="1:11" ht="12.5" customHeight="1" x14ac:dyDescent="0.25">
      <c r="A1213" s="5" t="s">
        <v>4297</v>
      </c>
      <c r="B1213" s="6" t="s">
        <v>3620</v>
      </c>
      <c r="C1213" s="6" t="s">
        <v>4219</v>
      </c>
      <c r="D1213" s="6" t="s">
        <v>4220</v>
      </c>
      <c r="E1213" s="6" t="s">
        <v>4298</v>
      </c>
      <c r="F1213" s="6" t="s">
        <v>4299</v>
      </c>
      <c r="G1213" s="9"/>
      <c r="H1213" s="9" t="s">
        <v>18</v>
      </c>
      <c r="I1213" s="16" t="str">
        <f>VLOOKUP(F1213,[1]完整分类结果!$E:$G,3,0)</f>
        <v>文教体育用品制造业</v>
      </c>
      <c r="J1213" s="16">
        <f>VLOOKUP(I1213,[2]行业排放因子!$A:$B,2,0)</f>
        <v>1.34473732401866</v>
      </c>
      <c r="K1213" s="9" t="s">
        <v>1489</v>
      </c>
    </row>
    <row r="1214" spans="1:11" ht="12.5" customHeight="1" x14ac:dyDescent="0.25">
      <c r="A1214" s="5" t="s">
        <v>4300</v>
      </c>
      <c r="B1214" s="6" t="s">
        <v>3620</v>
      </c>
      <c r="C1214" s="6" t="s">
        <v>4219</v>
      </c>
      <c r="D1214" s="6" t="s">
        <v>4220</v>
      </c>
      <c r="E1214" s="6" t="s">
        <v>4301</v>
      </c>
      <c r="F1214" s="6" t="s">
        <v>4302</v>
      </c>
      <c r="G1214" s="9"/>
      <c r="H1214" s="9" t="s">
        <v>18</v>
      </c>
      <c r="I1214" s="16" t="str">
        <f>VLOOKUP(F1214,[1]完整分类结果!$E:$G,3,0)</f>
        <v>文教体育用品制造业</v>
      </c>
      <c r="J1214" s="16">
        <f>VLOOKUP(I1214,[2]行业排放因子!$A:$B,2,0)</f>
        <v>1.34473732401866</v>
      </c>
      <c r="K1214" s="9" t="s">
        <v>1489</v>
      </c>
    </row>
    <row r="1215" spans="1:11" ht="12.5" customHeight="1" x14ac:dyDescent="0.25">
      <c r="A1215" s="5" t="s">
        <v>4303</v>
      </c>
      <c r="B1215" s="6" t="s">
        <v>3620</v>
      </c>
      <c r="C1215" s="6" t="s">
        <v>4219</v>
      </c>
      <c r="D1215" s="6" t="s">
        <v>4220</v>
      </c>
      <c r="E1215" s="6" t="s">
        <v>4304</v>
      </c>
      <c r="F1215" s="6" t="s">
        <v>4305</v>
      </c>
      <c r="G1215" s="9" t="s">
        <v>4306</v>
      </c>
      <c r="H1215" s="9" t="s">
        <v>18</v>
      </c>
      <c r="I1215" s="16" t="str">
        <f>VLOOKUP(F1215,[1]完整分类结果!$E:$G,3,0)</f>
        <v>文教体育用品制造业</v>
      </c>
      <c r="J1215" s="16">
        <f>VLOOKUP(I1215,[2]行业排放因子!$A:$B,2,0)</f>
        <v>1.34473732401866</v>
      </c>
      <c r="K1215" s="9" t="s">
        <v>1489</v>
      </c>
    </row>
    <row r="1216" spans="1:11" ht="12.5" customHeight="1" x14ac:dyDescent="0.25">
      <c r="A1216" s="5" t="s">
        <v>4307</v>
      </c>
      <c r="B1216" s="6" t="s">
        <v>3620</v>
      </c>
      <c r="C1216" s="6" t="s">
        <v>4219</v>
      </c>
      <c r="D1216" s="6" t="s">
        <v>4220</v>
      </c>
      <c r="E1216" s="6" t="s">
        <v>4308</v>
      </c>
      <c r="F1216" s="6" t="s">
        <v>4309</v>
      </c>
      <c r="G1216" s="9"/>
      <c r="H1216" s="9" t="s">
        <v>18</v>
      </c>
      <c r="I1216" s="16" t="str">
        <f>VLOOKUP(F1216,[1]完整分类结果!$E:$G,3,0)</f>
        <v>文教体育用品制造业</v>
      </c>
      <c r="J1216" s="16">
        <f>VLOOKUP(I1216,[2]行业排放因子!$A:$B,2,0)</f>
        <v>1.34473732401866</v>
      </c>
      <c r="K1216" s="9" t="s">
        <v>1489</v>
      </c>
    </row>
    <row r="1217" spans="1:11" ht="12.5" customHeight="1" x14ac:dyDescent="0.25">
      <c r="A1217" s="5" t="s">
        <v>4310</v>
      </c>
      <c r="B1217" s="6" t="s">
        <v>3620</v>
      </c>
      <c r="C1217" s="6" t="s">
        <v>4219</v>
      </c>
      <c r="D1217" s="6" t="s">
        <v>4220</v>
      </c>
      <c r="E1217" s="6" t="s">
        <v>4311</v>
      </c>
      <c r="F1217" s="6" t="s">
        <v>4312</v>
      </c>
      <c r="G1217" s="9" t="s">
        <v>4313</v>
      </c>
      <c r="H1217" s="9" t="s">
        <v>18</v>
      </c>
      <c r="I1217" s="16" t="str">
        <f>VLOOKUP(F1217,[1]完整分类结果!$E:$G,3,0)</f>
        <v>文教体育用品制造业</v>
      </c>
      <c r="J1217" s="16">
        <f>VLOOKUP(I1217,[2]行业排放因子!$A:$B,2,0)</f>
        <v>1.34473732401866</v>
      </c>
      <c r="K1217" s="9" t="s">
        <v>1489</v>
      </c>
    </row>
    <row r="1218" spans="1:11" ht="12.5" customHeight="1" x14ac:dyDescent="0.25">
      <c r="A1218" s="5" t="s">
        <v>4314</v>
      </c>
      <c r="B1218" s="6" t="s">
        <v>3620</v>
      </c>
      <c r="C1218" s="6" t="s">
        <v>4219</v>
      </c>
      <c r="D1218" s="6" t="s">
        <v>4220</v>
      </c>
      <c r="E1218" s="6" t="s">
        <v>4315</v>
      </c>
      <c r="F1218" s="6" t="s">
        <v>4316</v>
      </c>
      <c r="G1218" s="9" t="s">
        <v>4317</v>
      </c>
      <c r="H1218" s="9" t="s">
        <v>18</v>
      </c>
      <c r="I1218" s="16" t="str">
        <f>VLOOKUP(F1218,[1]完整分类结果!$E:$G,3,0)</f>
        <v>文教体育用品制造业</v>
      </c>
      <c r="J1218" s="16">
        <f>VLOOKUP(I1218,[2]行业排放因子!$A:$B,2,0)</f>
        <v>1.34473732401866</v>
      </c>
      <c r="K1218" s="9" t="s">
        <v>1489</v>
      </c>
    </row>
    <row r="1219" spans="1:11" ht="12.5" customHeight="1" x14ac:dyDescent="0.25">
      <c r="A1219" s="5" t="s">
        <v>4318</v>
      </c>
      <c r="B1219" s="6" t="s">
        <v>3620</v>
      </c>
      <c r="C1219" s="6" t="s">
        <v>4219</v>
      </c>
      <c r="D1219" s="6" t="s">
        <v>4220</v>
      </c>
      <c r="E1219" s="6" t="s">
        <v>4319</v>
      </c>
      <c r="F1219" s="6" t="s">
        <v>4320</v>
      </c>
      <c r="G1219" s="9" t="s">
        <v>4321</v>
      </c>
      <c r="H1219" s="9" t="s">
        <v>18</v>
      </c>
      <c r="I1219" s="16" t="str">
        <f>VLOOKUP(F1219,[1]完整分类结果!$E:$G,3,0)</f>
        <v>文教体育用品制造业</v>
      </c>
      <c r="J1219" s="16">
        <f>VLOOKUP(I1219,[2]行业排放因子!$A:$B,2,0)</f>
        <v>1.34473732401866</v>
      </c>
      <c r="K1219" s="9" t="s">
        <v>1489</v>
      </c>
    </row>
    <row r="1220" spans="1:11" ht="12.5" customHeight="1" x14ac:dyDescent="0.25">
      <c r="A1220" s="5" t="s">
        <v>4322</v>
      </c>
      <c r="B1220" s="6" t="s">
        <v>3620</v>
      </c>
      <c r="C1220" s="6" t="s">
        <v>4219</v>
      </c>
      <c r="D1220" s="6" t="s">
        <v>4220</v>
      </c>
      <c r="E1220" s="6" t="s">
        <v>4323</v>
      </c>
      <c r="F1220" s="6" t="s">
        <v>4324</v>
      </c>
      <c r="G1220" s="9" t="s">
        <v>4325</v>
      </c>
      <c r="H1220" s="9" t="s">
        <v>18</v>
      </c>
      <c r="I1220" s="16" t="str">
        <f>VLOOKUP(F1220,[1]完整分类结果!$E:$G,3,0)</f>
        <v>文教体育用品制造业</v>
      </c>
      <c r="J1220" s="16">
        <f>VLOOKUP(I1220,[2]行业排放因子!$A:$B,2,0)</f>
        <v>1.34473732401866</v>
      </c>
      <c r="K1220" s="9" t="s">
        <v>1489</v>
      </c>
    </row>
    <row r="1221" spans="1:11" ht="12.5" customHeight="1" x14ac:dyDescent="0.25">
      <c r="A1221" s="5" t="s">
        <v>4326</v>
      </c>
      <c r="B1221" s="6" t="s">
        <v>3620</v>
      </c>
      <c r="C1221" s="6" t="s">
        <v>4219</v>
      </c>
      <c r="D1221" s="6" t="s">
        <v>4220</v>
      </c>
      <c r="E1221" s="6" t="s">
        <v>4327</v>
      </c>
      <c r="F1221" s="6" t="s">
        <v>4328</v>
      </c>
      <c r="G1221" s="9" t="s">
        <v>4329</v>
      </c>
      <c r="H1221" s="9" t="s">
        <v>18</v>
      </c>
      <c r="I1221" s="16" t="str">
        <f>VLOOKUP(F1221,[1]完整分类结果!$E:$G,3,0)</f>
        <v>文教体育用品制造业</v>
      </c>
      <c r="J1221" s="16">
        <f>VLOOKUP(I1221,[2]行业排放因子!$A:$B,2,0)</f>
        <v>1.34473732401866</v>
      </c>
      <c r="K1221" s="9" t="s">
        <v>1489</v>
      </c>
    </row>
    <row r="1222" spans="1:11" ht="12.5" customHeight="1" x14ac:dyDescent="0.25">
      <c r="A1222" s="5" t="s">
        <v>4330</v>
      </c>
      <c r="B1222" s="6" t="s">
        <v>3620</v>
      </c>
      <c r="C1222" s="6" t="s">
        <v>4219</v>
      </c>
      <c r="D1222" s="6" t="s">
        <v>4220</v>
      </c>
      <c r="E1222" s="6" t="s">
        <v>4331</v>
      </c>
      <c r="F1222" s="6" t="s">
        <v>4332</v>
      </c>
      <c r="G1222" s="9" t="s">
        <v>4333</v>
      </c>
      <c r="H1222" s="9" t="s">
        <v>18</v>
      </c>
      <c r="I1222" s="16" t="str">
        <f>VLOOKUP(F1222,[1]完整分类结果!$E:$G,3,0)</f>
        <v>文教体育用品制造业</v>
      </c>
      <c r="J1222" s="16">
        <f>VLOOKUP(I1222,[2]行业排放因子!$A:$B,2,0)</f>
        <v>1.34473732401866</v>
      </c>
      <c r="K1222" s="9" t="s">
        <v>1489</v>
      </c>
    </row>
    <row r="1223" spans="1:11" ht="12.5" customHeight="1" x14ac:dyDescent="0.25">
      <c r="A1223" s="5" t="s">
        <v>4334</v>
      </c>
      <c r="B1223" s="6" t="s">
        <v>3620</v>
      </c>
      <c r="C1223" s="6" t="s">
        <v>4219</v>
      </c>
      <c r="D1223" s="6" t="s">
        <v>4220</v>
      </c>
      <c r="E1223" s="6" t="s">
        <v>4335</v>
      </c>
      <c r="F1223" s="6" t="s">
        <v>4336</v>
      </c>
      <c r="G1223" s="9" t="s">
        <v>4337</v>
      </c>
      <c r="H1223" s="9" t="s">
        <v>18</v>
      </c>
      <c r="I1223" s="16" t="str">
        <f>VLOOKUP(F1223,[1]完整分类结果!$E:$G,3,0)</f>
        <v>文教体育用品制造业</v>
      </c>
      <c r="J1223" s="16">
        <f>VLOOKUP(I1223,[2]行业排放因子!$A:$B,2,0)</f>
        <v>1.34473732401866</v>
      </c>
      <c r="K1223" s="9" t="s">
        <v>1489</v>
      </c>
    </row>
    <row r="1224" spans="1:11" ht="12.5" customHeight="1" x14ac:dyDescent="0.25">
      <c r="A1224" s="5" t="s">
        <v>4338</v>
      </c>
      <c r="B1224" s="6" t="s">
        <v>3620</v>
      </c>
      <c r="C1224" s="6" t="s">
        <v>4219</v>
      </c>
      <c r="D1224" s="6" t="s">
        <v>4220</v>
      </c>
      <c r="E1224" s="6" t="s">
        <v>4339</v>
      </c>
      <c r="F1224" s="6" t="s">
        <v>4340</v>
      </c>
      <c r="G1224" s="9" t="s">
        <v>4341</v>
      </c>
      <c r="H1224" s="9" t="s">
        <v>18</v>
      </c>
      <c r="I1224" s="16" t="str">
        <f>VLOOKUP(F1224,[1]完整分类结果!$E:$G,3,0)</f>
        <v>文教体育用品制造业</v>
      </c>
      <c r="J1224" s="16">
        <f>VLOOKUP(I1224,[2]行业排放因子!$A:$B,2,0)</f>
        <v>1.34473732401866</v>
      </c>
      <c r="K1224" s="9" t="s">
        <v>1489</v>
      </c>
    </row>
    <row r="1225" spans="1:11" ht="12.5" customHeight="1" x14ac:dyDescent="0.25">
      <c r="A1225" s="5" t="s">
        <v>4342</v>
      </c>
      <c r="B1225" s="6" t="s">
        <v>3620</v>
      </c>
      <c r="C1225" s="6" t="s">
        <v>4219</v>
      </c>
      <c r="D1225" s="6" t="s">
        <v>4220</v>
      </c>
      <c r="E1225" s="6" t="s">
        <v>4343</v>
      </c>
      <c r="F1225" s="6" t="s">
        <v>4344</v>
      </c>
      <c r="G1225" s="9" t="s">
        <v>4345</v>
      </c>
      <c r="H1225" s="9" t="s">
        <v>18</v>
      </c>
      <c r="I1225" s="16" t="str">
        <f>VLOOKUP(F1225,[1]完整分类结果!$E:$G,3,0)</f>
        <v>文教体育用品制造业</v>
      </c>
      <c r="J1225" s="16">
        <f>VLOOKUP(I1225,[2]行业排放因子!$A:$B,2,0)</f>
        <v>1.34473732401866</v>
      </c>
      <c r="K1225" s="9" t="s">
        <v>1489</v>
      </c>
    </row>
    <row r="1226" spans="1:11" ht="12.5" customHeight="1" x14ac:dyDescent="0.25">
      <c r="A1226" s="5" t="s">
        <v>4346</v>
      </c>
      <c r="B1226" s="6" t="s">
        <v>3620</v>
      </c>
      <c r="C1226" s="6" t="s">
        <v>4219</v>
      </c>
      <c r="D1226" s="6" t="s">
        <v>4220</v>
      </c>
      <c r="E1226" s="6" t="s">
        <v>4347</v>
      </c>
      <c r="F1226" s="6" t="s">
        <v>4348</v>
      </c>
      <c r="G1226" s="9"/>
      <c r="H1226" s="9" t="s">
        <v>18</v>
      </c>
      <c r="I1226" s="16" t="str">
        <f>VLOOKUP(F1226,[1]完整分类结果!$E:$G,3,0)</f>
        <v>文教体育用品制造业</v>
      </c>
      <c r="J1226" s="16">
        <f>VLOOKUP(I1226,[2]行业排放因子!$A:$B,2,0)</f>
        <v>1.34473732401866</v>
      </c>
      <c r="K1226" s="9" t="s">
        <v>1489</v>
      </c>
    </row>
    <row r="1227" spans="1:11" ht="12.5" customHeight="1" x14ac:dyDescent="0.25">
      <c r="A1227" s="5" t="s">
        <v>4349</v>
      </c>
      <c r="B1227" s="6" t="s">
        <v>3620</v>
      </c>
      <c r="C1227" s="6" t="s">
        <v>4219</v>
      </c>
      <c r="D1227" s="6" t="s">
        <v>4220</v>
      </c>
      <c r="E1227" s="6" t="s">
        <v>4350</v>
      </c>
      <c r="F1227" s="6" t="s">
        <v>4351</v>
      </c>
      <c r="G1227" s="9"/>
      <c r="H1227" s="9" t="s">
        <v>18</v>
      </c>
      <c r="I1227" s="16" t="str">
        <f>VLOOKUP(F1227,[1]完整分类结果!$E:$G,3,0)</f>
        <v>文教体育用品制造业</v>
      </c>
      <c r="J1227" s="16">
        <f>VLOOKUP(I1227,[2]行业排放因子!$A:$B,2,0)</f>
        <v>1.34473732401866</v>
      </c>
      <c r="K1227" s="9" t="s">
        <v>1489</v>
      </c>
    </row>
    <row r="1228" spans="1:11" ht="12.5" customHeight="1" x14ac:dyDescent="0.25">
      <c r="A1228" s="5" t="s">
        <v>4352</v>
      </c>
      <c r="B1228" s="6" t="s">
        <v>3620</v>
      </c>
      <c r="C1228" s="6" t="s">
        <v>4219</v>
      </c>
      <c r="D1228" s="6" t="s">
        <v>4220</v>
      </c>
      <c r="E1228" s="6" t="s">
        <v>4353</v>
      </c>
      <c r="F1228" s="6" t="s">
        <v>4354</v>
      </c>
      <c r="G1228" s="9" t="s">
        <v>4355</v>
      </c>
      <c r="H1228" s="9" t="s">
        <v>18</v>
      </c>
      <c r="I1228" s="16" t="str">
        <f>VLOOKUP(F1228,[1]完整分类结果!$E:$G,3,0)</f>
        <v>文教体育用品制造业</v>
      </c>
      <c r="J1228" s="16">
        <f>VLOOKUP(I1228,[2]行业排放因子!$A:$B,2,0)</f>
        <v>1.34473732401866</v>
      </c>
      <c r="K1228" s="9" t="s">
        <v>1489</v>
      </c>
    </row>
    <row r="1229" spans="1:11" ht="12.5" customHeight="1" x14ac:dyDescent="0.25">
      <c r="A1229" s="5" t="s">
        <v>4356</v>
      </c>
      <c r="B1229" s="6" t="s">
        <v>3620</v>
      </c>
      <c r="C1229" s="6" t="s">
        <v>4219</v>
      </c>
      <c r="D1229" s="6" t="s">
        <v>4220</v>
      </c>
      <c r="E1229" s="6" t="s">
        <v>4357</v>
      </c>
      <c r="F1229" s="6" t="s">
        <v>4358</v>
      </c>
      <c r="G1229" s="9" t="s">
        <v>4359</v>
      </c>
      <c r="H1229" s="9" t="s">
        <v>18</v>
      </c>
      <c r="I1229" s="16" t="str">
        <f>VLOOKUP(F1229,[1]完整分类结果!$E:$G,3,0)</f>
        <v>文教体育用品制造业</v>
      </c>
      <c r="J1229" s="16">
        <f>VLOOKUP(I1229,[2]行业排放因子!$A:$B,2,0)</f>
        <v>1.34473732401866</v>
      </c>
      <c r="K1229" s="9" t="s">
        <v>1489</v>
      </c>
    </row>
    <row r="1230" spans="1:11" ht="12.5" customHeight="1" x14ac:dyDescent="0.25">
      <c r="A1230" s="5" t="s">
        <v>4360</v>
      </c>
      <c r="B1230" s="6" t="s">
        <v>3620</v>
      </c>
      <c r="C1230" s="6" t="s">
        <v>4219</v>
      </c>
      <c r="D1230" s="6" t="s">
        <v>4220</v>
      </c>
      <c r="E1230" s="6" t="s">
        <v>4361</v>
      </c>
      <c r="F1230" s="6" t="s">
        <v>4362</v>
      </c>
      <c r="G1230" s="9" t="s">
        <v>4363</v>
      </c>
      <c r="H1230" s="9" t="s">
        <v>18</v>
      </c>
      <c r="I1230" s="16" t="str">
        <f>VLOOKUP(F1230,[1]完整分类结果!$E:$G,3,0)</f>
        <v>文教体育用品制造业</v>
      </c>
      <c r="J1230" s="16">
        <f>VLOOKUP(I1230,[2]行业排放因子!$A:$B,2,0)</f>
        <v>1.34473732401866</v>
      </c>
      <c r="K1230" s="9" t="s">
        <v>1489</v>
      </c>
    </row>
    <row r="1231" spans="1:11" ht="12.5" customHeight="1" x14ac:dyDescent="0.25">
      <c r="A1231" s="5" t="s">
        <v>4364</v>
      </c>
      <c r="B1231" s="6" t="s">
        <v>3620</v>
      </c>
      <c r="C1231" s="6" t="s">
        <v>4219</v>
      </c>
      <c r="D1231" s="6" t="s">
        <v>4220</v>
      </c>
      <c r="E1231" s="6" t="s">
        <v>4365</v>
      </c>
      <c r="F1231" s="6" t="s">
        <v>4366</v>
      </c>
      <c r="G1231" s="9" t="s">
        <v>4367</v>
      </c>
      <c r="H1231" s="9" t="s">
        <v>18</v>
      </c>
      <c r="I1231" s="16" t="str">
        <f>VLOOKUP(F1231,[1]完整分类结果!$E:$G,3,0)</f>
        <v>文教体育用品制造业</v>
      </c>
      <c r="J1231" s="16">
        <f>VLOOKUP(I1231,[2]行业排放因子!$A:$B,2,0)</f>
        <v>1.34473732401866</v>
      </c>
      <c r="K1231" s="9" t="s">
        <v>1489</v>
      </c>
    </row>
    <row r="1232" spans="1:11" ht="12.5" customHeight="1" x14ac:dyDescent="0.25">
      <c r="A1232" s="5" t="s">
        <v>4368</v>
      </c>
      <c r="B1232" s="6" t="s">
        <v>3620</v>
      </c>
      <c r="C1232" s="6" t="s">
        <v>4219</v>
      </c>
      <c r="D1232" s="6" t="s">
        <v>4220</v>
      </c>
      <c r="E1232" s="6" t="s">
        <v>4369</v>
      </c>
      <c r="F1232" s="6" t="s">
        <v>4370</v>
      </c>
      <c r="G1232" s="9" t="s">
        <v>4371</v>
      </c>
      <c r="H1232" s="9" t="s">
        <v>18</v>
      </c>
      <c r="I1232" s="16" t="str">
        <f>VLOOKUP(F1232,[1]完整分类结果!$E:$G,3,0)</f>
        <v>文教体育用品制造业</v>
      </c>
      <c r="J1232" s="16">
        <f>VLOOKUP(I1232,[2]行业排放因子!$A:$B,2,0)</f>
        <v>1.34473732401866</v>
      </c>
      <c r="K1232" s="9" t="s">
        <v>1489</v>
      </c>
    </row>
    <row r="1233" spans="1:11" ht="12.5" customHeight="1" x14ac:dyDescent="0.25">
      <c r="A1233" s="5" t="s">
        <v>4372</v>
      </c>
      <c r="B1233" s="6" t="s">
        <v>3620</v>
      </c>
      <c r="C1233" s="6" t="s">
        <v>4219</v>
      </c>
      <c r="D1233" s="6" t="s">
        <v>4220</v>
      </c>
      <c r="E1233" s="6" t="s">
        <v>4373</v>
      </c>
      <c r="F1233" s="6" t="s">
        <v>4374</v>
      </c>
      <c r="G1233" s="9"/>
      <c r="H1233" s="9" t="s">
        <v>18</v>
      </c>
      <c r="I1233" s="16" t="str">
        <f>VLOOKUP(F1233,[1]完整分类结果!$E:$G,3,0)</f>
        <v>文教体育用品制造业</v>
      </c>
      <c r="J1233" s="16">
        <f>VLOOKUP(I1233,[2]行业排放因子!$A:$B,2,0)</f>
        <v>1.34473732401866</v>
      </c>
      <c r="K1233" s="9" t="s">
        <v>1489</v>
      </c>
    </row>
    <row r="1234" spans="1:11" ht="12.5" customHeight="1" x14ac:dyDescent="0.25">
      <c r="A1234" s="5" t="s">
        <v>4375</v>
      </c>
      <c r="B1234" s="6" t="s">
        <v>3620</v>
      </c>
      <c r="C1234" s="6" t="s">
        <v>4219</v>
      </c>
      <c r="D1234" s="6" t="s">
        <v>4376</v>
      </c>
      <c r="E1234" s="6" t="s">
        <v>4377</v>
      </c>
      <c r="F1234" s="6" t="s">
        <v>4378</v>
      </c>
      <c r="G1234" s="9" t="s">
        <v>4379</v>
      </c>
      <c r="H1234" s="9" t="s">
        <v>18</v>
      </c>
      <c r="I1234" s="16" t="str">
        <f>VLOOKUP(F1234,[1]完整分类结果!$E:$G,3,0)</f>
        <v>文教体育用品制造业</v>
      </c>
      <c r="J1234" s="16">
        <f>VLOOKUP(I1234,[2]行业排放因子!$A:$B,2,0)</f>
        <v>1.34473732401866</v>
      </c>
      <c r="K1234" s="9" t="s">
        <v>1489</v>
      </c>
    </row>
    <row r="1235" spans="1:11" ht="12.5" customHeight="1" x14ac:dyDescent="0.25">
      <c r="A1235" s="5" t="s">
        <v>4380</v>
      </c>
      <c r="B1235" s="6" t="s">
        <v>3620</v>
      </c>
      <c r="C1235" s="6" t="s">
        <v>4219</v>
      </c>
      <c r="D1235" s="6" t="s">
        <v>4376</v>
      </c>
      <c r="E1235" s="6" t="s">
        <v>4381</v>
      </c>
      <c r="F1235" s="6" t="s">
        <v>4382</v>
      </c>
      <c r="G1235" s="9" t="s">
        <v>4383</v>
      </c>
      <c r="H1235" s="9" t="s">
        <v>18</v>
      </c>
      <c r="I1235" s="16" t="str">
        <f>VLOOKUP(F1235,[1]完整分类结果!$E:$G,3,0)</f>
        <v>文教体育用品制造业</v>
      </c>
      <c r="J1235" s="16">
        <f>VLOOKUP(I1235,[2]行业排放因子!$A:$B,2,0)</f>
        <v>1.34473732401866</v>
      </c>
      <c r="K1235" s="9" t="s">
        <v>1489</v>
      </c>
    </row>
    <row r="1236" spans="1:11" ht="12.5" customHeight="1" x14ac:dyDescent="0.25">
      <c r="A1236" s="5" t="s">
        <v>4384</v>
      </c>
      <c r="B1236" s="6" t="s">
        <v>3620</v>
      </c>
      <c r="C1236" s="6" t="s">
        <v>4219</v>
      </c>
      <c r="D1236" s="6" t="s">
        <v>4376</v>
      </c>
      <c r="E1236" s="6" t="s">
        <v>4385</v>
      </c>
      <c r="F1236" s="6" t="s">
        <v>4386</v>
      </c>
      <c r="G1236" s="9" t="s">
        <v>4387</v>
      </c>
      <c r="H1236" s="9" t="s">
        <v>18</v>
      </c>
      <c r="I1236" s="16" t="str">
        <f>VLOOKUP(F1236,[1]完整分类结果!$E:$G,3,0)</f>
        <v>文教体育用品制造业</v>
      </c>
      <c r="J1236" s="16">
        <f>VLOOKUP(I1236,[2]行业排放因子!$A:$B,2,0)</f>
        <v>1.34473732401866</v>
      </c>
      <c r="K1236" s="9" t="s">
        <v>1489</v>
      </c>
    </row>
    <row r="1237" spans="1:11" ht="12.5" customHeight="1" x14ac:dyDescent="0.25">
      <c r="A1237" s="5" t="s">
        <v>4388</v>
      </c>
      <c r="B1237" s="6" t="s">
        <v>3620</v>
      </c>
      <c r="C1237" s="6" t="s">
        <v>4219</v>
      </c>
      <c r="D1237" s="6" t="s">
        <v>4376</v>
      </c>
      <c r="E1237" s="6" t="s">
        <v>4389</v>
      </c>
      <c r="F1237" s="6" t="s">
        <v>4390</v>
      </c>
      <c r="G1237" s="9"/>
      <c r="H1237" s="9" t="s">
        <v>18</v>
      </c>
      <c r="I1237" s="16" t="str">
        <f>VLOOKUP(F1237,[1]完整分类结果!$E:$G,3,0)</f>
        <v>文教体育用品制造业</v>
      </c>
      <c r="J1237" s="16">
        <f>VLOOKUP(I1237,[2]行业排放因子!$A:$B,2,0)</f>
        <v>1.34473732401866</v>
      </c>
      <c r="K1237" s="9" t="s">
        <v>1489</v>
      </c>
    </row>
    <row r="1238" spans="1:11" ht="12.5" customHeight="1" x14ac:dyDescent="0.25">
      <c r="A1238" s="5" t="s">
        <v>4391</v>
      </c>
      <c r="B1238" s="6" t="s">
        <v>3620</v>
      </c>
      <c r="C1238" s="6" t="s">
        <v>4219</v>
      </c>
      <c r="D1238" s="6" t="s">
        <v>4376</v>
      </c>
      <c r="E1238" s="6" t="s">
        <v>4392</v>
      </c>
      <c r="F1238" s="6" t="s">
        <v>4393</v>
      </c>
      <c r="G1238" s="9"/>
      <c r="H1238" s="9" t="s">
        <v>18</v>
      </c>
      <c r="I1238" s="16" t="str">
        <f>VLOOKUP(F1238,[1]完整分类结果!$E:$G,3,0)</f>
        <v>文教体育用品制造业</v>
      </c>
      <c r="J1238" s="16">
        <f>VLOOKUP(I1238,[2]行业排放因子!$A:$B,2,0)</f>
        <v>1.34473732401866</v>
      </c>
      <c r="K1238" s="9" t="s">
        <v>1489</v>
      </c>
    </row>
    <row r="1239" spans="1:11" ht="12.5" customHeight="1" x14ac:dyDescent="0.25">
      <c r="A1239" s="5" t="s">
        <v>4394</v>
      </c>
      <c r="B1239" s="6" t="s">
        <v>3620</v>
      </c>
      <c r="C1239" s="6" t="s">
        <v>4219</v>
      </c>
      <c r="D1239" s="6" t="s">
        <v>4220</v>
      </c>
      <c r="E1239" s="6" t="s">
        <v>4395</v>
      </c>
      <c r="F1239" s="6" t="s">
        <v>4396</v>
      </c>
      <c r="G1239" s="9"/>
      <c r="H1239" s="9" t="s">
        <v>18</v>
      </c>
      <c r="I1239" s="16" t="str">
        <f>VLOOKUP(F1239,[1]完整分类结果!$E:$G,3,0)</f>
        <v>文教体育用品制造业</v>
      </c>
      <c r="J1239" s="16">
        <f>VLOOKUP(I1239,[2]行业排放因子!$A:$B,2,0)</f>
        <v>1.34473732401866</v>
      </c>
      <c r="K1239" s="9" t="s">
        <v>1489</v>
      </c>
    </row>
    <row r="1240" spans="1:11" ht="12.5" customHeight="1" x14ac:dyDescent="0.25">
      <c r="A1240" s="5" t="s">
        <v>4397</v>
      </c>
      <c r="B1240" s="6" t="s">
        <v>3620</v>
      </c>
      <c r="C1240" s="6" t="s">
        <v>4219</v>
      </c>
      <c r="D1240" s="6" t="s">
        <v>4220</v>
      </c>
      <c r="E1240" s="6" t="s">
        <v>4398</v>
      </c>
      <c r="F1240" s="6" t="s">
        <v>4399</v>
      </c>
      <c r="G1240" s="9" t="s">
        <v>4400</v>
      </c>
      <c r="H1240" s="9" t="s">
        <v>18</v>
      </c>
      <c r="I1240" s="16" t="str">
        <f>VLOOKUP(F1240,[1]完整分类结果!$E:$G,3,0)</f>
        <v>文教体育用品制造业</v>
      </c>
      <c r="J1240" s="16">
        <f>VLOOKUP(I1240,[2]行业排放因子!$A:$B,2,0)</f>
        <v>1.34473732401866</v>
      </c>
      <c r="K1240" s="9" t="s">
        <v>1489</v>
      </c>
    </row>
    <row r="1241" spans="1:11" ht="12.5" customHeight="1" x14ac:dyDescent="0.25">
      <c r="A1241" s="5" t="s">
        <v>4401</v>
      </c>
      <c r="B1241" s="6" t="s">
        <v>3620</v>
      </c>
      <c r="C1241" s="6" t="s">
        <v>4219</v>
      </c>
      <c r="D1241" s="6" t="s">
        <v>4220</v>
      </c>
      <c r="E1241" s="6" t="s">
        <v>4402</v>
      </c>
      <c r="F1241" s="6" t="s">
        <v>4403</v>
      </c>
      <c r="G1241" s="9" t="s">
        <v>4404</v>
      </c>
      <c r="H1241" s="9" t="s">
        <v>18</v>
      </c>
      <c r="I1241" s="16" t="str">
        <f>VLOOKUP(F1241,[1]完整分类结果!$E:$G,3,0)</f>
        <v>文教体育用品制造业</v>
      </c>
      <c r="J1241" s="16">
        <f>VLOOKUP(I1241,[2]行业排放因子!$A:$B,2,0)</f>
        <v>1.34473732401866</v>
      </c>
      <c r="K1241" s="9" t="s">
        <v>1489</v>
      </c>
    </row>
    <row r="1242" spans="1:11" ht="12.5" customHeight="1" x14ac:dyDescent="0.25">
      <c r="A1242" s="5" t="s">
        <v>4405</v>
      </c>
      <c r="B1242" s="6" t="s">
        <v>3620</v>
      </c>
      <c r="C1242" s="6" t="s">
        <v>4219</v>
      </c>
      <c r="D1242" s="6" t="s">
        <v>4220</v>
      </c>
      <c r="E1242" s="6" t="s">
        <v>4406</v>
      </c>
      <c r="F1242" s="6" t="s">
        <v>4407</v>
      </c>
      <c r="G1242" s="9"/>
      <c r="H1242" s="9" t="s">
        <v>18</v>
      </c>
      <c r="I1242" s="16" t="str">
        <f>VLOOKUP(F1242,[1]完整分类结果!$E:$G,3,0)</f>
        <v>文教体育用品制造业</v>
      </c>
      <c r="J1242" s="16">
        <f>VLOOKUP(I1242,[2]行业排放因子!$A:$B,2,0)</f>
        <v>1.34473732401866</v>
      </c>
      <c r="K1242" s="9" t="s">
        <v>1489</v>
      </c>
    </row>
    <row r="1243" spans="1:11" ht="12.5" customHeight="1" x14ac:dyDescent="0.25">
      <c r="A1243" s="5" t="s">
        <v>4408</v>
      </c>
      <c r="B1243" s="6" t="s">
        <v>3620</v>
      </c>
      <c r="C1243" s="6" t="s">
        <v>4219</v>
      </c>
      <c r="D1243" s="6" t="s">
        <v>4220</v>
      </c>
      <c r="E1243" s="6" t="s">
        <v>4409</v>
      </c>
      <c r="F1243" s="6" t="s">
        <v>4410</v>
      </c>
      <c r="G1243" s="9" t="s">
        <v>4411</v>
      </c>
      <c r="H1243" s="9" t="s">
        <v>18</v>
      </c>
      <c r="I1243" s="16" t="str">
        <f>VLOOKUP(F1243,[1]完整分类结果!$E:$G,3,0)</f>
        <v>文教体育用品制造业</v>
      </c>
      <c r="J1243" s="16">
        <f>VLOOKUP(I1243,[2]行业排放因子!$A:$B,2,0)</f>
        <v>1.34473732401866</v>
      </c>
      <c r="K1243" s="9" t="s">
        <v>1489</v>
      </c>
    </row>
    <row r="1244" spans="1:11" ht="12.5" customHeight="1" x14ac:dyDescent="0.25">
      <c r="A1244" s="5" t="s">
        <v>4412</v>
      </c>
      <c r="B1244" s="6" t="s">
        <v>3620</v>
      </c>
      <c r="C1244" s="6" t="s">
        <v>4219</v>
      </c>
      <c r="D1244" s="6" t="s">
        <v>4220</v>
      </c>
      <c r="E1244" s="6" t="s">
        <v>4413</v>
      </c>
      <c r="F1244" s="6" t="s">
        <v>4414</v>
      </c>
      <c r="G1244" s="9" t="s">
        <v>4415</v>
      </c>
      <c r="H1244" s="9" t="s">
        <v>18</v>
      </c>
      <c r="I1244" s="16" t="str">
        <f>VLOOKUP(F1244,[1]完整分类结果!$E:$G,3,0)</f>
        <v>文教体育用品制造业</v>
      </c>
      <c r="J1244" s="16">
        <f>VLOOKUP(I1244,[2]行业排放因子!$A:$B,2,0)</f>
        <v>1.34473732401866</v>
      </c>
      <c r="K1244" s="9" t="s">
        <v>1489</v>
      </c>
    </row>
    <row r="1245" spans="1:11" ht="12.5" customHeight="1" x14ac:dyDescent="0.25">
      <c r="A1245" s="5" t="s">
        <v>4416</v>
      </c>
      <c r="B1245" s="6" t="s">
        <v>3620</v>
      </c>
      <c r="C1245" s="6" t="s">
        <v>4219</v>
      </c>
      <c r="D1245" s="6" t="s">
        <v>4220</v>
      </c>
      <c r="E1245" s="6" t="s">
        <v>4417</v>
      </c>
      <c r="F1245" s="6" t="s">
        <v>4418</v>
      </c>
      <c r="G1245" s="9" t="s">
        <v>4419</v>
      </c>
      <c r="H1245" s="9" t="s">
        <v>18</v>
      </c>
      <c r="I1245" s="16" t="str">
        <f>VLOOKUP(F1245,[1]完整分类结果!$E:$G,3,0)</f>
        <v>文教体育用品制造业</v>
      </c>
      <c r="J1245" s="16">
        <f>VLOOKUP(I1245,[2]行业排放因子!$A:$B,2,0)</f>
        <v>1.34473732401866</v>
      </c>
      <c r="K1245" s="9" t="s">
        <v>1489</v>
      </c>
    </row>
    <row r="1246" spans="1:11" ht="12.5" customHeight="1" x14ac:dyDescent="0.25">
      <c r="A1246" s="5" t="s">
        <v>4420</v>
      </c>
      <c r="B1246" s="6" t="s">
        <v>3620</v>
      </c>
      <c r="C1246" s="6" t="s">
        <v>4219</v>
      </c>
      <c r="D1246" s="6" t="s">
        <v>4220</v>
      </c>
      <c r="E1246" s="6" t="s">
        <v>4421</v>
      </c>
      <c r="F1246" s="6" t="s">
        <v>4422</v>
      </c>
      <c r="G1246" s="9" t="s">
        <v>4423</v>
      </c>
      <c r="H1246" s="9" t="s">
        <v>18</v>
      </c>
      <c r="I1246" s="16" t="str">
        <f>VLOOKUP(F1246,[1]完整分类结果!$E:$G,3,0)</f>
        <v>文教体育用品制造业</v>
      </c>
      <c r="J1246" s="16">
        <f>VLOOKUP(I1246,[2]行业排放因子!$A:$B,2,0)</f>
        <v>1.34473732401866</v>
      </c>
      <c r="K1246" s="9" t="s">
        <v>1489</v>
      </c>
    </row>
    <row r="1247" spans="1:11" ht="12.5" customHeight="1" x14ac:dyDescent="0.25">
      <c r="A1247" s="5" t="s">
        <v>4424</v>
      </c>
      <c r="B1247" s="6" t="s">
        <v>3620</v>
      </c>
      <c r="C1247" s="6" t="s">
        <v>4219</v>
      </c>
      <c r="D1247" s="6" t="s">
        <v>4220</v>
      </c>
      <c r="E1247" s="6" t="s">
        <v>4425</v>
      </c>
      <c r="F1247" s="6" t="s">
        <v>4426</v>
      </c>
      <c r="G1247" s="9" t="s">
        <v>4427</v>
      </c>
      <c r="H1247" s="9" t="s">
        <v>18</v>
      </c>
      <c r="I1247" s="16" t="str">
        <f>VLOOKUP(F1247,[1]完整分类结果!$E:$G,3,0)</f>
        <v>文教体育用品制造业</v>
      </c>
      <c r="J1247" s="16">
        <f>VLOOKUP(I1247,[2]行业排放因子!$A:$B,2,0)</f>
        <v>1.34473732401866</v>
      </c>
      <c r="K1247" s="9" t="s">
        <v>1489</v>
      </c>
    </row>
    <row r="1248" spans="1:11" ht="12.5" customHeight="1" x14ac:dyDescent="0.25">
      <c r="A1248" s="5" t="s">
        <v>4428</v>
      </c>
      <c r="B1248" s="6" t="s">
        <v>3620</v>
      </c>
      <c r="C1248" s="6" t="s">
        <v>4219</v>
      </c>
      <c r="D1248" s="6" t="s">
        <v>4220</v>
      </c>
      <c r="E1248" s="6" t="s">
        <v>4429</v>
      </c>
      <c r="F1248" s="6" t="s">
        <v>4430</v>
      </c>
      <c r="G1248" s="9" t="s">
        <v>4431</v>
      </c>
      <c r="H1248" s="9" t="s">
        <v>18</v>
      </c>
      <c r="I1248" s="16" t="str">
        <f>VLOOKUP(F1248,[1]完整分类结果!$E:$G,3,0)</f>
        <v>文教体育用品制造业</v>
      </c>
      <c r="J1248" s="16">
        <f>VLOOKUP(I1248,[2]行业排放因子!$A:$B,2,0)</f>
        <v>1.34473732401866</v>
      </c>
      <c r="K1248" s="9" t="s">
        <v>1489</v>
      </c>
    </row>
    <row r="1249" spans="1:11" ht="12.5" customHeight="1" x14ac:dyDescent="0.25">
      <c r="A1249" s="5" t="s">
        <v>4432</v>
      </c>
      <c r="B1249" s="6" t="s">
        <v>3620</v>
      </c>
      <c r="C1249" s="6" t="s">
        <v>4219</v>
      </c>
      <c r="D1249" s="6" t="s">
        <v>4220</v>
      </c>
      <c r="E1249" s="6" t="s">
        <v>4433</v>
      </c>
      <c r="F1249" s="6" t="s">
        <v>4434</v>
      </c>
      <c r="G1249" s="9" t="s">
        <v>4435</v>
      </c>
      <c r="H1249" s="9" t="s">
        <v>18</v>
      </c>
      <c r="I1249" s="16" t="str">
        <f>VLOOKUP(F1249,[1]完整分类结果!$E:$G,3,0)</f>
        <v>文教体育用品制造业</v>
      </c>
      <c r="J1249" s="16">
        <f>VLOOKUP(I1249,[2]行业排放因子!$A:$B,2,0)</f>
        <v>1.34473732401866</v>
      </c>
      <c r="K1249" s="9" t="s">
        <v>1489</v>
      </c>
    </row>
    <row r="1250" spans="1:11" ht="12.5" customHeight="1" x14ac:dyDescent="0.25">
      <c r="A1250" s="5" t="s">
        <v>4436</v>
      </c>
      <c r="B1250" s="6" t="s">
        <v>3620</v>
      </c>
      <c r="C1250" s="6" t="s">
        <v>4219</v>
      </c>
      <c r="D1250" s="6" t="s">
        <v>4220</v>
      </c>
      <c r="E1250" s="6" t="s">
        <v>4437</v>
      </c>
      <c r="F1250" s="6" t="s">
        <v>4438</v>
      </c>
      <c r="G1250" s="9" t="s">
        <v>4439</v>
      </c>
      <c r="H1250" s="9" t="s">
        <v>18</v>
      </c>
      <c r="I1250" s="16" t="str">
        <f>VLOOKUP(F1250,[1]完整分类结果!$E:$G,3,0)</f>
        <v>文教体育用品制造业</v>
      </c>
      <c r="J1250" s="16">
        <f>VLOOKUP(I1250,[2]行业排放因子!$A:$B,2,0)</f>
        <v>1.34473732401866</v>
      </c>
      <c r="K1250" s="9" t="s">
        <v>1489</v>
      </c>
    </row>
    <row r="1251" spans="1:11" ht="12.5" customHeight="1" x14ac:dyDescent="0.25">
      <c r="A1251" s="5" t="s">
        <v>4440</v>
      </c>
      <c r="B1251" s="6" t="s">
        <v>3620</v>
      </c>
      <c r="C1251" s="6" t="s">
        <v>4219</v>
      </c>
      <c r="D1251" s="6" t="s">
        <v>4220</v>
      </c>
      <c r="E1251" s="6" t="s">
        <v>4441</v>
      </c>
      <c r="F1251" s="6" t="s">
        <v>4442</v>
      </c>
      <c r="G1251" s="9" t="s">
        <v>4443</v>
      </c>
      <c r="H1251" s="9" t="s">
        <v>18</v>
      </c>
      <c r="I1251" s="16" t="str">
        <f>VLOOKUP(F1251,[1]完整分类结果!$E:$G,3,0)</f>
        <v>文教体育用品制造业</v>
      </c>
      <c r="J1251" s="16">
        <f>VLOOKUP(I1251,[2]行业排放因子!$A:$B,2,0)</f>
        <v>1.34473732401866</v>
      </c>
      <c r="K1251" s="9" t="s">
        <v>1489</v>
      </c>
    </row>
    <row r="1252" spans="1:11" ht="12.5" customHeight="1" x14ac:dyDescent="0.25">
      <c r="A1252" s="5" t="s">
        <v>4444</v>
      </c>
      <c r="B1252" s="6" t="s">
        <v>3620</v>
      </c>
      <c r="C1252" s="6" t="s">
        <v>4219</v>
      </c>
      <c r="D1252" s="6" t="s">
        <v>4220</v>
      </c>
      <c r="E1252" s="6" t="s">
        <v>4445</v>
      </c>
      <c r="F1252" s="6" t="s">
        <v>4446</v>
      </c>
      <c r="G1252" s="9"/>
      <c r="H1252" s="9" t="s">
        <v>18</v>
      </c>
      <c r="I1252" s="16" t="str">
        <f>VLOOKUP(F1252,[1]完整分类结果!$E:$G,3,0)</f>
        <v>文教体育用品制造业</v>
      </c>
      <c r="J1252" s="16">
        <f>VLOOKUP(I1252,[2]行业排放因子!$A:$B,2,0)</f>
        <v>1.34473732401866</v>
      </c>
      <c r="K1252" s="9" t="s">
        <v>1489</v>
      </c>
    </row>
    <row r="1253" spans="1:11" ht="12.5" customHeight="1" x14ac:dyDescent="0.25">
      <c r="A1253" s="5" t="s">
        <v>4447</v>
      </c>
      <c r="B1253" s="6" t="s">
        <v>3620</v>
      </c>
      <c r="C1253" s="6" t="s">
        <v>4219</v>
      </c>
      <c r="D1253" s="6" t="s">
        <v>4448</v>
      </c>
      <c r="E1253" s="6" t="s">
        <v>4449</v>
      </c>
      <c r="F1253" s="6" t="s">
        <v>4450</v>
      </c>
      <c r="G1253" s="9"/>
      <c r="H1253" s="9" t="s">
        <v>18</v>
      </c>
      <c r="I1253" s="16" t="str">
        <f>VLOOKUP(F1253,[1]完整分类结果!$E:$G,3,0)</f>
        <v>文教体育用品制造业</v>
      </c>
      <c r="J1253" s="16">
        <f>VLOOKUP(I1253,[2]行业排放因子!$A:$B,2,0)</f>
        <v>1.34473732401866</v>
      </c>
      <c r="K1253" s="9" t="s">
        <v>1489</v>
      </c>
    </row>
    <row r="1254" spans="1:11" ht="12.5" customHeight="1" x14ac:dyDescent="0.25">
      <c r="A1254" s="5" t="s">
        <v>4451</v>
      </c>
      <c r="B1254" s="6" t="s">
        <v>3620</v>
      </c>
      <c r="C1254" s="6" t="s">
        <v>4219</v>
      </c>
      <c r="D1254" s="6" t="s">
        <v>4448</v>
      </c>
      <c r="E1254" s="6" t="s">
        <v>4452</v>
      </c>
      <c r="F1254" s="6" t="s">
        <v>4453</v>
      </c>
      <c r="G1254" s="9"/>
      <c r="H1254" s="9" t="s">
        <v>18</v>
      </c>
      <c r="I1254" s="16" t="str">
        <f>VLOOKUP(F1254,[1]完整分类结果!$E:$G,3,0)</f>
        <v>文教体育用品制造业</v>
      </c>
      <c r="J1254" s="16">
        <f>VLOOKUP(I1254,[2]行业排放因子!$A:$B,2,0)</f>
        <v>1.34473732401866</v>
      </c>
      <c r="K1254" s="9" t="s">
        <v>1489</v>
      </c>
    </row>
    <row r="1255" spans="1:11" ht="12.5" customHeight="1" x14ac:dyDescent="0.25">
      <c r="A1255" s="5" t="s">
        <v>4454</v>
      </c>
      <c r="B1255" s="6" t="s">
        <v>3620</v>
      </c>
      <c r="C1255" s="6" t="s">
        <v>4219</v>
      </c>
      <c r="D1255" s="6" t="s">
        <v>4448</v>
      </c>
      <c r="E1255" s="6" t="s">
        <v>4455</v>
      </c>
      <c r="F1255" s="6" t="s">
        <v>4456</v>
      </c>
      <c r="G1255" s="9"/>
      <c r="H1255" s="9" t="s">
        <v>18</v>
      </c>
      <c r="I1255" s="16" t="str">
        <f>VLOOKUP(F1255,[1]完整分类结果!$E:$G,3,0)</f>
        <v>文教体育用品制造业</v>
      </c>
      <c r="J1255" s="16">
        <f>VLOOKUP(I1255,[2]行业排放因子!$A:$B,2,0)</f>
        <v>1.34473732401866</v>
      </c>
      <c r="K1255" s="9" t="s">
        <v>1489</v>
      </c>
    </row>
    <row r="1256" spans="1:11" ht="12.5" customHeight="1" x14ac:dyDescent="0.25">
      <c r="A1256" s="5" t="s">
        <v>4457</v>
      </c>
      <c r="B1256" s="6" t="s">
        <v>3620</v>
      </c>
      <c r="C1256" s="6" t="s">
        <v>4219</v>
      </c>
      <c r="D1256" s="6" t="s">
        <v>4448</v>
      </c>
      <c r="E1256" s="6" t="s">
        <v>4458</v>
      </c>
      <c r="F1256" s="6" t="s">
        <v>4459</v>
      </c>
      <c r="G1256" s="9"/>
      <c r="H1256" s="9" t="s">
        <v>18</v>
      </c>
      <c r="I1256" s="16" t="str">
        <f>VLOOKUP(F1256,[1]完整分类结果!$E:$G,3,0)</f>
        <v>文教体育用品制造业</v>
      </c>
      <c r="J1256" s="16">
        <f>VLOOKUP(I1256,[2]行业排放因子!$A:$B,2,0)</f>
        <v>1.34473732401866</v>
      </c>
      <c r="K1256" s="9" t="s">
        <v>1489</v>
      </c>
    </row>
    <row r="1257" spans="1:11" ht="12.5" customHeight="1" x14ac:dyDescent="0.25">
      <c r="A1257" s="5" t="s">
        <v>4460</v>
      </c>
      <c r="B1257" s="6" t="s">
        <v>3620</v>
      </c>
      <c r="C1257" s="6" t="s">
        <v>4219</v>
      </c>
      <c r="D1257" s="6" t="s">
        <v>4448</v>
      </c>
      <c r="E1257" s="6" t="s">
        <v>4461</v>
      </c>
      <c r="F1257" s="6" t="s">
        <v>4462</v>
      </c>
      <c r="G1257" s="9"/>
      <c r="H1257" s="9" t="s">
        <v>18</v>
      </c>
      <c r="I1257" s="16" t="str">
        <f>VLOOKUP(F1257,[1]完整分类结果!$E:$G,3,0)</f>
        <v>文教体育用品制造业</v>
      </c>
      <c r="J1257" s="16">
        <f>VLOOKUP(I1257,[2]行业排放因子!$A:$B,2,0)</f>
        <v>1.34473732401866</v>
      </c>
      <c r="K1257" s="9" t="s">
        <v>1489</v>
      </c>
    </row>
    <row r="1258" spans="1:11" ht="12.5" customHeight="1" x14ac:dyDescent="0.25">
      <c r="A1258" s="5" t="s">
        <v>4463</v>
      </c>
      <c r="B1258" s="6" t="s">
        <v>3620</v>
      </c>
      <c r="C1258" s="6" t="s">
        <v>4219</v>
      </c>
      <c r="D1258" s="6" t="s">
        <v>4448</v>
      </c>
      <c r="E1258" s="6" t="s">
        <v>4464</v>
      </c>
      <c r="F1258" s="6" t="s">
        <v>4465</v>
      </c>
      <c r="G1258" s="9"/>
      <c r="H1258" s="9" t="s">
        <v>18</v>
      </c>
      <c r="I1258" s="16" t="str">
        <f>VLOOKUP(F1258,[1]完整分类结果!$E:$G,3,0)</f>
        <v>文教体育用品制造业</v>
      </c>
      <c r="J1258" s="16">
        <f>VLOOKUP(I1258,[2]行业排放因子!$A:$B,2,0)</f>
        <v>1.34473732401866</v>
      </c>
      <c r="K1258" s="9" t="s">
        <v>1489</v>
      </c>
    </row>
    <row r="1259" spans="1:11" ht="12.5" customHeight="1" x14ac:dyDescent="0.25">
      <c r="A1259" s="5" t="s">
        <v>4466</v>
      </c>
      <c r="B1259" s="6" t="s">
        <v>3620</v>
      </c>
      <c r="C1259" s="6" t="s">
        <v>4219</v>
      </c>
      <c r="D1259" s="6" t="s">
        <v>4448</v>
      </c>
      <c r="E1259" s="6" t="s">
        <v>4467</v>
      </c>
      <c r="F1259" s="6" t="s">
        <v>4468</v>
      </c>
      <c r="G1259" s="9"/>
      <c r="H1259" s="9" t="s">
        <v>18</v>
      </c>
      <c r="I1259" s="16" t="str">
        <f>VLOOKUP(F1259,[1]完整分类结果!$E:$G,3,0)</f>
        <v>文教体育用品制造业</v>
      </c>
      <c r="J1259" s="16">
        <f>VLOOKUP(I1259,[2]行业排放因子!$A:$B,2,0)</f>
        <v>1.34473732401866</v>
      </c>
      <c r="K1259" s="9" t="s">
        <v>1489</v>
      </c>
    </row>
    <row r="1260" spans="1:11" ht="12.5" customHeight="1" x14ac:dyDescent="0.25">
      <c r="A1260" s="5" t="s">
        <v>4469</v>
      </c>
      <c r="B1260" s="6" t="s">
        <v>3620</v>
      </c>
      <c r="C1260" s="6" t="s">
        <v>4219</v>
      </c>
      <c r="D1260" s="6" t="s">
        <v>4448</v>
      </c>
      <c r="E1260" s="6" t="s">
        <v>4470</v>
      </c>
      <c r="F1260" s="6" t="s">
        <v>4471</v>
      </c>
      <c r="G1260" s="9"/>
      <c r="H1260" s="9" t="s">
        <v>18</v>
      </c>
      <c r="I1260" s="16" t="str">
        <f>VLOOKUP(F1260,[1]完整分类结果!$E:$G,3,0)</f>
        <v>文教体育用品制造业</v>
      </c>
      <c r="J1260" s="16">
        <f>VLOOKUP(I1260,[2]行业排放因子!$A:$B,2,0)</f>
        <v>1.34473732401866</v>
      </c>
      <c r="K1260" s="9" t="s">
        <v>1489</v>
      </c>
    </row>
    <row r="1261" spans="1:11" ht="12.5" customHeight="1" x14ac:dyDescent="0.25">
      <c r="A1261" s="5" t="s">
        <v>4472</v>
      </c>
      <c r="B1261" s="6" t="s">
        <v>3620</v>
      </c>
      <c r="C1261" s="6" t="s">
        <v>4219</v>
      </c>
      <c r="D1261" s="6" t="s">
        <v>4448</v>
      </c>
      <c r="E1261" s="6" t="s">
        <v>4473</v>
      </c>
      <c r="F1261" s="6" t="s">
        <v>4474</v>
      </c>
      <c r="G1261" s="9"/>
      <c r="H1261" s="9" t="s">
        <v>18</v>
      </c>
      <c r="I1261" s="16" t="str">
        <f>VLOOKUP(F1261,[1]完整分类结果!$E:$G,3,0)</f>
        <v>文教体育用品制造业</v>
      </c>
      <c r="J1261" s="16">
        <f>VLOOKUP(I1261,[2]行业排放因子!$A:$B,2,0)</f>
        <v>1.34473732401866</v>
      </c>
      <c r="K1261" s="9" t="s">
        <v>1489</v>
      </c>
    </row>
    <row r="1262" spans="1:11" ht="12.5" customHeight="1" x14ac:dyDescent="0.25">
      <c r="A1262" s="5" t="s">
        <v>4475</v>
      </c>
      <c r="B1262" s="6" t="s">
        <v>3620</v>
      </c>
      <c r="C1262" s="6" t="s">
        <v>4219</v>
      </c>
      <c r="D1262" s="6" t="s">
        <v>4448</v>
      </c>
      <c r="E1262" s="6" t="s">
        <v>4476</v>
      </c>
      <c r="F1262" s="6" t="s">
        <v>4477</v>
      </c>
      <c r="G1262" s="9"/>
      <c r="H1262" s="9" t="s">
        <v>18</v>
      </c>
      <c r="I1262" s="16" t="str">
        <f>VLOOKUP(F1262,[1]完整分类结果!$E:$G,3,0)</f>
        <v>文教体育用品制造业</v>
      </c>
      <c r="J1262" s="16">
        <f>VLOOKUP(I1262,[2]行业排放因子!$A:$B,2,0)</f>
        <v>1.34473732401866</v>
      </c>
      <c r="K1262" s="9" t="s">
        <v>1489</v>
      </c>
    </row>
    <row r="1263" spans="1:11" ht="12.5" customHeight="1" x14ac:dyDescent="0.25">
      <c r="A1263" s="5" t="s">
        <v>4478</v>
      </c>
      <c r="B1263" s="6" t="s">
        <v>3620</v>
      </c>
      <c r="C1263" s="6" t="s">
        <v>4219</v>
      </c>
      <c r="D1263" s="6" t="s">
        <v>4448</v>
      </c>
      <c r="E1263" s="6" t="s">
        <v>4479</v>
      </c>
      <c r="F1263" s="6" t="s">
        <v>4480</v>
      </c>
      <c r="G1263" s="9"/>
      <c r="H1263" s="9" t="s">
        <v>18</v>
      </c>
      <c r="I1263" s="16" t="str">
        <f>VLOOKUP(F1263,[1]完整分类结果!$E:$G,3,0)</f>
        <v>文教体育用品制造业</v>
      </c>
      <c r="J1263" s="16">
        <f>VLOOKUP(I1263,[2]行业排放因子!$A:$B,2,0)</f>
        <v>1.34473732401866</v>
      </c>
      <c r="K1263" s="9" t="s">
        <v>1489</v>
      </c>
    </row>
    <row r="1264" spans="1:11" ht="12.5" customHeight="1" x14ac:dyDescent="0.25">
      <c r="A1264" s="5" t="s">
        <v>4481</v>
      </c>
      <c r="B1264" s="6" t="s">
        <v>3620</v>
      </c>
      <c r="C1264" s="6" t="s">
        <v>4219</v>
      </c>
      <c r="D1264" s="6" t="s">
        <v>4448</v>
      </c>
      <c r="E1264" s="6" t="s">
        <v>4482</v>
      </c>
      <c r="F1264" s="6" t="s">
        <v>4483</v>
      </c>
      <c r="G1264" s="9"/>
      <c r="H1264" s="9" t="s">
        <v>18</v>
      </c>
      <c r="I1264" s="16" t="str">
        <f>VLOOKUP(F1264,[1]完整分类结果!$E:$G,3,0)</f>
        <v>文教体育用品制造业</v>
      </c>
      <c r="J1264" s="16">
        <f>VLOOKUP(I1264,[2]行业排放因子!$A:$B,2,0)</f>
        <v>1.34473732401866</v>
      </c>
      <c r="K1264" s="9" t="s">
        <v>1489</v>
      </c>
    </row>
    <row r="1265" spans="1:11" ht="12.5" customHeight="1" x14ac:dyDescent="0.25">
      <c r="A1265" s="5" t="s">
        <v>4484</v>
      </c>
      <c r="B1265" s="6" t="s">
        <v>3620</v>
      </c>
      <c r="C1265" s="6" t="s">
        <v>4219</v>
      </c>
      <c r="D1265" s="6" t="s">
        <v>4448</v>
      </c>
      <c r="E1265" s="6" t="s">
        <v>4485</v>
      </c>
      <c r="F1265" s="6" t="s">
        <v>4486</v>
      </c>
      <c r="G1265" s="9" t="s">
        <v>4487</v>
      </c>
      <c r="H1265" s="9" t="s">
        <v>18</v>
      </c>
      <c r="I1265" s="16" t="str">
        <f>VLOOKUP(F1265,[1]完整分类结果!$E:$G,3,0)</f>
        <v>文教体育用品制造业</v>
      </c>
      <c r="J1265" s="16">
        <f>VLOOKUP(I1265,[2]行业排放因子!$A:$B,2,0)</f>
        <v>1.34473732401866</v>
      </c>
      <c r="K1265" s="9" t="s">
        <v>1489</v>
      </c>
    </row>
    <row r="1266" spans="1:11" ht="12.5" customHeight="1" x14ac:dyDescent="0.25">
      <c r="A1266" s="5" t="s">
        <v>4488</v>
      </c>
      <c r="B1266" s="6" t="s">
        <v>3620</v>
      </c>
      <c r="C1266" s="6" t="s">
        <v>4219</v>
      </c>
      <c r="D1266" s="6" t="s">
        <v>4448</v>
      </c>
      <c r="E1266" s="6" t="s">
        <v>4489</v>
      </c>
      <c r="F1266" s="6" t="s">
        <v>4490</v>
      </c>
      <c r="G1266" s="9"/>
      <c r="H1266" s="9" t="s">
        <v>18</v>
      </c>
      <c r="I1266" s="16" t="str">
        <f>VLOOKUP(F1266,[1]完整分类结果!$E:$G,3,0)</f>
        <v>文教体育用品制造业</v>
      </c>
      <c r="J1266" s="16">
        <f>VLOOKUP(I1266,[2]行业排放因子!$A:$B,2,0)</f>
        <v>1.34473732401866</v>
      </c>
      <c r="K1266" s="9" t="s">
        <v>1489</v>
      </c>
    </row>
    <row r="1267" spans="1:11" ht="12.5" customHeight="1" x14ac:dyDescent="0.25">
      <c r="A1267" s="5" t="s">
        <v>4491</v>
      </c>
      <c r="B1267" s="6" t="s">
        <v>3620</v>
      </c>
      <c r="C1267" s="6" t="s">
        <v>4219</v>
      </c>
      <c r="D1267" s="6" t="s">
        <v>4492</v>
      </c>
      <c r="E1267" s="6" t="s">
        <v>4493</v>
      </c>
      <c r="F1267" s="6" t="s">
        <v>4494</v>
      </c>
      <c r="G1267" s="9" t="s">
        <v>4495</v>
      </c>
      <c r="H1267" s="9" t="s">
        <v>18</v>
      </c>
      <c r="I1267" s="16" t="str">
        <f>VLOOKUP(F1267,[1]完整分类结果!$E:$G,3,0)</f>
        <v>文教体育用品制造业</v>
      </c>
      <c r="J1267" s="16">
        <f>VLOOKUP(I1267,[2]行业排放因子!$A:$B,2,0)</f>
        <v>1.34473732401866</v>
      </c>
      <c r="K1267" s="9" t="s">
        <v>1489</v>
      </c>
    </row>
    <row r="1268" spans="1:11" ht="12.5" customHeight="1" x14ac:dyDescent="0.25">
      <c r="A1268" s="5" t="s">
        <v>4496</v>
      </c>
      <c r="B1268" s="6" t="s">
        <v>3620</v>
      </c>
      <c r="C1268" s="6" t="s">
        <v>4219</v>
      </c>
      <c r="D1268" s="6" t="s">
        <v>4492</v>
      </c>
      <c r="E1268" s="6" t="s">
        <v>4497</v>
      </c>
      <c r="F1268" s="6" t="s">
        <v>4498</v>
      </c>
      <c r="G1268" s="9" t="s">
        <v>4499</v>
      </c>
      <c r="H1268" s="9" t="s">
        <v>18</v>
      </c>
      <c r="I1268" s="16" t="str">
        <f>VLOOKUP(F1268,[1]完整分类结果!$E:$G,3,0)</f>
        <v>文教体育用品制造业</v>
      </c>
      <c r="J1268" s="16">
        <f>VLOOKUP(I1268,[2]行业排放因子!$A:$B,2,0)</f>
        <v>1.34473732401866</v>
      </c>
      <c r="K1268" s="9" t="s">
        <v>1489</v>
      </c>
    </row>
    <row r="1269" spans="1:11" ht="12.5" customHeight="1" x14ac:dyDescent="0.25">
      <c r="A1269" s="5" t="s">
        <v>4500</v>
      </c>
      <c r="B1269" s="6" t="s">
        <v>3620</v>
      </c>
      <c r="C1269" s="6" t="s">
        <v>4219</v>
      </c>
      <c r="D1269" s="6" t="s">
        <v>4492</v>
      </c>
      <c r="E1269" s="6" t="s">
        <v>4501</v>
      </c>
      <c r="F1269" s="6" t="s">
        <v>4502</v>
      </c>
      <c r="G1269" s="9" t="s">
        <v>4503</v>
      </c>
      <c r="H1269" s="9" t="s">
        <v>18</v>
      </c>
      <c r="I1269" s="16" t="str">
        <f>VLOOKUP(F1269,[1]完整分类结果!$E:$G,3,0)</f>
        <v>文教体育用品制造业</v>
      </c>
      <c r="J1269" s="16">
        <f>VLOOKUP(I1269,[2]行业排放因子!$A:$B,2,0)</f>
        <v>1.34473732401866</v>
      </c>
      <c r="K1269" s="9" t="s">
        <v>1489</v>
      </c>
    </row>
    <row r="1270" spans="1:11" ht="12.5" customHeight="1" x14ac:dyDescent="0.25">
      <c r="A1270" s="5" t="s">
        <v>4504</v>
      </c>
      <c r="B1270" s="6" t="s">
        <v>3620</v>
      </c>
      <c r="C1270" s="6" t="s">
        <v>4219</v>
      </c>
      <c r="D1270" s="6" t="s">
        <v>4492</v>
      </c>
      <c r="E1270" s="6" t="s">
        <v>4505</v>
      </c>
      <c r="F1270" s="6" t="s">
        <v>4506</v>
      </c>
      <c r="G1270" s="9" t="s">
        <v>4507</v>
      </c>
      <c r="H1270" s="9" t="s">
        <v>18</v>
      </c>
      <c r="I1270" s="16" t="str">
        <f>VLOOKUP(F1270,[1]完整分类结果!$E:$G,3,0)</f>
        <v>文教体育用品制造业</v>
      </c>
      <c r="J1270" s="16">
        <f>VLOOKUP(I1270,[2]行业排放因子!$A:$B,2,0)</f>
        <v>1.34473732401866</v>
      </c>
      <c r="K1270" s="9" t="s">
        <v>1489</v>
      </c>
    </row>
    <row r="1271" spans="1:11" ht="12.5" customHeight="1" x14ac:dyDescent="0.25">
      <c r="A1271" s="5" t="s">
        <v>4508</v>
      </c>
      <c r="B1271" s="6" t="s">
        <v>3620</v>
      </c>
      <c r="C1271" s="6" t="s">
        <v>4219</v>
      </c>
      <c r="D1271" s="6" t="s">
        <v>4492</v>
      </c>
      <c r="E1271" s="6" t="s">
        <v>4509</v>
      </c>
      <c r="F1271" s="6" t="s">
        <v>4510</v>
      </c>
      <c r="G1271" s="9" t="s">
        <v>4511</v>
      </c>
      <c r="H1271" s="9" t="s">
        <v>18</v>
      </c>
      <c r="I1271" s="16" t="str">
        <f>VLOOKUP(F1271,[1]完整分类结果!$E:$G,3,0)</f>
        <v>文教体育用品制造业</v>
      </c>
      <c r="J1271" s="16">
        <f>VLOOKUP(I1271,[2]行业排放因子!$A:$B,2,0)</f>
        <v>1.34473732401866</v>
      </c>
      <c r="K1271" s="9" t="s">
        <v>1489</v>
      </c>
    </row>
    <row r="1272" spans="1:11" ht="12.5" customHeight="1" x14ac:dyDescent="0.25">
      <c r="A1272" s="5" t="s">
        <v>4512</v>
      </c>
      <c r="B1272" s="6" t="s">
        <v>3620</v>
      </c>
      <c r="C1272" s="6" t="s">
        <v>4219</v>
      </c>
      <c r="D1272" s="6" t="s">
        <v>4492</v>
      </c>
      <c r="E1272" s="6" t="s">
        <v>4513</v>
      </c>
      <c r="F1272" s="6" t="s">
        <v>4514</v>
      </c>
      <c r="G1272" s="9" t="s">
        <v>4515</v>
      </c>
      <c r="H1272" s="9" t="s">
        <v>18</v>
      </c>
      <c r="I1272" s="16" t="str">
        <f>VLOOKUP(F1272,[1]完整分类结果!$E:$G,3,0)</f>
        <v>文教体育用品制造业</v>
      </c>
      <c r="J1272" s="16">
        <f>VLOOKUP(I1272,[2]行业排放因子!$A:$B,2,0)</f>
        <v>1.34473732401866</v>
      </c>
      <c r="K1272" s="9" t="s">
        <v>1489</v>
      </c>
    </row>
    <row r="1273" spans="1:11" ht="12.5" customHeight="1" x14ac:dyDescent="0.25">
      <c r="A1273" s="5" t="s">
        <v>4516</v>
      </c>
      <c r="B1273" s="6" t="s">
        <v>3620</v>
      </c>
      <c r="C1273" s="6" t="s">
        <v>4219</v>
      </c>
      <c r="D1273" s="6" t="s">
        <v>4492</v>
      </c>
      <c r="E1273" s="6" t="s">
        <v>4517</v>
      </c>
      <c r="F1273" s="6" t="s">
        <v>4518</v>
      </c>
      <c r="G1273" s="9"/>
      <c r="H1273" s="9" t="s">
        <v>18</v>
      </c>
      <c r="I1273" s="16" t="str">
        <f>VLOOKUP(F1273,[1]完整分类结果!$E:$G,3,0)</f>
        <v>文教体育用品制造业</v>
      </c>
      <c r="J1273" s="16">
        <f>VLOOKUP(I1273,[2]行业排放因子!$A:$B,2,0)</f>
        <v>1.34473732401866</v>
      </c>
      <c r="K1273" s="9" t="s">
        <v>1489</v>
      </c>
    </row>
    <row r="1274" spans="1:11" ht="12.5" customHeight="1" x14ac:dyDescent="0.25">
      <c r="A1274" s="5" t="s">
        <v>4519</v>
      </c>
      <c r="B1274" s="6" t="s">
        <v>3620</v>
      </c>
      <c r="C1274" s="6" t="s">
        <v>4219</v>
      </c>
      <c r="D1274" s="6" t="s">
        <v>4492</v>
      </c>
      <c r="E1274" s="6" t="s">
        <v>4520</v>
      </c>
      <c r="F1274" s="6" t="s">
        <v>4521</v>
      </c>
      <c r="G1274" s="9"/>
      <c r="H1274" s="9" t="s">
        <v>18</v>
      </c>
      <c r="I1274" s="16" t="str">
        <f>VLOOKUP(F1274,[1]完整分类结果!$E:$G,3,0)</f>
        <v>文教体育用品制造业</v>
      </c>
      <c r="J1274" s="16">
        <f>VLOOKUP(I1274,[2]行业排放因子!$A:$B,2,0)</f>
        <v>1.34473732401866</v>
      </c>
      <c r="K1274" s="9" t="s">
        <v>1489</v>
      </c>
    </row>
    <row r="1275" spans="1:11" ht="12.5" customHeight="1" x14ac:dyDescent="0.25">
      <c r="A1275" s="5" t="s">
        <v>4522</v>
      </c>
      <c r="B1275" s="6" t="s">
        <v>3620</v>
      </c>
      <c r="C1275" s="6" t="s">
        <v>4219</v>
      </c>
      <c r="D1275" s="6" t="s">
        <v>4492</v>
      </c>
      <c r="E1275" s="6" t="s">
        <v>4523</v>
      </c>
      <c r="F1275" s="6" t="s">
        <v>4524</v>
      </c>
      <c r="G1275" s="9" t="s">
        <v>4525</v>
      </c>
      <c r="H1275" s="9" t="s">
        <v>18</v>
      </c>
      <c r="I1275" s="16" t="str">
        <f>VLOOKUP(F1275,[1]完整分类结果!$E:$G,3,0)</f>
        <v>文教体育用品制造业</v>
      </c>
      <c r="J1275" s="16">
        <f>VLOOKUP(I1275,[2]行业排放因子!$A:$B,2,0)</f>
        <v>1.34473732401866</v>
      </c>
      <c r="K1275" s="9" t="s">
        <v>1489</v>
      </c>
    </row>
    <row r="1276" spans="1:11" ht="12.5" customHeight="1" x14ac:dyDescent="0.25">
      <c r="A1276" s="5" t="s">
        <v>4526</v>
      </c>
      <c r="B1276" s="6" t="s">
        <v>3620</v>
      </c>
      <c r="C1276" s="6" t="s">
        <v>4219</v>
      </c>
      <c r="D1276" s="6" t="s">
        <v>4492</v>
      </c>
      <c r="E1276" s="6" t="s">
        <v>4527</v>
      </c>
      <c r="F1276" s="6" t="s">
        <v>4528</v>
      </c>
      <c r="G1276" s="9" t="s">
        <v>4529</v>
      </c>
      <c r="H1276" s="9" t="s">
        <v>18</v>
      </c>
      <c r="I1276" s="16" t="str">
        <f>VLOOKUP(F1276,[1]完整分类结果!$E:$G,3,0)</f>
        <v>文教体育用品制造业</v>
      </c>
      <c r="J1276" s="16">
        <f>VLOOKUP(I1276,[2]行业排放因子!$A:$B,2,0)</f>
        <v>1.34473732401866</v>
      </c>
      <c r="K1276" s="9" t="s">
        <v>1489</v>
      </c>
    </row>
    <row r="1277" spans="1:11" ht="12.5" customHeight="1" x14ac:dyDescent="0.25">
      <c r="A1277" s="5" t="s">
        <v>4530</v>
      </c>
      <c r="B1277" s="6" t="s">
        <v>3620</v>
      </c>
      <c r="C1277" s="6" t="s">
        <v>4219</v>
      </c>
      <c r="D1277" s="6" t="s">
        <v>4492</v>
      </c>
      <c r="E1277" s="6" t="s">
        <v>4531</v>
      </c>
      <c r="F1277" s="6" t="s">
        <v>4532</v>
      </c>
      <c r="G1277" s="9"/>
      <c r="H1277" s="9" t="s">
        <v>18</v>
      </c>
      <c r="I1277" s="16" t="str">
        <f>VLOOKUP(F1277,[1]完整分类结果!$E:$G,3,0)</f>
        <v>文教体育用品制造业</v>
      </c>
      <c r="J1277" s="16">
        <f>VLOOKUP(I1277,[2]行业排放因子!$A:$B,2,0)</f>
        <v>1.34473732401866</v>
      </c>
      <c r="K1277" s="9" t="s">
        <v>1489</v>
      </c>
    </row>
    <row r="1278" spans="1:11" ht="12.5" customHeight="1" x14ac:dyDescent="0.25">
      <c r="A1278" s="5" t="s">
        <v>4533</v>
      </c>
      <c r="B1278" s="6" t="s">
        <v>3620</v>
      </c>
      <c r="C1278" s="6" t="s">
        <v>4219</v>
      </c>
      <c r="D1278" s="6" t="s">
        <v>4492</v>
      </c>
      <c r="E1278" s="6" t="s">
        <v>4534</v>
      </c>
      <c r="F1278" s="6" t="s">
        <v>4535</v>
      </c>
      <c r="G1278" s="9" t="s">
        <v>4536</v>
      </c>
      <c r="H1278" s="9" t="s">
        <v>18</v>
      </c>
      <c r="I1278" s="16" t="str">
        <f>VLOOKUP(F1278,[1]完整分类结果!$E:$G,3,0)</f>
        <v>文教体育用品制造业</v>
      </c>
      <c r="J1278" s="16">
        <f>VLOOKUP(I1278,[2]行业排放因子!$A:$B,2,0)</f>
        <v>1.34473732401866</v>
      </c>
      <c r="K1278" s="9" t="s">
        <v>1489</v>
      </c>
    </row>
    <row r="1279" spans="1:11" ht="12.5" customHeight="1" x14ac:dyDescent="0.25">
      <c r="A1279" s="5" t="s">
        <v>4537</v>
      </c>
      <c r="B1279" s="6" t="s">
        <v>3620</v>
      </c>
      <c r="C1279" s="6" t="s">
        <v>4219</v>
      </c>
      <c r="D1279" s="6" t="s">
        <v>4492</v>
      </c>
      <c r="E1279" s="6" t="s">
        <v>4538</v>
      </c>
      <c r="F1279" s="6" t="s">
        <v>4539</v>
      </c>
      <c r="G1279" s="9" t="s">
        <v>4540</v>
      </c>
      <c r="H1279" s="9" t="s">
        <v>18</v>
      </c>
      <c r="I1279" s="16" t="str">
        <f>VLOOKUP(F1279,[1]完整分类结果!$E:$G,3,0)</f>
        <v>文教体育用品制造业</v>
      </c>
      <c r="J1279" s="16">
        <f>VLOOKUP(I1279,[2]行业排放因子!$A:$B,2,0)</f>
        <v>1.34473732401866</v>
      </c>
      <c r="K1279" s="9" t="s">
        <v>1489</v>
      </c>
    </row>
    <row r="1280" spans="1:11" ht="12.5" customHeight="1" x14ac:dyDescent="0.25">
      <c r="A1280" s="5" t="s">
        <v>4541</v>
      </c>
      <c r="B1280" s="6" t="s">
        <v>3620</v>
      </c>
      <c r="C1280" s="6" t="s">
        <v>4219</v>
      </c>
      <c r="D1280" s="6" t="s">
        <v>4492</v>
      </c>
      <c r="E1280" s="6" t="s">
        <v>4542</v>
      </c>
      <c r="F1280" s="6" t="s">
        <v>4543</v>
      </c>
      <c r="G1280" s="9" t="s">
        <v>4544</v>
      </c>
      <c r="H1280" s="9" t="s">
        <v>18</v>
      </c>
      <c r="I1280" s="16" t="str">
        <f>VLOOKUP(F1280,[1]完整分类结果!$E:$G,3,0)</f>
        <v>文教体育用品制造业</v>
      </c>
      <c r="J1280" s="16">
        <f>VLOOKUP(I1280,[2]行业排放因子!$A:$B,2,0)</f>
        <v>1.34473732401866</v>
      </c>
      <c r="K1280" s="9" t="s">
        <v>1489</v>
      </c>
    </row>
    <row r="1281" spans="1:11" ht="12.5" customHeight="1" x14ac:dyDescent="0.25">
      <c r="A1281" s="5" t="s">
        <v>4545</v>
      </c>
      <c r="B1281" s="6" t="s">
        <v>3620</v>
      </c>
      <c r="C1281" s="6" t="s">
        <v>4219</v>
      </c>
      <c r="D1281" s="6" t="s">
        <v>4492</v>
      </c>
      <c r="E1281" s="6" t="s">
        <v>4546</v>
      </c>
      <c r="F1281" s="6" t="s">
        <v>4547</v>
      </c>
      <c r="G1281" s="9"/>
      <c r="H1281" s="9" t="s">
        <v>18</v>
      </c>
      <c r="I1281" s="16" t="str">
        <f>VLOOKUP(F1281,[1]完整分类结果!$E:$G,3,0)</f>
        <v>文教体育用品制造业</v>
      </c>
      <c r="J1281" s="16">
        <f>VLOOKUP(I1281,[2]行业排放因子!$A:$B,2,0)</f>
        <v>1.34473732401866</v>
      </c>
      <c r="K1281" s="9" t="s">
        <v>1489</v>
      </c>
    </row>
    <row r="1282" spans="1:11" ht="12.5" customHeight="1" x14ac:dyDescent="0.25">
      <c r="A1282" s="5" t="s">
        <v>4548</v>
      </c>
      <c r="B1282" s="6" t="s">
        <v>3620</v>
      </c>
      <c r="C1282" s="6" t="s">
        <v>4219</v>
      </c>
      <c r="D1282" s="6" t="s">
        <v>4549</v>
      </c>
      <c r="E1282" s="6" t="s">
        <v>4550</v>
      </c>
      <c r="F1282" s="6" t="s">
        <v>4551</v>
      </c>
      <c r="G1282" s="9"/>
      <c r="H1282" s="9" t="s">
        <v>18</v>
      </c>
      <c r="I1282" s="16" t="str">
        <f>VLOOKUP(F1282,[1]完整分类结果!$E:$G,3,0)</f>
        <v>文教体育用品制造业</v>
      </c>
      <c r="J1282" s="16">
        <f>VLOOKUP(I1282,[2]行业排放因子!$A:$B,2,0)</f>
        <v>1.34473732401866</v>
      </c>
      <c r="K1282" s="9" t="s">
        <v>1489</v>
      </c>
    </row>
    <row r="1283" spans="1:11" ht="12.5" customHeight="1" x14ac:dyDescent="0.25">
      <c r="A1283" s="5" t="s">
        <v>4552</v>
      </c>
      <c r="B1283" s="6" t="s">
        <v>3620</v>
      </c>
      <c r="C1283" s="6" t="s">
        <v>4219</v>
      </c>
      <c r="D1283" s="6" t="s">
        <v>4549</v>
      </c>
      <c r="E1283" s="6" t="s">
        <v>4553</v>
      </c>
      <c r="F1283" s="6" t="s">
        <v>4554</v>
      </c>
      <c r="G1283" s="9"/>
      <c r="H1283" s="9" t="s">
        <v>18</v>
      </c>
      <c r="I1283" s="16" t="str">
        <f>VLOOKUP(F1283,[1]完整分类结果!$E:$G,3,0)</f>
        <v>文教体育用品制造业</v>
      </c>
      <c r="J1283" s="16">
        <f>VLOOKUP(I1283,[2]行业排放因子!$A:$B,2,0)</f>
        <v>1.34473732401866</v>
      </c>
      <c r="K1283" s="9" t="s">
        <v>1489</v>
      </c>
    </row>
    <row r="1284" spans="1:11" ht="12.5" customHeight="1" x14ac:dyDescent="0.25">
      <c r="A1284" s="5" t="s">
        <v>4555</v>
      </c>
      <c r="B1284" s="6" t="s">
        <v>3620</v>
      </c>
      <c r="C1284" s="6" t="s">
        <v>4219</v>
      </c>
      <c r="D1284" s="6" t="s">
        <v>4549</v>
      </c>
      <c r="E1284" s="6" t="s">
        <v>4556</v>
      </c>
      <c r="F1284" s="6" t="s">
        <v>4557</v>
      </c>
      <c r="G1284" s="9"/>
      <c r="H1284" s="9" t="s">
        <v>18</v>
      </c>
      <c r="I1284" s="16" t="str">
        <f>VLOOKUP(F1284,[1]完整分类结果!$E:$G,3,0)</f>
        <v>文教体育用品制造业</v>
      </c>
      <c r="J1284" s="16">
        <f>VLOOKUP(I1284,[2]行业排放因子!$A:$B,2,0)</f>
        <v>1.34473732401866</v>
      </c>
      <c r="K1284" s="9" t="s">
        <v>1489</v>
      </c>
    </row>
    <row r="1285" spans="1:11" ht="12.5" customHeight="1" x14ac:dyDescent="0.25">
      <c r="A1285" s="5" t="s">
        <v>4558</v>
      </c>
      <c r="B1285" s="6" t="s">
        <v>3620</v>
      </c>
      <c r="C1285" s="6" t="s">
        <v>4219</v>
      </c>
      <c r="D1285" s="6" t="s">
        <v>4549</v>
      </c>
      <c r="E1285" s="6" t="s">
        <v>4559</v>
      </c>
      <c r="F1285" s="6" t="s">
        <v>4560</v>
      </c>
      <c r="G1285" s="9" t="s">
        <v>4561</v>
      </c>
      <c r="H1285" s="9" t="s">
        <v>18</v>
      </c>
      <c r="I1285" s="16" t="str">
        <f>VLOOKUP(F1285,[1]完整分类结果!$E:$G,3,0)</f>
        <v>文教体育用品制造业</v>
      </c>
      <c r="J1285" s="16">
        <f>VLOOKUP(I1285,[2]行业排放因子!$A:$B,2,0)</f>
        <v>1.34473732401866</v>
      </c>
      <c r="K1285" s="9" t="s">
        <v>1489</v>
      </c>
    </row>
    <row r="1286" spans="1:11" ht="12.5" customHeight="1" x14ac:dyDescent="0.25">
      <c r="A1286" s="5" t="s">
        <v>4562</v>
      </c>
      <c r="B1286" s="6" t="s">
        <v>4563</v>
      </c>
      <c r="C1286" s="6" t="s">
        <v>4564</v>
      </c>
      <c r="D1286" s="6" t="s">
        <v>4565</v>
      </c>
      <c r="E1286" s="6" t="s">
        <v>4566</v>
      </c>
      <c r="F1286" s="6" t="s">
        <v>4565</v>
      </c>
      <c r="G1286" s="9" t="s">
        <v>4567</v>
      </c>
      <c r="H1286" s="9" t="s">
        <v>18</v>
      </c>
      <c r="I1286" s="16" t="str">
        <f>VLOOKUP(F1286,[1]完整分类结果!$E:$G,3,0)</f>
        <v>化学原料及化学制品制造业</v>
      </c>
      <c r="J1286" s="16">
        <f>VLOOKUP(I1286,[2]行业排放因子!$A:$B,2,0)</f>
        <v>82.521245753925498</v>
      </c>
      <c r="K1286" s="9" t="s">
        <v>756</v>
      </c>
    </row>
    <row r="1287" spans="1:11" ht="12.5" customHeight="1" x14ac:dyDescent="0.25">
      <c r="A1287" s="5" t="s">
        <v>4568</v>
      </c>
      <c r="B1287" s="6" t="s">
        <v>4563</v>
      </c>
      <c r="C1287" s="6" t="s">
        <v>4564</v>
      </c>
      <c r="D1287" s="6" t="s">
        <v>4569</v>
      </c>
      <c r="E1287" s="6" t="s">
        <v>4570</v>
      </c>
      <c r="F1287" s="6" t="s">
        <v>4571</v>
      </c>
      <c r="G1287" s="9" t="s">
        <v>4572</v>
      </c>
      <c r="H1287" s="9" t="s">
        <v>755</v>
      </c>
      <c r="I1287" s="16" t="str">
        <f>VLOOKUP(F1287,[1]完整分类结果!$E:$G,3,0)</f>
        <v>化学原料及化学制品制造业</v>
      </c>
      <c r="J1287" s="16">
        <f>VLOOKUP(I1287,[2]行业排放因子!$A:$B,2,0)</f>
        <v>82.521245753925498</v>
      </c>
      <c r="K1287" s="9" t="s">
        <v>756</v>
      </c>
    </row>
    <row r="1288" spans="1:11" ht="12.5" customHeight="1" x14ac:dyDescent="0.25">
      <c r="A1288" s="5" t="s">
        <v>4573</v>
      </c>
      <c r="B1288" s="6" t="s">
        <v>4563</v>
      </c>
      <c r="C1288" s="6" t="s">
        <v>4564</v>
      </c>
      <c r="D1288" s="6" t="s">
        <v>4574</v>
      </c>
      <c r="E1288" s="6" t="s">
        <v>4575</v>
      </c>
      <c r="F1288" s="6" t="s">
        <v>4576</v>
      </c>
      <c r="G1288" s="9"/>
      <c r="H1288" s="9" t="s">
        <v>755</v>
      </c>
      <c r="I1288" s="16" t="str">
        <f>VLOOKUP(F1288,[1]完整分类结果!$E:$G,3,0)</f>
        <v>化学原料及化学制品制造业</v>
      </c>
      <c r="J1288" s="16">
        <f>VLOOKUP(I1288,[2]行业排放因子!$A:$B,2,0)</f>
        <v>82.521245753925498</v>
      </c>
      <c r="K1288" s="9" t="s">
        <v>756</v>
      </c>
    </row>
    <row r="1289" spans="1:11" ht="12.5" customHeight="1" x14ac:dyDescent="0.25">
      <c r="A1289" s="5" t="s">
        <v>4577</v>
      </c>
      <c r="B1289" s="6" t="s">
        <v>4563</v>
      </c>
      <c r="C1289" s="6" t="s">
        <v>4564</v>
      </c>
      <c r="D1289" s="6" t="s">
        <v>4578</v>
      </c>
      <c r="E1289" s="6" t="s">
        <v>4579</v>
      </c>
      <c r="F1289" s="6" t="s">
        <v>4580</v>
      </c>
      <c r="G1289" s="9" t="s">
        <v>4581</v>
      </c>
      <c r="H1289" s="9" t="s">
        <v>18</v>
      </c>
      <c r="I1289" s="16" t="str">
        <f>VLOOKUP(F1289,[1]完整分类结果!$E:$G,3,0)</f>
        <v>化学原料及化学制品制造业</v>
      </c>
      <c r="J1289" s="16">
        <f>VLOOKUP(I1289,[2]行业排放因子!$A:$B,2,0)</f>
        <v>82.521245753925498</v>
      </c>
      <c r="K1289" s="9" t="s">
        <v>756</v>
      </c>
    </row>
    <row r="1290" spans="1:11" ht="12.5" customHeight="1" x14ac:dyDescent="0.25">
      <c r="A1290" s="5" t="s">
        <v>4582</v>
      </c>
      <c r="B1290" s="6" t="s">
        <v>4563</v>
      </c>
      <c r="C1290" s="6" t="s">
        <v>4564</v>
      </c>
      <c r="D1290" s="6" t="s">
        <v>4583</v>
      </c>
      <c r="E1290" s="6" t="s">
        <v>4584</v>
      </c>
      <c r="F1290" s="6" t="s">
        <v>4585</v>
      </c>
      <c r="G1290" s="9" t="s">
        <v>4586</v>
      </c>
      <c r="H1290" s="9" t="s">
        <v>18</v>
      </c>
      <c r="I1290" s="16" t="str">
        <f>VLOOKUP(F1290,[1]完整分类结果!$E:$G,3,0)</f>
        <v>化学原料及化学制品制造业</v>
      </c>
      <c r="J1290" s="16">
        <f>VLOOKUP(I1290,[2]行业排放因子!$A:$B,2,0)</f>
        <v>82.521245753925498</v>
      </c>
      <c r="K1290" s="9" t="s">
        <v>779</v>
      </c>
    </row>
    <row r="1291" spans="1:11" ht="12.5" customHeight="1" x14ac:dyDescent="0.25">
      <c r="A1291" s="5" t="s">
        <v>4587</v>
      </c>
      <c r="B1291" s="6" t="s">
        <v>4563</v>
      </c>
      <c r="C1291" s="6" t="s">
        <v>4564</v>
      </c>
      <c r="D1291" s="6" t="s">
        <v>4588</v>
      </c>
      <c r="E1291" s="6" t="s">
        <v>4589</v>
      </c>
      <c r="F1291" s="6" t="s">
        <v>4590</v>
      </c>
      <c r="G1291" s="9"/>
      <c r="H1291" s="9" t="s">
        <v>755</v>
      </c>
      <c r="I1291" s="16" t="str">
        <f>VLOOKUP(F1291,[1]完整分类结果!$E:$G,3,0)</f>
        <v>化学原料及化学制品制造业</v>
      </c>
      <c r="J1291" s="16">
        <f>VLOOKUP(I1291,[2]行业排放因子!$A:$B,2,0)</f>
        <v>82.521245753925498</v>
      </c>
      <c r="K1291" s="9" t="s">
        <v>756</v>
      </c>
    </row>
    <row r="1292" spans="1:11" ht="12.5" customHeight="1" x14ac:dyDescent="0.25">
      <c r="A1292" s="5" t="s">
        <v>4591</v>
      </c>
      <c r="B1292" s="6" t="s">
        <v>4563</v>
      </c>
      <c r="C1292" s="6" t="s">
        <v>4564</v>
      </c>
      <c r="D1292" s="6" t="s">
        <v>4592</v>
      </c>
      <c r="E1292" s="6" t="s">
        <v>4593</v>
      </c>
      <c r="F1292" s="6" t="s">
        <v>4592</v>
      </c>
      <c r="G1292" s="9"/>
      <c r="H1292" s="9" t="s">
        <v>18</v>
      </c>
      <c r="I1292" s="16" t="str">
        <f>VLOOKUP(F1292,[1]完整分类结果!$E:$G,3,0)</f>
        <v>化学原料及化学制品制造业</v>
      </c>
      <c r="J1292" s="16">
        <f>VLOOKUP(I1292,[2]行业排放因子!$A:$B,2,0)</f>
        <v>82.521245753925498</v>
      </c>
      <c r="K1292" s="9" t="s">
        <v>756</v>
      </c>
    </row>
    <row r="1293" spans="1:11" ht="12.5" customHeight="1" x14ac:dyDescent="0.25">
      <c r="A1293" s="5" t="s">
        <v>4594</v>
      </c>
      <c r="B1293" s="6" t="s">
        <v>4563</v>
      </c>
      <c r="C1293" s="6" t="s">
        <v>4564</v>
      </c>
      <c r="D1293" s="6" t="s">
        <v>4595</v>
      </c>
      <c r="E1293" s="6" t="s">
        <v>4596</v>
      </c>
      <c r="F1293" s="6" t="s">
        <v>4597</v>
      </c>
      <c r="G1293" s="9" t="s">
        <v>4598</v>
      </c>
      <c r="H1293" s="9" t="s">
        <v>18</v>
      </c>
      <c r="I1293" s="16" t="str">
        <f>VLOOKUP(F1293,[1]完整分类结果!$E:$G,3,0)</f>
        <v>化学原料及化学制品制造业</v>
      </c>
      <c r="J1293" s="16">
        <f>VLOOKUP(I1293,[2]行业排放因子!$A:$B,2,0)</f>
        <v>82.521245753925498</v>
      </c>
      <c r="K1293" s="9" t="s">
        <v>756</v>
      </c>
    </row>
    <row r="1294" spans="1:11" ht="12.5" customHeight="1" x14ac:dyDescent="0.25">
      <c r="A1294" s="5" t="s">
        <v>4599</v>
      </c>
      <c r="B1294" s="6" t="s">
        <v>4563</v>
      </c>
      <c r="C1294" s="6" t="s">
        <v>4564</v>
      </c>
      <c r="D1294" s="6" t="s">
        <v>4600</v>
      </c>
      <c r="E1294" s="6" t="s">
        <v>4601</v>
      </c>
      <c r="F1294" s="6" t="s">
        <v>4602</v>
      </c>
      <c r="G1294" s="9" t="s">
        <v>4603</v>
      </c>
      <c r="H1294" s="9" t="s">
        <v>755</v>
      </c>
      <c r="I1294" s="16" t="str">
        <f>VLOOKUP(F1294,[1]完整分类结果!$E:$G,3,0)</f>
        <v>化学原料及化学制品制造业</v>
      </c>
      <c r="J1294" s="16">
        <f>VLOOKUP(I1294,[2]行业排放因子!$A:$B,2,0)</f>
        <v>82.521245753925498</v>
      </c>
      <c r="K1294" s="9" t="s">
        <v>756</v>
      </c>
    </row>
    <row r="1295" spans="1:11" ht="12.5" customHeight="1" x14ac:dyDescent="0.25">
      <c r="A1295" s="5" t="s">
        <v>4604</v>
      </c>
      <c r="B1295" s="6" t="s">
        <v>4563</v>
      </c>
      <c r="C1295" s="6" t="s">
        <v>4564</v>
      </c>
      <c r="D1295" s="6" t="s">
        <v>4605</v>
      </c>
      <c r="E1295" s="6" t="s">
        <v>4606</v>
      </c>
      <c r="F1295" s="6" t="s">
        <v>4605</v>
      </c>
      <c r="G1295" s="9" t="s">
        <v>4607</v>
      </c>
      <c r="H1295" s="9" t="s">
        <v>755</v>
      </c>
      <c r="I1295" s="16" t="str">
        <f>VLOOKUP(F1295,[1]完整分类结果!$E:$G,3,0)</f>
        <v>化学原料及化学制品制造业</v>
      </c>
      <c r="J1295" s="16">
        <f>VLOOKUP(I1295,[2]行业排放因子!$A:$B,2,0)</f>
        <v>82.521245753925498</v>
      </c>
      <c r="K1295" s="9" t="s">
        <v>756</v>
      </c>
    </row>
    <row r="1296" spans="1:11" ht="12.5" customHeight="1" x14ac:dyDescent="0.25">
      <c r="A1296" s="5" t="s">
        <v>4608</v>
      </c>
      <c r="B1296" s="6" t="s">
        <v>4563</v>
      </c>
      <c r="C1296" s="6" t="s">
        <v>4564</v>
      </c>
      <c r="D1296" s="6" t="s">
        <v>4609</v>
      </c>
      <c r="E1296" s="6" t="s">
        <v>4610</v>
      </c>
      <c r="F1296" s="6" t="s">
        <v>4611</v>
      </c>
      <c r="G1296" s="9"/>
      <c r="H1296" s="9" t="s">
        <v>755</v>
      </c>
      <c r="I1296" s="16" t="str">
        <f>VLOOKUP(F1296,[1]完整分类结果!$E:$G,3,0)</f>
        <v>化学原料及化学制品制造业</v>
      </c>
      <c r="J1296" s="16">
        <f>VLOOKUP(I1296,[2]行业排放因子!$A:$B,2,0)</f>
        <v>82.521245753925498</v>
      </c>
      <c r="K1296" s="9" t="s">
        <v>756</v>
      </c>
    </row>
    <row r="1297" spans="1:11" ht="12.5" customHeight="1" x14ac:dyDescent="0.25">
      <c r="A1297" s="5" t="s">
        <v>4612</v>
      </c>
      <c r="B1297" s="6" t="s">
        <v>4563</v>
      </c>
      <c r="C1297" s="6" t="s">
        <v>4564</v>
      </c>
      <c r="D1297" s="6" t="s">
        <v>4613</v>
      </c>
      <c r="E1297" s="6" t="s">
        <v>4614</v>
      </c>
      <c r="F1297" s="6" t="s">
        <v>4615</v>
      </c>
      <c r="G1297" s="9"/>
      <c r="H1297" s="9" t="s">
        <v>755</v>
      </c>
      <c r="I1297" s="16" t="str">
        <f>VLOOKUP(F1297,[1]完整分类结果!$E:$G,3,0)</f>
        <v>化学原料及化学制品制造业</v>
      </c>
      <c r="J1297" s="16">
        <f>VLOOKUP(I1297,[2]行业排放因子!$A:$B,2,0)</f>
        <v>82.521245753925498</v>
      </c>
      <c r="K1297" s="9" t="s">
        <v>756</v>
      </c>
    </row>
    <row r="1298" spans="1:11" ht="12.5" customHeight="1" x14ac:dyDescent="0.25">
      <c r="A1298" s="5" t="s">
        <v>4616</v>
      </c>
      <c r="B1298" s="6" t="s">
        <v>4563</v>
      </c>
      <c r="C1298" s="6" t="s">
        <v>4564</v>
      </c>
      <c r="D1298" s="6" t="s">
        <v>4617</v>
      </c>
      <c r="E1298" s="6" t="s">
        <v>4618</v>
      </c>
      <c r="F1298" s="6" t="s">
        <v>4617</v>
      </c>
      <c r="G1298" s="9" t="s">
        <v>4619</v>
      </c>
      <c r="H1298" s="9" t="s">
        <v>755</v>
      </c>
      <c r="I1298" s="16" t="str">
        <f>VLOOKUP(F1298,[1]完整分类结果!$E:$G,3,0)</f>
        <v>化学原料及化学制品制造业</v>
      </c>
      <c r="J1298" s="16">
        <f>VLOOKUP(I1298,[2]行业排放因子!$A:$B,2,0)</f>
        <v>82.521245753925498</v>
      </c>
      <c r="K1298" s="9" t="s">
        <v>756</v>
      </c>
    </row>
    <row r="1299" spans="1:11" ht="12.5" customHeight="1" x14ac:dyDescent="0.25">
      <c r="A1299" s="5" t="s">
        <v>4620</v>
      </c>
      <c r="B1299" s="6" t="s">
        <v>4563</v>
      </c>
      <c r="C1299" s="6" t="s">
        <v>4564</v>
      </c>
      <c r="D1299" s="6" t="s">
        <v>4621</v>
      </c>
      <c r="E1299" s="6" t="s">
        <v>4622</v>
      </c>
      <c r="F1299" s="6" t="s">
        <v>4621</v>
      </c>
      <c r="G1299" s="9"/>
      <c r="H1299" s="9" t="s">
        <v>755</v>
      </c>
      <c r="I1299" s="16" t="str">
        <f>VLOOKUP(F1299,[1]完整分类结果!$E:$G,3,0)</f>
        <v>化学原料及化学制品制造业</v>
      </c>
      <c r="J1299" s="16">
        <f>VLOOKUP(I1299,[2]行业排放因子!$A:$B,2,0)</f>
        <v>82.521245753925498</v>
      </c>
      <c r="K1299" s="9" t="s">
        <v>756</v>
      </c>
    </row>
    <row r="1300" spans="1:11" ht="12.5" customHeight="1" x14ac:dyDescent="0.25">
      <c r="A1300" s="5" t="s">
        <v>4623</v>
      </c>
      <c r="B1300" s="6" t="s">
        <v>4563</v>
      </c>
      <c r="C1300" s="6" t="s">
        <v>4564</v>
      </c>
      <c r="D1300" s="6" t="s">
        <v>4624</v>
      </c>
      <c r="E1300" s="6" t="s">
        <v>4625</v>
      </c>
      <c r="F1300" s="6" t="s">
        <v>4626</v>
      </c>
      <c r="G1300" s="9" t="s">
        <v>4627</v>
      </c>
      <c r="H1300" s="9" t="s">
        <v>755</v>
      </c>
      <c r="I1300" s="16" t="str">
        <f>VLOOKUP(F1300,[1]完整分类结果!$E:$G,3,0)</f>
        <v>石油加工及炼焦业</v>
      </c>
      <c r="J1300" s="16">
        <f>VLOOKUP(I1300,[2]行业排放因子!$A:$B,2,0)</f>
        <v>228.02728776500501</v>
      </c>
      <c r="K1300" s="9" t="s">
        <v>756</v>
      </c>
    </row>
    <row r="1301" spans="1:11" ht="12.5" customHeight="1" x14ac:dyDescent="0.25">
      <c r="A1301" s="5" t="s">
        <v>4628</v>
      </c>
      <c r="B1301" s="6" t="s">
        <v>4563</v>
      </c>
      <c r="C1301" s="6" t="s">
        <v>4564</v>
      </c>
      <c r="D1301" s="6" t="s">
        <v>4624</v>
      </c>
      <c r="E1301" s="6" t="s">
        <v>4629</v>
      </c>
      <c r="F1301" s="6" t="s">
        <v>4630</v>
      </c>
      <c r="G1301" s="9" t="s">
        <v>4631</v>
      </c>
      <c r="H1301" s="9" t="s">
        <v>755</v>
      </c>
      <c r="I1301" s="16" t="str">
        <f>VLOOKUP(F1301,[1]完整分类结果!$E:$G,3,0)</f>
        <v>化学原料及化学制品制造业</v>
      </c>
      <c r="J1301" s="16">
        <f>VLOOKUP(I1301,[2]行业排放因子!$A:$B,2,0)</f>
        <v>82.521245753925498</v>
      </c>
      <c r="K1301" s="9" t="s">
        <v>756</v>
      </c>
    </row>
    <row r="1302" spans="1:11" ht="12.5" customHeight="1" x14ac:dyDescent="0.25">
      <c r="A1302" s="5" t="s">
        <v>4632</v>
      </c>
      <c r="B1302" s="6" t="s">
        <v>4563</v>
      </c>
      <c r="C1302" s="6" t="s">
        <v>4564</v>
      </c>
      <c r="D1302" s="6" t="s">
        <v>4624</v>
      </c>
      <c r="E1302" s="6" t="s">
        <v>4633</v>
      </c>
      <c r="F1302" s="6" t="s">
        <v>4634</v>
      </c>
      <c r="G1302" s="9"/>
      <c r="H1302" s="9" t="s">
        <v>755</v>
      </c>
      <c r="I1302" s="16" t="str">
        <f>VLOOKUP(F1302,[1]完整分类结果!$E:$G,3,0)</f>
        <v>化学原料及化学制品制造业</v>
      </c>
      <c r="J1302" s="16">
        <f>VLOOKUP(I1302,[2]行业排放因子!$A:$B,2,0)</f>
        <v>82.521245753925498</v>
      </c>
      <c r="K1302" s="9" t="s">
        <v>756</v>
      </c>
    </row>
    <row r="1303" spans="1:11" ht="12.5" customHeight="1" x14ac:dyDescent="0.25">
      <c r="A1303" s="5" t="s">
        <v>4635</v>
      </c>
      <c r="B1303" s="6" t="s">
        <v>4563</v>
      </c>
      <c r="C1303" s="6" t="s">
        <v>4636</v>
      </c>
      <c r="D1303" s="6" t="s">
        <v>4637</v>
      </c>
      <c r="E1303" s="6" t="s">
        <v>4638</v>
      </c>
      <c r="F1303" s="6" t="s">
        <v>4639</v>
      </c>
      <c r="G1303" s="9" t="s">
        <v>4640</v>
      </c>
      <c r="H1303" s="9" t="s">
        <v>18</v>
      </c>
      <c r="I1303" s="16" t="str">
        <f>VLOOKUP(F1303,[1]完整分类结果!$E:$G,3,0)</f>
        <v>化学原料及化学制品制造业</v>
      </c>
      <c r="J1303" s="16">
        <f>VLOOKUP(I1303,[2]行业排放因子!$A:$B,2,0)</f>
        <v>82.521245753925498</v>
      </c>
      <c r="K1303" s="9" t="s">
        <v>756</v>
      </c>
    </row>
    <row r="1304" spans="1:11" ht="12.5" customHeight="1" x14ac:dyDescent="0.25">
      <c r="A1304" s="5" t="s">
        <v>4641</v>
      </c>
      <c r="B1304" s="6" t="s">
        <v>4563</v>
      </c>
      <c r="C1304" s="6" t="s">
        <v>4636</v>
      </c>
      <c r="D1304" s="6" t="s">
        <v>4637</v>
      </c>
      <c r="E1304" s="6" t="s">
        <v>4642</v>
      </c>
      <c r="F1304" s="6" t="s">
        <v>4643</v>
      </c>
      <c r="G1304" s="9" t="s">
        <v>4644</v>
      </c>
      <c r="H1304" s="9" t="s">
        <v>18</v>
      </c>
      <c r="I1304" s="16" t="str">
        <f>VLOOKUP(F1304,[1]完整分类结果!$E:$G,3,0)</f>
        <v>化学原料及化学制品制造业</v>
      </c>
      <c r="J1304" s="16">
        <f>VLOOKUP(I1304,[2]行业排放因子!$A:$B,2,0)</f>
        <v>82.521245753925498</v>
      </c>
      <c r="K1304" s="9" t="s">
        <v>756</v>
      </c>
    </row>
    <row r="1305" spans="1:11" ht="12.5" customHeight="1" x14ac:dyDescent="0.25">
      <c r="A1305" s="5" t="s">
        <v>4645</v>
      </c>
      <c r="B1305" s="6" t="s">
        <v>4563</v>
      </c>
      <c r="C1305" s="6" t="s">
        <v>4636</v>
      </c>
      <c r="D1305" s="6" t="s">
        <v>4637</v>
      </c>
      <c r="E1305" s="6" t="s">
        <v>4646</v>
      </c>
      <c r="F1305" s="6" t="s">
        <v>4647</v>
      </c>
      <c r="G1305" s="9" t="s">
        <v>4648</v>
      </c>
      <c r="H1305" s="9" t="s">
        <v>18</v>
      </c>
      <c r="I1305" s="16" t="str">
        <f>VLOOKUP(F1305,[1]完整分类结果!$E:$G,3,0)</f>
        <v>化学原料及化学制品制造业</v>
      </c>
      <c r="J1305" s="16">
        <f>VLOOKUP(I1305,[2]行业排放因子!$A:$B,2,0)</f>
        <v>82.521245753925498</v>
      </c>
      <c r="K1305" s="9" t="s">
        <v>756</v>
      </c>
    </row>
    <row r="1306" spans="1:11" ht="12.5" customHeight="1" x14ac:dyDescent="0.25">
      <c r="A1306" s="5" t="s">
        <v>4649</v>
      </c>
      <c r="B1306" s="6" t="s">
        <v>4563</v>
      </c>
      <c r="C1306" s="6" t="s">
        <v>4636</v>
      </c>
      <c r="D1306" s="6" t="s">
        <v>4637</v>
      </c>
      <c r="E1306" s="6" t="s">
        <v>4650</v>
      </c>
      <c r="F1306" s="6" t="s">
        <v>4651</v>
      </c>
      <c r="G1306" s="9"/>
      <c r="H1306" s="9" t="s">
        <v>18</v>
      </c>
      <c r="I1306" s="16" t="str">
        <f>VLOOKUP(F1306,[1]完整分类结果!$E:$G,3,0)</f>
        <v>化学原料及化学制品制造业</v>
      </c>
      <c r="J1306" s="16">
        <f>VLOOKUP(I1306,[2]行业排放因子!$A:$B,2,0)</f>
        <v>82.521245753925498</v>
      </c>
      <c r="K1306" s="9" t="s">
        <v>756</v>
      </c>
    </row>
    <row r="1307" spans="1:11" ht="12.5" customHeight="1" x14ac:dyDescent="0.25">
      <c r="A1307" s="5" t="s">
        <v>4652</v>
      </c>
      <c r="B1307" s="6" t="s">
        <v>4563</v>
      </c>
      <c r="C1307" s="6" t="s">
        <v>4636</v>
      </c>
      <c r="D1307" s="6" t="s">
        <v>4637</v>
      </c>
      <c r="E1307" s="6" t="s">
        <v>4653</v>
      </c>
      <c r="F1307" s="6" t="s">
        <v>4654</v>
      </c>
      <c r="G1307" s="9" t="s">
        <v>4655</v>
      </c>
      <c r="H1307" s="9" t="s">
        <v>18</v>
      </c>
      <c r="I1307" s="16" t="str">
        <f>VLOOKUP(F1307,[1]完整分类结果!$E:$G,3,0)</f>
        <v>化学原料及化学制品制造业</v>
      </c>
      <c r="J1307" s="16">
        <f>VLOOKUP(I1307,[2]行业排放因子!$A:$B,2,0)</f>
        <v>82.521245753925498</v>
      </c>
      <c r="K1307" s="9" t="s">
        <v>756</v>
      </c>
    </row>
    <row r="1308" spans="1:11" ht="12.5" customHeight="1" x14ac:dyDescent="0.25">
      <c r="A1308" s="5" t="s">
        <v>4656</v>
      </c>
      <c r="B1308" s="6" t="s">
        <v>4563</v>
      </c>
      <c r="C1308" s="6" t="s">
        <v>4636</v>
      </c>
      <c r="D1308" s="6" t="s">
        <v>4637</v>
      </c>
      <c r="E1308" s="6" t="s">
        <v>4657</v>
      </c>
      <c r="F1308" s="6" t="s">
        <v>4658</v>
      </c>
      <c r="G1308" s="9" t="s">
        <v>4659</v>
      </c>
      <c r="H1308" s="9" t="s">
        <v>18</v>
      </c>
      <c r="I1308" s="16" t="str">
        <f>VLOOKUP(F1308,[1]完整分类结果!$E:$G,3,0)</f>
        <v>化学原料及化学制品制造业</v>
      </c>
      <c r="J1308" s="16">
        <f>VLOOKUP(I1308,[2]行业排放因子!$A:$B,2,0)</f>
        <v>82.521245753925498</v>
      </c>
      <c r="K1308" s="9" t="s">
        <v>756</v>
      </c>
    </row>
    <row r="1309" spans="1:11" ht="12.5" customHeight="1" x14ac:dyDescent="0.25">
      <c r="A1309" s="5" t="s">
        <v>4660</v>
      </c>
      <c r="B1309" s="6" t="s">
        <v>4563</v>
      </c>
      <c r="C1309" s="6" t="s">
        <v>4636</v>
      </c>
      <c r="D1309" s="6" t="s">
        <v>4637</v>
      </c>
      <c r="E1309" s="6" t="s">
        <v>4661</v>
      </c>
      <c r="F1309" s="6" t="s">
        <v>4662</v>
      </c>
      <c r="G1309" s="9" t="s">
        <v>4663</v>
      </c>
      <c r="H1309" s="9" t="s">
        <v>18</v>
      </c>
      <c r="I1309" s="16" t="str">
        <f>VLOOKUP(F1309,[1]完整分类结果!$E:$G,3,0)</f>
        <v>化学原料及化学制品制造业</v>
      </c>
      <c r="J1309" s="16">
        <f>VLOOKUP(I1309,[2]行业排放因子!$A:$B,2,0)</f>
        <v>82.521245753925498</v>
      </c>
      <c r="K1309" s="9" t="s">
        <v>756</v>
      </c>
    </row>
    <row r="1310" spans="1:11" ht="12.5" customHeight="1" x14ac:dyDescent="0.25">
      <c r="A1310" s="5" t="s">
        <v>4664</v>
      </c>
      <c r="B1310" s="6" t="s">
        <v>4563</v>
      </c>
      <c r="C1310" s="6" t="s">
        <v>4636</v>
      </c>
      <c r="D1310" s="6" t="s">
        <v>4637</v>
      </c>
      <c r="E1310" s="6" t="s">
        <v>4665</v>
      </c>
      <c r="F1310" s="6" t="s">
        <v>4666</v>
      </c>
      <c r="G1310" s="9" t="s">
        <v>4667</v>
      </c>
      <c r="H1310" s="9" t="s">
        <v>18</v>
      </c>
      <c r="I1310" s="16" t="str">
        <f>VLOOKUP(F1310,[1]完整分类结果!$E:$G,3,0)</f>
        <v>化学原料及化学制品制造业</v>
      </c>
      <c r="J1310" s="16">
        <f>VLOOKUP(I1310,[2]行业排放因子!$A:$B,2,0)</f>
        <v>82.521245753925498</v>
      </c>
      <c r="K1310" s="9" t="s">
        <v>756</v>
      </c>
    </row>
    <row r="1311" spans="1:11" ht="12.5" customHeight="1" x14ac:dyDescent="0.25">
      <c r="A1311" s="5" t="s">
        <v>4668</v>
      </c>
      <c r="B1311" s="6" t="s">
        <v>4563</v>
      </c>
      <c r="C1311" s="6" t="s">
        <v>4636</v>
      </c>
      <c r="D1311" s="6" t="s">
        <v>4637</v>
      </c>
      <c r="E1311" s="6" t="s">
        <v>4669</v>
      </c>
      <c r="F1311" s="6" t="s">
        <v>4670</v>
      </c>
      <c r="G1311" s="9" t="s">
        <v>4671</v>
      </c>
      <c r="H1311" s="9" t="s">
        <v>18</v>
      </c>
      <c r="I1311" s="16" t="str">
        <f>VLOOKUP(F1311,[1]完整分类结果!$E:$G,3,0)</f>
        <v>化学原料及化学制品制造业</v>
      </c>
      <c r="J1311" s="16">
        <f>VLOOKUP(I1311,[2]行业排放因子!$A:$B,2,0)</f>
        <v>82.521245753925498</v>
      </c>
      <c r="K1311" s="9" t="s">
        <v>756</v>
      </c>
    </row>
    <row r="1312" spans="1:11" ht="12.5" customHeight="1" x14ac:dyDescent="0.25">
      <c r="A1312" s="5" t="s">
        <v>4672</v>
      </c>
      <c r="B1312" s="6" t="s">
        <v>4563</v>
      </c>
      <c r="C1312" s="6" t="s">
        <v>4636</v>
      </c>
      <c r="D1312" s="6" t="s">
        <v>4637</v>
      </c>
      <c r="E1312" s="6" t="s">
        <v>4673</v>
      </c>
      <c r="F1312" s="6" t="s">
        <v>4674</v>
      </c>
      <c r="G1312" s="9" t="s">
        <v>4675</v>
      </c>
      <c r="H1312" s="9" t="s">
        <v>18</v>
      </c>
      <c r="I1312" s="16" t="str">
        <f>VLOOKUP(F1312,[1]完整分类结果!$E:$G,3,0)</f>
        <v>化学原料及化学制品制造业</v>
      </c>
      <c r="J1312" s="16">
        <f>VLOOKUP(I1312,[2]行业排放因子!$A:$B,2,0)</f>
        <v>82.521245753925498</v>
      </c>
      <c r="K1312" s="9" t="s">
        <v>756</v>
      </c>
    </row>
    <row r="1313" spans="1:11" ht="12.5" customHeight="1" x14ac:dyDescent="0.25">
      <c r="A1313" s="5" t="s">
        <v>4676</v>
      </c>
      <c r="B1313" s="6" t="s">
        <v>4563</v>
      </c>
      <c r="C1313" s="6" t="s">
        <v>4636</v>
      </c>
      <c r="D1313" s="6" t="s">
        <v>4637</v>
      </c>
      <c r="E1313" s="6" t="s">
        <v>4677</v>
      </c>
      <c r="F1313" s="6" t="s">
        <v>4678</v>
      </c>
      <c r="G1313" s="9" t="s">
        <v>4679</v>
      </c>
      <c r="H1313" s="9" t="s">
        <v>18</v>
      </c>
      <c r="I1313" s="16" t="str">
        <f>VLOOKUP(F1313,[1]完整分类结果!$E:$G,3,0)</f>
        <v>化学原料及化学制品制造业</v>
      </c>
      <c r="J1313" s="16">
        <f>VLOOKUP(I1313,[2]行业排放因子!$A:$B,2,0)</f>
        <v>82.521245753925498</v>
      </c>
      <c r="K1313" s="9" t="s">
        <v>756</v>
      </c>
    </row>
    <row r="1314" spans="1:11" ht="12.5" customHeight="1" x14ac:dyDescent="0.25">
      <c r="A1314" s="5" t="s">
        <v>4680</v>
      </c>
      <c r="B1314" s="6" t="s">
        <v>4563</v>
      </c>
      <c r="C1314" s="6" t="s">
        <v>4636</v>
      </c>
      <c r="D1314" s="6" t="s">
        <v>4637</v>
      </c>
      <c r="E1314" s="6" t="s">
        <v>4681</v>
      </c>
      <c r="F1314" s="6" t="s">
        <v>4682</v>
      </c>
      <c r="G1314" s="9" t="s">
        <v>4683</v>
      </c>
      <c r="H1314" s="9" t="s">
        <v>18</v>
      </c>
      <c r="I1314" s="16" t="str">
        <f>VLOOKUP(F1314,[1]完整分类结果!$E:$G,3,0)</f>
        <v>化学原料及化学制品制造业</v>
      </c>
      <c r="J1314" s="16">
        <f>VLOOKUP(I1314,[2]行业排放因子!$A:$B,2,0)</f>
        <v>82.521245753925498</v>
      </c>
      <c r="K1314" s="9" t="s">
        <v>756</v>
      </c>
    </row>
    <row r="1315" spans="1:11" ht="12.5" customHeight="1" x14ac:dyDescent="0.25">
      <c r="A1315" s="5" t="s">
        <v>4684</v>
      </c>
      <c r="B1315" s="6" t="s">
        <v>4563</v>
      </c>
      <c r="C1315" s="6" t="s">
        <v>4636</v>
      </c>
      <c r="D1315" s="6" t="s">
        <v>4637</v>
      </c>
      <c r="E1315" s="6" t="s">
        <v>4685</v>
      </c>
      <c r="F1315" s="6" t="s">
        <v>4686</v>
      </c>
      <c r="G1315" s="9" t="s">
        <v>4687</v>
      </c>
      <c r="H1315" s="9" t="s">
        <v>18</v>
      </c>
      <c r="I1315" s="16" t="str">
        <f>VLOOKUP(F1315,[1]完整分类结果!$E:$G,3,0)</f>
        <v>化学原料及化学制品制造业</v>
      </c>
      <c r="J1315" s="16">
        <f>VLOOKUP(I1315,[2]行业排放因子!$A:$B,2,0)</f>
        <v>82.521245753925498</v>
      </c>
      <c r="K1315" s="9" t="s">
        <v>756</v>
      </c>
    </row>
    <row r="1316" spans="1:11" ht="12.5" customHeight="1" x14ac:dyDescent="0.25">
      <c r="A1316" s="5" t="s">
        <v>4688</v>
      </c>
      <c r="B1316" s="6" t="s">
        <v>4563</v>
      </c>
      <c r="C1316" s="6" t="s">
        <v>4636</v>
      </c>
      <c r="D1316" s="6" t="s">
        <v>4637</v>
      </c>
      <c r="E1316" s="6" t="s">
        <v>4689</v>
      </c>
      <c r="F1316" s="6" t="s">
        <v>4690</v>
      </c>
      <c r="G1316" s="9" t="s">
        <v>4691</v>
      </c>
      <c r="H1316" s="9" t="s">
        <v>18</v>
      </c>
      <c r="I1316" s="16" t="str">
        <f>VLOOKUP(F1316,[1]完整分类结果!$E:$G,3,0)</f>
        <v>化学原料及化学制品制造业</v>
      </c>
      <c r="J1316" s="16">
        <f>VLOOKUP(I1316,[2]行业排放因子!$A:$B,2,0)</f>
        <v>82.521245753925498</v>
      </c>
      <c r="K1316" s="9" t="s">
        <v>756</v>
      </c>
    </row>
    <row r="1317" spans="1:11" ht="12.5" customHeight="1" x14ac:dyDescent="0.25">
      <c r="A1317" s="5" t="s">
        <v>4692</v>
      </c>
      <c r="B1317" s="6" t="s">
        <v>4563</v>
      </c>
      <c r="C1317" s="6" t="s">
        <v>4636</v>
      </c>
      <c r="D1317" s="6" t="s">
        <v>4637</v>
      </c>
      <c r="E1317" s="6" t="s">
        <v>4693</v>
      </c>
      <c r="F1317" s="6" t="s">
        <v>4694</v>
      </c>
      <c r="G1317" s="9" t="s">
        <v>4695</v>
      </c>
      <c r="H1317" s="9" t="s">
        <v>18</v>
      </c>
      <c r="I1317" s="16" t="str">
        <f>VLOOKUP(F1317,[1]完整分类结果!$E:$G,3,0)</f>
        <v>化学原料及化学制品制造业</v>
      </c>
      <c r="J1317" s="16">
        <f>VLOOKUP(I1317,[2]行业排放因子!$A:$B,2,0)</f>
        <v>82.521245753925498</v>
      </c>
      <c r="K1317" s="9" t="s">
        <v>756</v>
      </c>
    </row>
    <row r="1318" spans="1:11" ht="12.5" customHeight="1" x14ac:dyDescent="0.25">
      <c r="A1318" s="5" t="s">
        <v>4696</v>
      </c>
      <c r="B1318" s="6" t="s">
        <v>4563</v>
      </c>
      <c r="C1318" s="6" t="s">
        <v>4636</v>
      </c>
      <c r="D1318" s="6" t="s">
        <v>4637</v>
      </c>
      <c r="E1318" s="6" t="s">
        <v>4697</v>
      </c>
      <c r="F1318" s="6" t="s">
        <v>4698</v>
      </c>
      <c r="G1318" s="9" t="s">
        <v>4699</v>
      </c>
      <c r="H1318" s="9" t="s">
        <v>18</v>
      </c>
      <c r="I1318" s="16" t="str">
        <f>VLOOKUP(F1318,[1]完整分类结果!$E:$G,3,0)</f>
        <v>化学原料及化学制品制造业</v>
      </c>
      <c r="J1318" s="16">
        <f>VLOOKUP(I1318,[2]行业排放因子!$A:$B,2,0)</f>
        <v>82.521245753925498</v>
      </c>
      <c r="K1318" s="9" t="s">
        <v>756</v>
      </c>
    </row>
    <row r="1319" spans="1:11" ht="12.5" customHeight="1" x14ac:dyDescent="0.25">
      <c r="A1319" s="5" t="s">
        <v>4700</v>
      </c>
      <c r="B1319" s="6" t="s">
        <v>4563</v>
      </c>
      <c r="C1319" s="6" t="s">
        <v>4636</v>
      </c>
      <c r="D1319" s="6" t="s">
        <v>4637</v>
      </c>
      <c r="E1319" s="6" t="s">
        <v>4701</v>
      </c>
      <c r="F1319" s="6" t="s">
        <v>4702</v>
      </c>
      <c r="G1319" s="9" t="s">
        <v>4703</v>
      </c>
      <c r="H1319" s="9" t="s">
        <v>18</v>
      </c>
      <c r="I1319" s="16" t="str">
        <f>VLOOKUP(F1319,[1]完整分类结果!$E:$G,3,0)</f>
        <v>化学原料及化学制品制造业</v>
      </c>
      <c r="J1319" s="16">
        <f>VLOOKUP(I1319,[2]行业排放因子!$A:$B,2,0)</f>
        <v>82.521245753925498</v>
      </c>
      <c r="K1319" s="9" t="s">
        <v>756</v>
      </c>
    </row>
    <row r="1320" spans="1:11" ht="12.5" customHeight="1" x14ac:dyDescent="0.25">
      <c r="A1320" s="5" t="s">
        <v>4704</v>
      </c>
      <c r="B1320" s="6" t="s">
        <v>4563</v>
      </c>
      <c r="C1320" s="6" t="s">
        <v>4636</v>
      </c>
      <c r="D1320" s="6" t="s">
        <v>4637</v>
      </c>
      <c r="E1320" s="6" t="s">
        <v>4705</v>
      </c>
      <c r="F1320" s="6" t="s">
        <v>4706</v>
      </c>
      <c r="G1320" s="9" t="s">
        <v>4707</v>
      </c>
      <c r="H1320" s="9" t="s">
        <v>18</v>
      </c>
      <c r="I1320" s="16" t="str">
        <f>VLOOKUP(F1320,[1]完整分类结果!$E:$G,3,0)</f>
        <v>化学原料及化学制品制造业</v>
      </c>
      <c r="J1320" s="16">
        <f>VLOOKUP(I1320,[2]行业排放因子!$A:$B,2,0)</f>
        <v>82.521245753925498</v>
      </c>
      <c r="K1320" s="9" t="s">
        <v>756</v>
      </c>
    </row>
    <row r="1321" spans="1:11" ht="12.5" customHeight="1" x14ac:dyDescent="0.25">
      <c r="A1321" s="5" t="s">
        <v>4708</v>
      </c>
      <c r="B1321" s="6" t="s">
        <v>4563</v>
      </c>
      <c r="C1321" s="6" t="s">
        <v>4636</v>
      </c>
      <c r="D1321" s="6" t="s">
        <v>4637</v>
      </c>
      <c r="E1321" s="6" t="s">
        <v>4709</v>
      </c>
      <c r="F1321" s="6" t="s">
        <v>4710</v>
      </c>
      <c r="G1321" s="9" t="s">
        <v>4711</v>
      </c>
      <c r="H1321" s="9" t="s">
        <v>18</v>
      </c>
      <c r="I1321" s="16" t="str">
        <f>VLOOKUP(F1321,[1]完整分类结果!$E:$G,3,0)</f>
        <v>化学原料及化学制品制造业</v>
      </c>
      <c r="J1321" s="16">
        <f>VLOOKUP(I1321,[2]行业排放因子!$A:$B,2,0)</f>
        <v>82.521245753925498</v>
      </c>
      <c r="K1321" s="9" t="s">
        <v>756</v>
      </c>
    </row>
    <row r="1322" spans="1:11" ht="12.5" customHeight="1" x14ac:dyDescent="0.25">
      <c r="A1322" s="5" t="s">
        <v>4712</v>
      </c>
      <c r="B1322" s="6" t="s">
        <v>4563</v>
      </c>
      <c r="C1322" s="6" t="s">
        <v>4636</v>
      </c>
      <c r="D1322" s="6" t="s">
        <v>4637</v>
      </c>
      <c r="E1322" s="6" t="s">
        <v>4713</v>
      </c>
      <c r="F1322" s="6" t="s">
        <v>4714</v>
      </c>
      <c r="G1322" s="9" t="s">
        <v>4715</v>
      </c>
      <c r="H1322" s="9" t="s">
        <v>18</v>
      </c>
      <c r="I1322" s="16" t="str">
        <f>VLOOKUP(F1322,[1]完整分类结果!$E:$G,3,0)</f>
        <v>化学原料及化学制品制造业</v>
      </c>
      <c r="J1322" s="16">
        <f>VLOOKUP(I1322,[2]行业排放因子!$A:$B,2,0)</f>
        <v>82.521245753925498</v>
      </c>
      <c r="K1322" s="9" t="s">
        <v>756</v>
      </c>
    </row>
    <row r="1323" spans="1:11" ht="12.5" customHeight="1" x14ac:dyDescent="0.25">
      <c r="A1323" s="5" t="s">
        <v>4716</v>
      </c>
      <c r="B1323" s="6" t="s">
        <v>4563</v>
      </c>
      <c r="C1323" s="6" t="s">
        <v>4636</v>
      </c>
      <c r="D1323" s="6" t="s">
        <v>4637</v>
      </c>
      <c r="E1323" s="6" t="s">
        <v>4717</v>
      </c>
      <c r="F1323" s="6" t="s">
        <v>4718</v>
      </c>
      <c r="G1323" s="9" t="s">
        <v>4719</v>
      </c>
      <c r="H1323" s="9" t="s">
        <v>18</v>
      </c>
      <c r="I1323" s="16" t="str">
        <f>VLOOKUP(F1323,[1]完整分类结果!$E:$G,3,0)</f>
        <v>化学原料及化学制品制造业</v>
      </c>
      <c r="J1323" s="16">
        <f>VLOOKUP(I1323,[2]行业排放因子!$A:$B,2,0)</f>
        <v>82.521245753925498</v>
      </c>
      <c r="K1323" s="9" t="s">
        <v>756</v>
      </c>
    </row>
    <row r="1324" spans="1:11" ht="12.5" customHeight="1" x14ac:dyDescent="0.25">
      <c r="A1324" s="5" t="s">
        <v>4720</v>
      </c>
      <c r="B1324" s="6" t="s">
        <v>4563</v>
      </c>
      <c r="C1324" s="6" t="s">
        <v>4636</v>
      </c>
      <c r="D1324" s="6" t="s">
        <v>4637</v>
      </c>
      <c r="E1324" s="6" t="s">
        <v>4721</v>
      </c>
      <c r="F1324" s="6" t="s">
        <v>4722</v>
      </c>
      <c r="G1324" s="9" t="s">
        <v>4723</v>
      </c>
      <c r="H1324" s="9" t="s">
        <v>18</v>
      </c>
      <c r="I1324" s="16" t="str">
        <f>VLOOKUP(F1324,[1]完整分类结果!$E:$G,3,0)</f>
        <v>化学原料及化学制品制造业</v>
      </c>
      <c r="J1324" s="16">
        <f>VLOOKUP(I1324,[2]行业排放因子!$A:$B,2,0)</f>
        <v>82.521245753925498</v>
      </c>
      <c r="K1324" s="9" t="s">
        <v>756</v>
      </c>
    </row>
    <row r="1325" spans="1:11" ht="12.5" customHeight="1" x14ac:dyDescent="0.25">
      <c r="A1325" s="5" t="s">
        <v>4724</v>
      </c>
      <c r="B1325" s="6" t="s">
        <v>4563</v>
      </c>
      <c r="C1325" s="6" t="s">
        <v>4636</v>
      </c>
      <c r="D1325" s="6" t="s">
        <v>4637</v>
      </c>
      <c r="E1325" s="6" t="s">
        <v>4725</v>
      </c>
      <c r="F1325" s="6" t="s">
        <v>4726</v>
      </c>
      <c r="G1325" s="9" t="s">
        <v>4727</v>
      </c>
      <c r="H1325" s="9" t="s">
        <v>18</v>
      </c>
      <c r="I1325" s="16" t="str">
        <f>VLOOKUP(F1325,[1]完整分类结果!$E:$G,3,0)</f>
        <v>化学原料及化学制品制造业</v>
      </c>
      <c r="J1325" s="16">
        <f>VLOOKUP(I1325,[2]行业排放因子!$A:$B,2,0)</f>
        <v>82.521245753925498</v>
      </c>
      <c r="K1325" s="9" t="s">
        <v>756</v>
      </c>
    </row>
    <row r="1326" spans="1:11" ht="12.5" customHeight="1" x14ac:dyDescent="0.25">
      <c r="A1326" s="5" t="s">
        <v>4728</v>
      </c>
      <c r="B1326" s="6" t="s">
        <v>4563</v>
      </c>
      <c r="C1326" s="6" t="s">
        <v>4636</v>
      </c>
      <c r="D1326" s="6" t="s">
        <v>4637</v>
      </c>
      <c r="E1326" s="6" t="s">
        <v>4729</v>
      </c>
      <c r="F1326" s="6" t="s">
        <v>4730</v>
      </c>
      <c r="G1326" s="9" t="s">
        <v>4731</v>
      </c>
      <c r="H1326" s="9" t="s">
        <v>18</v>
      </c>
      <c r="I1326" s="16" t="str">
        <f>VLOOKUP(F1326,[1]完整分类结果!$E:$G,3,0)</f>
        <v>化学原料及化学制品制造业</v>
      </c>
      <c r="J1326" s="16">
        <f>VLOOKUP(I1326,[2]行业排放因子!$A:$B,2,0)</f>
        <v>82.521245753925498</v>
      </c>
      <c r="K1326" s="9" t="s">
        <v>756</v>
      </c>
    </row>
    <row r="1327" spans="1:11" ht="12.5" customHeight="1" x14ac:dyDescent="0.25">
      <c r="A1327" s="5" t="s">
        <v>4732</v>
      </c>
      <c r="B1327" s="6" t="s">
        <v>4563</v>
      </c>
      <c r="C1327" s="6" t="s">
        <v>4636</v>
      </c>
      <c r="D1327" s="6" t="s">
        <v>4637</v>
      </c>
      <c r="E1327" s="6" t="s">
        <v>4733</v>
      </c>
      <c r="F1327" s="6" t="s">
        <v>4734</v>
      </c>
      <c r="G1327" s="9"/>
      <c r="H1327" s="9" t="s">
        <v>18</v>
      </c>
      <c r="I1327" s="16" t="str">
        <f>VLOOKUP(F1327,[1]完整分类结果!$E:$G,3,0)</f>
        <v>化学原料及化学制品制造业</v>
      </c>
      <c r="J1327" s="16">
        <f>VLOOKUP(I1327,[2]行业排放因子!$A:$B,2,0)</f>
        <v>82.521245753925498</v>
      </c>
      <c r="K1327" s="9" t="s">
        <v>756</v>
      </c>
    </row>
    <row r="1328" spans="1:11" ht="12.5" customHeight="1" x14ac:dyDescent="0.25">
      <c r="A1328" s="5" t="s">
        <v>4735</v>
      </c>
      <c r="B1328" s="6" t="s">
        <v>4563</v>
      </c>
      <c r="C1328" s="6" t="s">
        <v>4636</v>
      </c>
      <c r="D1328" s="6" t="s">
        <v>4637</v>
      </c>
      <c r="E1328" s="6" t="s">
        <v>4736</v>
      </c>
      <c r="F1328" s="6" t="s">
        <v>4737</v>
      </c>
      <c r="G1328" s="9"/>
      <c r="H1328" s="9" t="s">
        <v>18</v>
      </c>
      <c r="I1328" s="16" t="str">
        <f>VLOOKUP(F1328,[1]完整分类结果!$E:$G,3,0)</f>
        <v>化学原料及化学制品制造业</v>
      </c>
      <c r="J1328" s="16">
        <f>VLOOKUP(I1328,[2]行业排放因子!$A:$B,2,0)</f>
        <v>82.521245753925498</v>
      </c>
      <c r="K1328" s="9" t="s">
        <v>756</v>
      </c>
    </row>
    <row r="1329" spans="1:11" ht="12.5" customHeight="1" x14ac:dyDescent="0.25">
      <c r="A1329" s="5" t="s">
        <v>4738</v>
      </c>
      <c r="B1329" s="6" t="s">
        <v>4563</v>
      </c>
      <c r="C1329" s="6" t="s">
        <v>4636</v>
      </c>
      <c r="D1329" s="6" t="s">
        <v>4637</v>
      </c>
      <c r="E1329" s="6" t="s">
        <v>4739</v>
      </c>
      <c r="F1329" s="6" t="s">
        <v>4740</v>
      </c>
      <c r="G1329" s="9"/>
      <c r="H1329" s="9" t="s">
        <v>18</v>
      </c>
      <c r="I1329" s="16" t="str">
        <f>VLOOKUP(F1329,[1]完整分类结果!$E:$G,3,0)</f>
        <v>化学原料及化学制品制造业</v>
      </c>
      <c r="J1329" s="16">
        <f>VLOOKUP(I1329,[2]行业排放因子!$A:$B,2,0)</f>
        <v>82.521245753925498</v>
      </c>
      <c r="K1329" s="9" t="s">
        <v>756</v>
      </c>
    </row>
    <row r="1330" spans="1:11" ht="12.5" customHeight="1" x14ac:dyDescent="0.25">
      <c r="A1330" s="5" t="s">
        <v>4741</v>
      </c>
      <c r="B1330" s="6" t="s">
        <v>4563</v>
      </c>
      <c r="C1330" s="6" t="s">
        <v>4636</v>
      </c>
      <c r="D1330" s="6" t="s">
        <v>4742</v>
      </c>
      <c r="E1330" s="6" t="s">
        <v>4743</v>
      </c>
      <c r="F1330" s="6" t="s">
        <v>4744</v>
      </c>
      <c r="G1330" s="9" t="s">
        <v>4745</v>
      </c>
      <c r="H1330" s="9" t="s">
        <v>18</v>
      </c>
      <c r="I1330" s="16" t="str">
        <f>VLOOKUP(F1330,[1]完整分类结果!$E:$G,3,0)</f>
        <v>化学原料及化学制品制造业</v>
      </c>
      <c r="J1330" s="16">
        <f>VLOOKUP(I1330,[2]行业排放因子!$A:$B,2,0)</f>
        <v>82.521245753925498</v>
      </c>
      <c r="K1330" s="9" t="s">
        <v>756</v>
      </c>
    </row>
    <row r="1331" spans="1:11" ht="12.5" customHeight="1" x14ac:dyDescent="0.25">
      <c r="A1331" s="5" t="s">
        <v>4746</v>
      </c>
      <c r="B1331" s="6" t="s">
        <v>4563</v>
      </c>
      <c r="C1331" s="6" t="s">
        <v>4636</v>
      </c>
      <c r="D1331" s="6" t="s">
        <v>4742</v>
      </c>
      <c r="E1331" s="6" t="s">
        <v>4747</v>
      </c>
      <c r="F1331" s="6" t="s">
        <v>4748</v>
      </c>
      <c r="G1331" s="9" t="s">
        <v>4749</v>
      </c>
      <c r="H1331" s="9" t="s">
        <v>18</v>
      </c>
      <c r="I1331" s="16" t="str">
        <f>VLOOKUP(F1331,[1]完整分类结果!$E:$G,3,0)</f>
        <v>化学原料及化学制品制造业</v>
      </c>
      <c r="J1331" s="16">
        <f>VLOOKUP(I1331,[2]行业排放因子!$A:$B,2,0)</f>
        <v>82.521245753925498</v>
      </c>
      <c r="K1331" s="9" t="s">
        <v>756</v>
      </c>
    </row>
    <row r="1332" spans="1:11" ht="12.5" customHeight="1" x14ac:dyDescent="0.25">
      <c r="A1332" s="5" t="s">
        <v>4750</v>
      </c>
      <c r="B1332" s="6" t="s">
        <v>4563</v>
      </c>
      <c r="C1332" s="6" t="s">
        <v>4636</v>
      </c>
      <c r="D1332" s="6" t="s">
        <v>4742</v>
      </c>
      <c r="E1332" s="6" t="s">
        <v>4751</v>
      </c>
      <c r="F1332" s="6" t="s">
        <v>4752</v>
      </c>
      <c r="G1332" s="9"/>
      <c r="H1332" s="9" t="s">
        <v>18</v>
      </c>
      <c r="I1332" s="16" t="str">
        <f>VLOOKUP(F1332,[1]完整分类结果!$E:$G,3,0)</f>
        <v>化学原料及化学制品制造业</v>
      </c>
      <c r="J1332" s="16">
        <f>VLOOKUP(I1332,[2]行业排放因子!$A:$B,2,0)</f>
        <v>82.521245753925498</v>
      </c>
      <c r="K1332" s="9" t="s">
        <v>756</v>
      </c>
    </row>
    <row r="1333" spans="1:11" ht="12.5" customHeight="1" x14ac:dyDescent="0.25">
      <c r="A1333" s="5" t="s">
        <v>4753</v>
      </c>
      <c r="B1333" s="6" t="s">
        <v>4563</v>
      </c>
      <c r="C1333" s="6" t="s">
        <v>4636</v>
      </c>
      <c r="D1333" s="6" t="s">
        <v>4742</v>
      </c>
      <c r="E1333" s="6" t="s">
        <v>4754</v>
      </c>
      <c r="F1333" s="6" t="s">
        <v>4755</v>
      </c>
      <c r="G1333" s="9"/>
      <c r="H1333" s="9" t="s">
        <v>18</v>
      </c>
      <c r="I1333" s="16" t="str">
        <f>VLOOKUP(F1333,[1]完整分类结果!$E:$G,3,0)</f>
        <v>化学原料及化学制品制造业</v>
      </c>
      <c r="J1333" s="16">
        <f>VLOOKUP(I1333,[2]行业排放因子!$A:$B,2,0)</f>
        <v>82.521245753925498</v>
      </c>
      <c r="K1333" s="9" t="s">
        <v>756</v>
      </c>
    </row>
    <row r="1334" spans="1:11" ht="12.5" customHeight="1" x14ac:dyDescent="0.25">
      <c r="A1334" s="5" t="s">
        <v>4756</v>
      </c>
      <c r="B1334" s="6" t="s">
        <v>4563</v>
      </c>
      <c r="C1334" s="6" t="s">
        <v>4636</v>
      </c>
      <c r="D1334" s="6" t="s">
        <v>4742</v>
      </c>
      <c r="E1334" s="6" t="s">
        <v>4757</v>
      </c>
      <c r="F1334" s="6" t="s">
        <v>4758</v>
      </c>
      <c r="G1334" s="9"/>
      <c r="H1334" s="9" t="s">
        <v>18</v>
      </c>
      <c r="I1334" s="16" t="str">
        <f>VLOOKUP(F1334,[1]完整分类结果!$E:$G,3,0)</f>
        <v>化学原料及化学制品制造业</v>
      </c>
      <c r="J1334" s="16">
        <f>VLOOKUP(I1334,[2]行业排放因子!$A:$B,2,0)</f>
        <v>82.521245753925498</v>
      </c>
      <c r="K1334" s="9" t="s">
        <v>756</v>
      </c>
    </row>
    <row r="1335" spans="1:11" ht="12.5" customHeight="1" x14ac:dyDescent="0.25">
      <c r="A1335" s="5" t="s">
        <v>4759</v>
      </c>
      <c r="B1335" s="6" t="s">
        <v>4563</v>
      </c>
      <c r="C1335" s="6" t="s">
        <v>4636</v>
      </c>
      <c r="D1335" s="6" t="s">
        <v>4742</v>
      </c>
      <c r="E1335" s="6" t="s">
        <v>4760</v>
      </c>
      <c r="F1335" s="6" t="s">
        <v>4761</v>
      </c>
      <c r="G1335" s="9" t="s">
        <v>4762</v>
      </c>
      <c r="H1335" s="9" t="s">
        <v>18</v>
      </c>
      <c r="I1335" s="16" t="str">
        <f>VLOOKUP(F1335,[1]完整分类结果!$E:$G,3,0)</f>
        <v>化学原料及化学制品制造业</v>
      </c>
      <c r="J1335" s="16">
        <f>VLOOKUP(I1335,[2]行业排放因子!$A:$B,2,0)</f>
        <v>82.521245753925498</v>
      </c>
      <c r="K1335" s="9" t="s">
        <v>756</v>
      </c>
    </row>
    <row r="1336" spans="1:11" ht="12.5" customHeight="1" x14ac:dyDescent="0.25">
      <c r="A1336" s="5" t="s">
        <v>4763</v>
      </c>
      <c r="B1336" s="6" t="s">
        <v>4563</v>
      </c>
      <c r="C1336" s="6" t="s">
        <v>4636</v>
      </c>
      <c r="D1336" s="6" t="s">
        <v>4742</v>
      </c>
      <c r="E1336" s="6" t="s">
        <v>4764</v>
      </c>
      <c r="F1336" s="6" t="s">
        <v>4765</v>
      </c>
      <c r="G1336" s="9"/>
      <c r="H1336" s="9" t="s">
        <v>18</v>
      </c>
      <c r="I1336" s="16" t="str">
        <f>VLOOKUP(F1336,[1]完整分类结果!$E:$G,3,0)</f>
        <v>化学原料及化学制品制造业</v>
      </c>
      <c r="J1336" s="16">
        <f>VLOOKUP(I1336,[2]行业排放因子!$A:$B,2,0)</f>
        <v>82.521245753925498</v>
      </c>
      <c r="K1336" s="9" t="s">
        <v>756</v>
      </c>
    </row>
    <row r="1337" spans="1:11" ht="12.5" customHeight="1" x14ac:dyDescent="0.25">
      <c r="A1337" s="5" t="s">
        <v>4766</v>
      </c>
      <c r="B1337" s="6" t="s">
        <v>4563</v>
      </c>
      <c r="C1337" s="6" t="s">
        <v>4636</v>
      </c>
      <c r="D1337" s="6" t="s">
        <v>4742</v>
      </c>
      <c r="E1337" s="6" t="s">
        <v>4767</v>
      </c>
      <c r="F1337" s="6" t="s">
        <v>4768</v>
      </c>
      <c r="G1337" s="9" t="s">
        <v>4769</v>
      </c>
      <c r="H1337" s="9" t="s">
        <v>18</v>
      </c>
      <c r="I1337" s="16" t="str">
        <f>VLOOKUP(F1337,[1]完整分类结果!$E:$G,3,0)</f>
        <v>化学原料及化学制品制造业</v>
      </c>
      <c r="J1337" s="16">
        <f>VLOOKUP(I1337,[2]行业排放因子!$A:$B,2,0)</f>
        <v>82.521245753925498</v>
      </c>
      <c r="K1337" s="9" t="s">
        <v>756</v>
      </c>
    </row>
    <row r="1338" spans="1:11" ht="12.5" customHeight="1" x14ac:dyDescent="0.25">
      <c r="A1338" s="5" t="s">
        <v>4770</v>
      </c>
      <c r="B1338" s="6" t="s">
        <v>4563</v>
      </c>
      <c r="C1338" s="6" t="s">
        <v>4636</v>
      </c>
      <c r="D1338" s="6" t="s">
        <v>4742</v>
      </c>
      <c r="E1338" s="6" t="s">
        <v>4771</v>
      </c>
      <c r="F1338" s="6" t="s">
        <v>4772</v>
      </c>
      <c r="G1338" s="9" t="s">
        <v>4773</v>
      </c>
      <c r="H1338" s="9" t="s">
        <v>18</v>
      </c>
      <c r="I1338" s="16" t="str">
        <f>VLOOKUP(F1338,[1]完整分类结果!$E:$G,3,0)</f>
        <v>化学原料及化学制品制造业</v>
      </c>
      <c r="J1338" s="16">
        <f>VLOOKUP(I1338,[2]行业排放因子!$A:$B,2,0)</f>
        <v>82.521245753925498</v>
      </c>
      <c r="K1338" s="9" t="s">
        <v>756</v>
      </c>
    </row>
    <row r="1339" spans="1:11" ht="12.5" customHeight="1" x14ac:dyDescent="0.25">
      <c r="A1339" s="5" t="s">
        <v>4774</v>
      </c>
      <c r="B1339" s="6" t="s">
        <v>4563</v>
      </c>
      <c r="C1339" s="6" t="s">
        <v>4636</v>
      </c>
      <c r="D1339" s="6" t="s">
        <v>4742</v>
      </c>
      <c r="E1339" s="6" t="s">
        <v>4775</v>
      </c>
      <c r="F1339" s="6" t="s">
        <v>4776</v>
      </c>
      <c r="G1339" s="9"/>
      <c r="H1339" s="9" t="s">
        <v>18</v>
      </c>
      <c r="I1339" s="16" t="str">
        <f>VLOOKUP(F1339,[1]完整分类结果!$E:$G,3,0)</f>
        <v>化学原料及化学制品制造业</v>
      </c>
      <c r="J1339" s="16">
        <f>VLOOKUP(I1339,[2]行业排放因子!$A:$B,2,0)</f>
        <v>82.521245753925498</v>
      </c>
      <c r="K1339" s="9" t="s">
        <v>756</v>
      </c>
    </row>
    <row r="1340" spans="1:11" ht="12.5" customHeight="1" x14ac:dyDescent="0.25">
      <c r="A1340" s="5" t="s">
        <v>4777</v>
      </c>
      <c r="B1340" s="6" t="s">
        <v>4563</v>
      </c>
      <c r="C1340" s="6" t="s">
        <v>4636</v>
      </c>
      <c r="D1340" s="6" t="s">
        <v>4742</v>
      </c>
      <c r="E1340" s="6" t="s">
        <v>4778</v>
      </c>
      <c r="F1340" s="6" t="s">
        <v>4779</v>
      </c>
      <c r="G1340" s="9" t="s">
        <v>4780</v>
      </c>
      <c r="H1340" s="9" t="s">
        <v>18</v>
      </c>
      <c r="I1340" s="16" t="str">
        <f>VLOOKUP(F1340,[1]完整分类结果!$E:$G,3,0)</f>
        <v>化学原料及化学制品制造业</v>
      </c>
      <c r="J1340" s="16">
        <f>VLOOKUP(I1340,[2]行业排放因子!$A:$B,2,0)</f>
        <v>82.521245753925498</v>
      </c>
      <c r="K1340" s="9" t="s">
        <v>756</v>
      </c>
    </row>
    <row r="1341" spans="1:11" ht="12.5" customHeight="1" x14ac:dyDescent="0.25">
      <c r="A1341" s="5" t="s">
        <v>4781</v>
      </c>
      <c r="B1341" s="6" t="s">
        <v>4563</v>
      </c>
      <c r="C1341" s="6" t="s">
        <v>4636</v>
      </c>
      <c r="D1341" s="6" t="s">
        <v>4742</v>
      </c>
      <c r="E1341" s="6" t="s">
        <v>4782</v>
      </c>
      <c r="F1341" s="6" t="s">
        <v>4783</v>
      </c>
      <c r="G1341" s="9" t="s">
        <v>4784</v>
      </c>
      <c r="H1341" s="9" t="s">
        <v>18</v>
      </c>
      <c r="I1341" s="16" t="str">
        <f>VLOOKUP(F1341,[1]完整分类结果!$E:$G,3,0)</f>
        <v>化学原料及化学制品制造业</v>
      </c>
      <c r="J1341" s="16">
        <f>VLOOKUP(I1341,[2]行业排放因子!$A:$B,2,0)</f>
        <v>82.521245753925498</v>
      </c>
      <c r="K1341" s="9" t="s">
        <v>756</v>
      </c>
    </row>
    <row r="1342" spans="1:11" ht="12.5" customHeight="1" x14ac:dyDescent="0.25">
      <c r="A1342" s="5" t="s">
        <v>4785</v>
      </c>
      <c r="B1342" s="6" t="s">
        <v>4563</v>
      </c>
      <c r="C1342" s="6" t="s">
        <v>4636</v>
      </c>
      <c r="D1342" s="6" t="s">
        <v>4742</v>
      </c>
      <c r="E1342" s="6" t="s">
        <v>4786</v>
      </c>
      <c r="F1342" s="6" t="s">
        <v>4787</v>
      </c>
      <c r="G1342" s="9" t="s">
        <v>4788</v>
      </c>
      <c r="H1342" s="9" t="s">
        <v>18</v>
      </c>
      <c r="I1342" s="16" t="str">
        <f>VLOOKUP(F1342,[1]完整分类结果!$E:$G,3,0)</f>
        <v>化学原料及化学制品制造业</v>
      </c>
      <c r="J1342" s="16">
        <f>VLOOKUP(I1342,[2]行业排放因子!$A:$B,2,0)</f>
        <v>82.521245753925498</v>
      </c>
      <c r="K1342" s="9" t="s">
        <v>756</v>
      </c>
    </row>
    <row r="1343" spans="1:11" ht="12.5" customHeight="1" x14ac:dyDescent="0.25">
      <c r="A1343" s="5" t="s">
        <v>4789</v>
      </c>
      <c r="B1343" s="6" t="s">
        <v>4563</v>
      </c>
      <c r="C1343" s="6" t="s">
        <v>4636</v>
      </c>
      <c r="D1343" s="6" t="s">
        <v>4742</v>
      </c>
      <c r="E1343" s="6" t="s">
        <v>4790</v>
      </c>
      <c r="F1343" s="6" t="s">
        <v>4791</v>
      </c>
      <c r="G1343" s="9" t="s">
        <v>4792</v>
      </c>
      <c r="H1343" s="9" t="s">
        <v>18</v>
      </c>
      <c r="I1343" s="16" t="str">
        <f>VLOOKUP(F1343,[1]完整分类结果!$E:$G,3,0)</f>
        <v>化学原料及化学制品制造业</v>
      </c>
      <c r="J1343" s="16">
        <f>VLOOKUP(I1343,[2]行业排放因子!$A:$B,2,0)</f>
        <v>82.521245753925498</v>
      </c>
      <c r="K1343" s="9" t="s">
        <v>756</v>
      </c>
    </row>
    <row r="1344" spans="1:11" ht="12.5" customHeight="1" x14ac:dyDescent="0.25">
      <c r="A1344" s="5" t="s">
        <v>4793</v>
      </c>
      <c r="B1344" s="6" t="s">
        <v>4563</v>
      </c>
      <c r="C1344" s="6" t="s">
        <v>4636</v>
      </c>
      <c r="D1344" s="6" t="s">
        <v>4742</v>
      </c>
      <c r="E1344" s="6" t="s">
        <v>4794</v>
      </c>
      <c r="F1344" s="6" t="s">
        <v>4795</v>
      </c>
      <c r="G1344" s="9" t="s">
        <v>4796</v>
      </c>
      <c r="H1344" s="9" t="s">
        <v>18</v>
      </c>
      <c r="I1344" s="16" t="str">
        <f>VLOOKUP(F1344,[1]完整分类结果!$E:$G,3,0)</f>
        <v>化学原料及化学制品制造业</v>
      </c>
      <c r="J1344" s="16">
        <f>VLOOKUP(I1344,[2]行业排放因子!$A:$B,2,0)</f>
        <v>82.521245753925498</v>
      </c>
      <c r="K1344" s="9" t="s">
        <v>756</v>
      </c>
    </row>
    <row r="1345" spans="1:11" ht="12.5" customHeight="1" x14ac:dyDescent="0.25">
      <c r="A1345" s="5" t="s">
        <v>4797</v>
      </c>
      <c r="B1345" s="6" t="s">
        <v>4563</v>
      </c>
      <c r="C1345" s="6" t="s">
        <v>4636</v>
      </c>
      <c r="D1345" s="6" t="s">
        <v>4742</v>
      </c>
      <c r="E1345" s="6" t="s">
        <v>4798</v>
      </c>
      <c r="F1345" s="6" t="s">
        <v>4799</v>
      </c>
      <c r="G1345" s="9" t="s">
        <v>4800</v>
      </c>
      <c r="H1345" s="9" t="s">
        <v>18</v>
      </c>
      <c r="I1345" s="16" t="str">
        <f>VLOOKUP(F1345,[1]完整分类结果!$E:$G,3,0)</f>
        <v>化学原料及化学制品制造业</v>
      </c>
      <c r="J1345" s="16">
        <f>VLOOKUP(I1345,[2]行业排放因子!$A:$B,2,0)</f>
        <v>82.521245753925498</v>
      </c>
      <c r="K1345" s="9" t="s">
        <v>756</v>
      </c>
    </row>
    <row r="1346" spans="1:11" ht="12.5" customHeight="1" x14ac:dyDescent="0.25">
      <c r="A1346" s="5" t="s">
        <v>4801</v>
      </c>
      <c r="B1346" s="6" t="s">
        <v>4563</v>
      </c>
      <c r="C1346" s="6" t="s">
        <v>4636</v>
      </c>
      <c r="D1346" s="6" t="s">
        <v>4742</v>
      </c>
      <c r="E1346" s="6" t="s">
        <v>4802</v>
      </c>
      <c r="F1346" s="6" t="s">
        <v>4803</v>
      </c>
      <c r="G1346" s="9" t="s">
        <v>4804</v>
      </c>
      <c r="H1346" s="9" t="s">
        <v>18</v>
      </c>
      <c r="I1346" s="16" t="str">
        <f>VLOOKUP(F1346,[1]完整分类结果!$E:$G,3,0)</f>
        <v>化学原料及化学制品制造业</v>
      </c>
      <c r="J1346" s="16">
        <f>VLOOKUP(I1346,[2]行业排放因子!$A:$B,2,0)</f>
        <v>82.521245753925498</v>
      </c>
      <c r="K1346" s="9" t="s">
        <v>756</v>
      </c>
    </row>
    <row r="1347" spans="1:11" ht="12.5" customHeight="1" x14ac:dyDescent="0.25">
      <c r="A1347" s="5" t="s">
        <v>4805</v>
      </c>
      <c r="B1347" s="6" t="s">
        <v>4563</v>
      </c>
      <c r="C1347" s="6" t="s">
        <v>4636</v>
      </c>
      <c r="D1347" s="6" t="s">
        <v>4742</v>
      </c>
      <c r="E1347" s="6" t="s">
        <v>4806</v>
      </c>
      <c r="F1347" s="6" t="s">
        <v>4807</v>
      </c>
      <c r="G1347" s="9" t="s">
        <v>4808</v>
      </c>
      <c r="H1347" s="9" t="s">
        <v>18</v>
      </c>
      <c r="I1347" s="16" t="str">
        <f>VLOOKUP(F1347,[1]完整分类结果!$E:$G,3,0)</f>
        <v>化学原料及化学制品制造业</v>
      </c>
      <c r="J1347" s="16">
        <f>VLOOKUP(I1347,[2]行业排放因子!$A:$B,2,0)</f>
        <v>82.521245753925498</v>
      </c>
      <c r="K1347" s="9" t="s">
        <v>756</v>
      </c>
    </row>
    <row r="1348" spans="1:11" ht="12.5" customHeight="1" x14ac:dyDescent="0.25">
      <c r="A1348" s="5" t="s">
        <v>4809</v>
      </c>
      <c r="B1348" s="6" t="s">
        <v>4563</v>
      </c>
      <c r="C1348" s="6" t="s">
        <v>4636</v>
      </c>
      <c r="D1348" s="6" t="s">
        <v>4742</v>
      </c>
      <c r="E1348" s="6" t="s">
        <v>4810</v>
      </c>
      <c r="F1348" s="6" t="s">
        <v>4811</v>
      </c>
      <c r="G1348" s="9" t="s">
        <v>4812</v>
      </c>
      <c r="H1348" s="9" t="s">
        <v>18</v>
      </c>
      <c r="I1348" s="16" t="str">
        <f>VLOOKUP(F1348,[1]完整分类结果!$E:$G,3,0)</f>
        <v>化学原料及化学制品制造业</v>
      </c>
      <c r="J1348" s="16">
        <f>VLOOKUP(I1348,[2]行业排放因子!$A:$B,2,0)</f>
        <v>82.521245753925498</v>
      </c>
      <c r="K1348" s="9" t="s">
        <v>756</v>
      </c>
    </row>
    <row r="1349" spans="1:11" ht="12.5" customHeight="1" x14ac:dyDescent="0.25">
      <c r="A1349" s="5" t="s">
        <v>4813</v>
      </c>
      <c r="B1349" s="6" t="s">
        <v>4563</v>
      </c>
      <c r="C1349" s="6" t="s">
        <v>4636</v>
      </c>
      <c r="D1349" s="6" t="s">
        <v>4742</v>
      </c>
      <c r="E1349" s="6" t="s">
        <v>4814</v>
      </c>
      <c r="F1349" s="6" t="s">
        <v>4815</v>
      </c>
      <c r="G1349" s="9" t="s">
        <v>4816</v>
      </c>
      <c r="H1349" s="9" t="s">
        <v>18</v>
      </c>
      <c r="I1349" s="16" t="str">
        <f>VLOOKUP(F1349,[1]完整分类结果!$E:$G,3,0)</f>
        <v>化学原料及化学制品制造业</v>
      </c>
      <c r="J1349" s="16">
        <f>VLOOKUP(I1349,[2]行业排放因子!$A:$B,2,0)</f>
        <v>82.521245753925498</v>
      </c>
      <c r="K1349" s="9" t="s">
        <v>756</v>
      </c>
    </row>
    <row r="1350" spans="1:11" ht="12.5" customHeight="1" x14ac:dyDescent="0.25">
      <c r="A1350" s="5" t="s">
        <v>4817</v>
      </c>
      <c r="B1350" s="6" t="s">
        <v>4563</v>
      </c>
      <c r="C1350" s="6" t="s">
        <v>4636</v>
      </c>
      <c r="D1350" s="6" t="s">
        <v>4742</v>
      </c>
      <c r="E1350" s="6" t="s">
        <v>4818</v>
      </c>
      <c r="F1350" s="6" t="s">
        <v>4819</v>
      </c>
      <c r="G1350" s="9" t="s">
        <v>4820</v>
      </c>
      <c r="H1350" s="9" t="s">
        <v>18</v>
      </c>
      <c r="I1350" s="16" t="str">
        <f>VLOOKUP(F1350,[1]完整分类结果!$E:$G,3,0)</f>
        <v>化学原料及化学制品制造业</v>
      </c>
      <c r="J1350" s="16">
        <f>VLOOKUP(I1350,[2]行业排放因子!$A:$B,2,0)</f>
        <v>82.521245753925498</v>
      </c>
      <c r="K1350" s="9" t="s">
        <v>756</v>
      </c>
    </row>
    <row r="1351" spans="1:11" ht="12.5" customHeight="1" x14ac:dyDescent="0.25">
      <c r="A1351" s="5" t="s">
        <v>4821</v>
      </c>
      <c r="B1351" s="6" t="s">
        <v>4563</v>
      </c>
      <c r="C1351" s="6" t="s">
        <v>4636</v>
      </c>
      <c r="D1351" s="6" t="s">
        <v>4742</v>
      </c>
      <c r="E1351" s="6" t="s">
        <v>4822</v>
      </c>
      <c r="F1351" s="6" t="s">
        <v>4823</v>
      </c>
      <c r="G1351" s="9" t="s">
        <v>4824</v>
      </c>
      <c r="H1351" s="9" t="s">
        <v>18</v>
      </c>
      <c r="I1351" s="16" t="str">
        <f>VLOOKUP(F1351,[1]完整分类结果!$E:$G,3,0)</f>
        <v>化学原料及化学制品制造业</v>
      </c>
      <c r="J1351" s="16">
        <f>VLOOKUP(I1351,[2]行业排放因子!$A:$B,2,0)</f>
        <v>82.521245753925498</v>
      </c>
      <c r="K1351" s="9" t="s">
        <v>756</v>
      </c>
    </row>
    <row r="1352" spans="1:11" ht="12.5" customHeight="1" x14ac:dyDescent="0.25">
      <c r="A1352" s="5" t="s">
        <v>4825</v>
      </c>
      <c r="B1352" s="6" t="s">
        <v>4563</v>
      </c>
      <c r="C1352" s="6" t="s">
        <v>4636</v>
      </c>
      <c r="D1352" s="6" t="s">
        <v>4742</v>
      </c>
      <c r="E1352" s="6" t="s">
        <v>4826</v>
      </c>
      <c r="F1352" s="6" t="s">
        <v>4827</v>
      </c>
      <c r="G1352" s="9" t="s">
        <v>4828</v>
      </c>
      <c r="H1352" s="9" t="s">
        <v>18</v>
      </c>
      <c r="I1352" s="16" t="str">
        <f>VLOOKUP(F1352,[1]完整分类结果!$E:$G,3,0)</f>
        <v>化学原料及化学制品制造业</v>
      </c>
      <c r="J1352" s="16">
        <f>VLOOKUP(I1352,[2]行业排放因子!$A:$B,2,0)</f>
        <v>82.521245753925498</v>
      </c>
      <c r="K1352" s="9" t="s">
        <v>756</v>
      </c>
    </row>
    <row r="1353" spans="1:11" ht="12.5" customHeight="1" x14ac:dyDescent="0.25">
      <c r="A1353" s="5" t="s">
        <v>4829</v>
      </c>
      <c r="B1353" s="6" t="s">
        <v>4563</v>
      </c>
      <c r="C1353" s="6" t="s">
        <v>4636</v>
      </c>
      <c r="D1353" s="6" t="s">
        <v>4742</v>
      </c>
      <c r="E1353" s="6" t="s">
        <v>4830</v>
      </c>
      <c r="F1353" s="6" t="s">
        <v>4831</v>
      </c>
      <c r="G1353" s="9" t="s">
        <v>4832</v>
      </c>
      <c r="H1353" s="9" t="s">
        <v>18</v>
      </c>
      <c r="I1353" s="16" t="str">
        <f>VLOOKUP(F1353,[1]完整分类结果!$E:$G,3,0)</f>
        <v>化学原料及化学制品制造业</v>
      </c>
      <c r="J1353" s="16">
        <f>VLOOKUP(I1353,[2]行业排放因子!$A:$B,2,0)</f>
        <v>82.521245753925498</v>
      </c>
      <c r="K1353" s="9" t="s">
        <v>756</v>
      </c>
    </row>
    <row r="1354" spans="1:11" ht="12.5" customHeight="1" x14ac:dyDescent="0.25">
      <c r="A1354" s="5" t="s">
        <v>4833</v>
      </c>
      <c r="B1354" s="6" t="s">
        <v>4563</v>
      </c>
      <c r="C1354" s="6" t="s">
        <v>4636</v>
      </c>
      <c r="D1354" s="6" t="s">
        <v>4742</v>
      </c>
      <c r="E1354" s="6" t="s">
        <v>4834</v>
      </c>
      <c r="F1354" s="6" t="s">
        <v>4835</v>
      </c>
      <c r="G1354" s="9" t="s">
        <v>4836</v>
      </c>
      <c r="H1354" s="9" t="s">
        <v>18</v>
      </c>
      <c r="I1354" s="16" t="str">
        <f>VLOOKUP(F1354,[1]完整分类结果!$E:$G,3,0)</f>
        <v>化学原料及化学制品制造业</v>
      </c>
      <c r="J1354" s="16">
        <f>VLOOKUP(I1354,[2]行业排放因子!$A:$B,2,0)</f>
        <v>82.521245753925498</v>
      </c>
      <c r="K1354" s="9" t="s">
        <v>756</v>
      </c>
    </row>
    <row r="1355" spans="1:11" ht="12.5" customHeight="1" x14ac:dyDescent="0.25">
      <c r="A1355" s="5" t="s">
        <v>4837</v>
      </c>
      <c r="B1355" s="6" t="s">
        <v>4563</v>
      </c>
      <c r="C1355" s="6" t="s">
        <v>4636</v>
      </c>
      <c r="D1355" s="6" t="s">
        <v>4742</v>
      </c>
      <c r="E1355" s="6" t="s">
        <v>4838</v>
      </c>
      <c r="F1355" s="6" t="s">
        <v>4839</v>
      </c>
      <c r="G1355" s="9" t="s">
        <v>4840</v>
      </c>
      <c r="H1355" s="9" t="s">
        <v>18</v>
      </c>
      <c r="I1355" s="16" t="str">
        <f>VLOOKUP(F1355,[1]完整分类结果!$E:$G,3,0)</f>
        <v>化学原料及化学制品制造业</v>
      </c>
      <c r="J1355" s="16">
        <f>VLOOKUP(I1355,[2]行业排放因子!$A:$B,2,0)</f>
        <v>82.521245753925498</v>
      </c>
      <c r="K1355" s="9" t="s">
        <v>756</v>
      </c>
    </row>
    <row r="1356" spans="1:11" ht="12.5" customHeight="1" x14ac:dyDescent="0.25">
      <c r="A1356" s="5" t="s">
        <v>4841</v>
      </c>
      <c r="B1356" s="6" t="s">
        <v>4563</v>
      </c>
      <c r="C1356" s="6" t="s">
        <v>4636</v>
      </c>
      <c r="D1356" s="6" t="s">
        <v>4742</v>
      </c>
      <c r="E1356" s="6" t="s">
        <v>4842</v>
      </c>
      <c r="F1356" s="6" t="s">
        <v>4843</v>
      </c>
      <c r="G1356" s="9" t="s">
        <v>4844</v>
      </c>
      <c r="H1356" s="9" t="s">
        <v>18</v>
      </c>
      <c r="I1356" s="16" t="str">
        <f>VLOOKUP(F1356,[1]完整分类结果!$E:$G,3,0)</f>
        <v>化学原料及化学制品制造业</v>
      </c>
      <c r="J1356" s="16">
        <f>VLOOKUP(I1356,[2]行业排放因子!$A:$B,2,0)</f>
        <v>82.521245753925498</v>
      </c>
      <c r="K1356" s="9" t="s">
        <v>756</v>
      </c>
    </row>
    <row r="1357" spans="1:11" ht="12.5" customHeight="1" x14ac:dyDescent="0.25">
      <c r="A1357" s="5" t="s">
        <v>4845</v>
      </c>
      <c r="B1357" s="6" t="s">
        <v>4563</v>
      </c>
      <c r="C1357" s="6" t="s">
        <v>4636</v>
      </c>
      <c r="D1357" s="6" t="s">
        <v>4742</v>
      </c>
      <c r="E1357" s="6" t="s">
        <v>4846</v>
      </c>
      <c r="F1357" s="6" t="s">
        <v>4847</v>
      </c>
      <c r="G1357" s="9" t="s">
        <v>4848</v>
      </c>
      <c r="H1357" s="9" t="s">
        <v>18</v>
      </c>
      <c r="I1357" s="16" t="str">
        <f>VLOOKUP(F1357,[1]完整分类结果!$E:$G,3,0)</f>
        <v>化学原料及化学制品制造业</v>
      </c>
      <c r="J1357" s="16">
        <f>VLOOKUP(I1357,[2]行业排放因子!$A:$B,2,0)</f>
        <v>82.521245753925498</v>
      </c>
      <c r="K1357" s="9" t="s">
        <v>756</v>
      </c>
    </row>
    <row r="1358" spans="1:11" ht="12.5" customHeight="1" x14ac:dyDescent="0.25">
      <c r="A1358" s="5" t="s">
        <v>4849</v>
      </c>
      <c r="B1358" s="6" t="s">
        <v>4563</v>
      </c>
      <c r="C1358" s="6" t="s">
        <v>4636</v>
      </c>
      <c r="D1358" s="6" t="s">
        <v>4742</v>
      </c>
      <c r="E1358" s="6" t="s">
        <v>4850</v>
      </c>
      <c r="F1358" s="6" t="s">
        <v>4851</v>
      </c>
      <c r="G1358" s="9" t="s">
        <v>4852</v>
      </c>
      <c r="H1358" s="9" t="s">
        <v>18</v>
      </c>
      <c r="I1358" s="16" t="str">
        <f>VLOOKUP(F1358,[1]完整分类结果!$E:$G,3,0)</f>
        <v>化学原料及化学制品制造业</v>
      </c>
      <c r="J1358" s="16">
        <f>VLOOKUP(I1358,[2]行业排放因子!$A:$B,2,0)</f>
        <v>82.521245753925498</v>
      </c>
      <c r="K1358" s="9" t="s">
        <v>756</v>
      </c>
    </row>
    <row r="1359" spans="1:11" ht="12.5" customHeight="1" x14ac:dyDescent="0.25">
      <c r="A1359" s="5" t="s">
        <v>4853</v>
      </c>
      <c r="B1359" s="6" t="s">
        <v>4563</v>
      </c>
      <c r="C1359" s="6" t="s">
        <v>4636</v>
      </c>
      <c r="D1359" s="6" t="s">
        <v>4742</v>
      </c>
      <c r="E1359" s="6" t="s">
        <v>4854</v>
      </c>
      <c r="F1359" s="6" t="s">
        <v>4855</v>
      </c>
      <c r="G1359" s="9" t="s">
        <v>4856</v>
      </c>
      <c r="H1359" s="9" t="s">
        <v>18</v>
      </c>
      <c r="I1359" s="16" t="str">
        <f>VLOOKUP(F1359,[1]完整分类结果!$E:$G,3,0)</f>
        <v>化学原料及化学制品制造业</v>
      </c>
      <c r="J1359" s="16">
        <f>VLOOKUP(I1359,[2]行业排放因子!$A:$B,2,0)</f>
        <v>82.521245753925498</v>
      </c>
      <c r="K1359" s="9" t="s">
        <v>756</v>
      </c>
    </row>
    <row r="1360" spans="1:11" ht="12.5" customHeight="1" x14ac:dyDescent="0.25">
      <c r="A1360" s="5" t="s">
        <v>4857</v>
      </c>
      <c r="B1360" s="6" t="s">
        <v>4563</v>
      </c>
      <c r="C1360" s="6" t="s">
        <v>4636</v>
      </c>
      <c r="D1360" s="6" t="s">
        <v>4742</v>
      </c>
      <c r="E1360" s="6" t="s">
        <v>4858</v>
      </c>
      <c r="F1360" s="6" t="s">
        <v>4859</v>
      </c>
      <c r="G1360" s="9" t="s">
        <v>4860</v>
      </c>
      <c r="H1360" s="9" t="s">
        <v>18</v>
      </c>
      <c r="I1360" s="16" t="str">
        <f>VLOOKUP(F1360,[1]完整分类结果!$E:$G,3,0)</f>
        <v>化学原料及化学制品制造业</v>
      </c>
      <c r="J1360" s="16">
        <f>VLOOKUP(I1360,[2]行业排放因子!$A:$B,2,0)</f>
        <v>82.521245753925498</v>
      </c>
      <c r="K1360" s="9" t="s">
        <v>756</v>
      </c>
    </row>
    <row r="1361" spans="1:11" ht="12.5" customHeight="1" x14ac:dyDescent="0.25">
      <c r="A1361" s="5" t="s">
        <v>4861</v>
      </c>
      <c r="B1361" s="6" t="s">
        <v>4563</v>
      </c>
      <c r="C1361" s="6" t="s">
        <v>4636</v>
      </c>
      <c r="D1361" s="6" t="s">
        <v>4742</v>
      </c>
      <c r="E1361" s="6" t="s">
        <v>4862</v>
      </c>
      <c r="F1361" s="6" t="s">
        <v>4863</v>
      </c>
      <c r="G1361" s="9" t="s">
        <v>4864</v>
      </c>
      <c r="H1361" s="9" t="s">
        <v>18</v>
      </c>
      <c r="I1361" s="16" t="str">
        <f>VLOOKUP(F1361,[1]完整分类结果!$E:$G,3,0)</f>
        <v>化学原料及化学制品制造业</v>
      </c>
      <c r="J1361" s="16">
        <f>VLOOKUP(I1361,[2]行业排放因子!$A:$B,2,0)</f>
        <v>82.521245753925498</v>
      </c>
      <c r="K1361" s="9" t="s">
        <v>756</v>
      </c>
    </row>
    <row r="1362" spans="1:11" ht="12.5" customHeight="1" x14ac:dyDescent="0.25">
      <c r="A1362" s="5" t="s">
        <v>4865</v>
      </c>
      <c r="B1362" s="6" t="s">
        <v>4563</v>
      </c>
      <c r="C1362" s="6" t="s">
        <v>4636</v>
      </c>
      <c r="D1362" s="6" t="s">
        <v>4742</v>
      </c>
      <c r="E1362" s="6" t="s">
        <v>4866</v>
      </c>
      <c r="F1362" s="6" t="s">
        <v>4867</v>
      </c>
      <c r="G1362" s="9" t="s">
        <v>4868</v>
      </c>
      <c r="H1362" s="9" t="s">
        <v>18</v>
      </c>
      <c r="I1362" s="16" t="str">
        <f>VLOOKUP(F1362,[1]完整分类结果!$E:$G,3,0)</f>
        <v>化学原料及化学制品制造业</v>
      </c>
      <c r="J1362" s="16">
        <f>VLOOKUP(I1362,[2]行业排放因子!$A:$B,2,0)</f>
        <v>82.521245753925498</v>
      </c>
      <c r="K1362" s="9" t="s">
        <v>756</v>
      </c>
    </row>
    <row r="1363" spans="1:11" ht="12.5" customHeight="1" x14ac:dyDescent="0.25">
      <c r="A1363" s="5" t="s">
        <v>4869</v>
      </c>
      <c r="B1363" s="6" t="s">
        <v>4563</v>
      </c>
      <c r="C1363" s="6" t="s">
        <v>4636</v>
      </c>
      <c r="D1363" s="6" t="s">
        <v>4742</v>
      </c>
      <c r="E1363" s="6" t="s">
        <v>4870</v>
      </c>
      <c r="F1363" s="6" t="s">
        <v>4871</v>
      </c>
      <c r="G1363" s="9"/>
      <c r="H1363" s="9" t="s">
        <v>18</v>
      </c>
      <c r="I1363" s="16" t="str">
        <f>VLOOKUP(F1363,[1]完整分类结果!$E:$G,3,0)</f>
        <v>化学原料及化学制品制造业</v>
      </c>
      <c r="J1363" s="16">
        <f>VLOOKUP(I1363,[2]行业排放因子!$A:$B,2,0)</f>
        <v>82.521245753925498</v>
      </c>
      <c r="K1363" s="9" t="s">
        <v>756</v>
      </c>
    </row>
    <row r="1364" spans="1:11" ht="12.5" customHeight="1" x14ac:dyDescent="0.25">
      <c r="A1364" s="5" t="s">
        <v>4872</v>
      </c>
      <c r="B1364" s="6" t="s">
        <v>4563</v>
      </c>
      <c r="C1364" s="6" t="s">
        <v>4636</v>
      </c>
      <c r="D1364" s="6" t="s">
        <v>4742</v>
      </c>
      <c r="E1364" s="6" t="s">
        <v>4873</v>
      </c>
      <c r="F1364" s="6" t="s">
        <v>4874</v>
      </c>
      <c r="G1364" s="9" t="s">
        <v>4875</v>
      </c>
      <c r="H1364" s="9" t="s">
        <v>18</v>
      </c>
      <c r="I1364" s="16" t="str">
        <f>VLOOKUP(F1364,[1]完整分类结果!$E:$G,3,0)</f>
        <v>化学原料及化学制品制造业</v>
      </c>
      <c r="J1364" s="16">
        <f>VLOOKUP(I1364,[2]行业排放因子!$A:$B,2,0)</f>
        <v>82.521245753925498</v>
      </c>
      <c r="K1364" s="9" t="s">
        <v>756</v>
      </c>
    </row>
    <row r="1365" spans="1:11" ht="12.5" customHeight="1" x14ac:dyDescent="0.25">
      <c r="A1365" s="5" t="s">
        <v>4876</v>
      </c>
      <c r="B1365" s="6" t="s">
        <v>4563</v>
      </c>
      <c r="C1365" s="6" t="s">
        <v>4636</v>
      </c>
      <c r="D1365" s="6" t="s">
        <v>4742</v>
      </c>
      <c r="E1365" s="6" t="s">
        <v>4877</v>
      </c>
      <c r="F1365" s="6" t="s">
        <v>4878</v>
      </c>
      <c r="G1365" s="9" t="s">
        <v>4879</v>
      </c>
      <c r="H1365" s="9" t="s">
        <v>18</v>
      </c>
      <c r="I1365" s="16" t="str">
        <f>VLOOKUP(F1365,[1]完整分类结果!$E:$G,3,0)</f>
        <v>化学原料及化学制品制造业</v>
      </c>
      <c r="J1365" s="16">
        <f>VLOOKUP(I1365,[2]行业排放因子!$A:$B,2,0)</f>
        <v>82.521245753925498</v>
      </c>
      <c r="K1365" s="9" t="s">
        <v>756</v>
      </c>
    </row>
    <row r="1366" spans="1:11" ht="12.5" customHeight="1" x14ac:dyDescent="0.25">
      <c r="A1366" s="5" t="s">
        <v>4880</v>
      </c>
      <c r="B1366" s="6" t="s">
        <v>4563</v>
      </c>
      <c r="C1366" s="6" t="s">
        <v>4636</v>
      </c>
      <c r="D1366" s="6" t="s">
        <v>4742</v>
      </c>
      <c r="E1366" s="6" t="s">
        <v>4881</v>
      </c>
      <c r="F1366" s="6" t="s">
        <v>4882</v>
      </c>
      <c r="G1366" s="9" t="s">
        <v>4883</v>
      </c>
      <c r="H1366" s="9" t="s">
        <v>18</v>
      </c>
      <c r="I1366" s="16" t="str">
        <f>VLOOKUP(F1366,[1]完整分类结果!$E:$G,3,0)</f>
        <v>化学原料及化学制品制造业</v>
      </c>
      <c r="J1366" s="16">
        <f>VLOOKUP(I1366,[2]行业排放因子!$A:$B,2,0)</f>
        <v>82.521245753925498</v>
      </c>
      <c r="K1366" s="9" t="s">
        <v>756</v>
      </c>
    </row>
    <row r="1367" spans="1:11" ht="12.5" customHeight="1" x14ac:dyDescent="0.25">
      <c r="A1367" s="5" t="s">
        <v>4884</v>
      </c>
      <c r="B1367" s="6" t="s">
        <v>4563</v>
      </c>
      <c r="C1367" s="6" t="s">
        <v>4636</v>
      </c>
      <c r="D1367" s="6" t="s">
        <v>4742</v>
      </c>
      <c r="E1367" s="6" t="s">
        <v>4885</v>
      </c>
      <c r="F1367" s="6" t="s">
        <v>4886</v>
      </c>
      <c r="G1367" s="9" t="s">
        <v>4887</v>
      </c>
      <c r="H1367" s="9" t="s">
        <v>18</v>
      </c>
      <c r="I1367" s="16" t="str">
        <f>VLOOKUP(F1367,[1]完整分类结果!$E:$G,3,0)</f>
        <v>化学原料及化学制品制造业</v>
      </c>
      <c r="J1367" s="16">
        <f>VLOOKUP(I1367,[2]行业排放因子!$A:$B,2,0)</f>
        <v>82.521245753925498</v>
      </c>
      <c r="K1367" s="9" t="s">
        <v>756</v>
      </c>
    </row>
    <row r="1368" spans="1:11" ht="12.5" customHeight="1" x14ac:dyDescent="0.25">
      <c r="A1368" s="5" t="s">
        <v>4888</v>
      </c>
      <c r="B1368" s="6" t="s">
        <v>4563</v>
      </c>
      <c r="C1368" s="6" t="s">
        <v>4636</v>
      </c>
      <c r="D1368" s="6" t="s">
        <v>4742</v>
      </c>
      <c r="E1368" s="6" t="s">
        <v>4889</v>
      </c>
      <c r="F1368" s="6" t="s">
        <v>4890</v>
      </c>
      <c r="G1368" s="9" t="s">
        <v>4891</v>
      </c>
      <c r="H1368" s="9" t="s">
        <v>18</v>
      </c>
      <c r="I1368" s="16" t="str">
        <f>VLOOKUP(F1368,[1]完整分类结果!$E:$G,3,0)</f>
        <v>化学原料及化学制品制造业</v>
      </c>
      <c r="J1368" s="16">
        <f>VLOOKUP(I1368,[2]行业排放因子!$A:$B,2,0)</f>
        <v>82.521245753925498</v>
      </c>
      <c r="K1368" s="9" t="s">
        <v>756</v>
      </c>
    </row>
    <row r="1369" spans="1:11" ht="12.5" customHeight="1" x14ac:dyDescent="0.25">
      <c r="A1369" s="5" t="s">
        <v>4892</v>
      </c>
      <c r="B1369" s="6" t="s">
        <v>4563</v>
      </c>
      <c r="C1369" s="6" t="s">
        <v>4636</v>
      </c>
      <c r="D1369" s="6" t="s">
        <v>4742</v>
      </c>
      <c r="E1369" s="6" t="s">
        <v>4893</v>
      </c>
      <c r="F1369" s="6" t="s">
        <v>4894</v>
      </c>
      <c r="G1369" s="9" t="s">
        <v>4895</v>
      </c>
      <c r="H1369" s="9" t="s">
        <v>18</v>
      </c>
      <c r="I1369" s="16" t="str">
        <f>VLOOKUP(F1369,[1]完整分类结果!$E:$G,3,0)</f>
        <v>化学原料及化学制品制造业</v>
      </c>
      <c r="J1369" s="16">
        <f>VLOOKUP(I1369,[2]行业排放因子!$A:$B,2,0)</f>
        <v>82.521245753925498</v>
      </c>
      <c r="K1369" s="9" t="s">
        <v>756</v>
      </c>
    </row>
    <row r="1370" spans="1:11" ht="12.5" customHeight="1" x14ac:dyDescent="0.25">
      <c r="A1370" s="5" t="s">
        <v>4896</v>
      </c>
      <c r="B1370" s="6" t="s">
        <v>4563</v>
      </c>
      <c r="C1370" s="6" t="s">
        <v>4636</v>
      </c>
      <c r="D1370" s="6" t="s">
        <v>4742</v>
      </c>
      <c r="E1370" s="6" t="s">
        <v>4897</v>
      </c>
      <c r="F1370" s="6" t="s">
        <v>4898</v>
      </c>
      <c r="G1370" s="9" t="s">
        <v>4899</v>
      </c>
      <c r="H1370" s="9" t="s">
        <v>18</v>
      </c>
      <c r="I1370" s="16" t="str">
        <f>VLOOKUP(F1370,[1]完整分类结果!$E:$G,3,0)</f>
        <v>化学原料及化学制品制造业</v>
      </c>
      <c r="J1370" s="16">
        <f>VLOOKUP(I1370,[2]行业排放因子!$A:$B,2,0)</f>
        <v>82.521245753925498</v>
      </c>
      <c r="K1370" s="9" t="s">
        <v>756</v>
      </c>
    </row>
    <row r="1371" spans="1:11" ht="12.5" customHeight="1" x14ac:dyDescent="0.25">
      <c r="A1371" s="5" t="s">
        <v>4900</v>
      </c>
      <c r="B1371" s="6" t="s">
        <v>4563</v>
      </c>
      <c r="C1371" s="6" t="s">
        <v>4636</v>
      </c>
      <c r="D1371" s="6" t="s">
        <v>4742</v>
      </c>
      <c r="E1371" s="6" t="s">
        <v>4901</v>
      </c>
      <c r="F1371" s="6" t="s">
        <v>4902</v>
      </c>
      <c r="G1371" s="9"/>
      <c r="H1371" s="9" t="s">
        <v>18</v>
      </c>
      <c r="I1371" s="16" t="str">
        <f>VLOOKUP(F1371,[1]完整分类结果!$E:$G,3,0)</f>
        <v>化学原料及化学制品制造业</v>
      </c>
      <c r="J1371" s="16">
        <f>VLOOKUP(I1371,[2]行业排放因子!$A:$B,2,0)</f>
        <v>82.521245753925498</v>
      </c>
      <c r="K1371" s="9" t="s">
        <v>756</v>
      </c>
    </row>
    <row r="1372" spans="1:11" ht="12.5" customHeight="1" x14ac:dyDescent="0.25">
      <c r="A1372" s="5" t="s">
        <v>4903</v>
      </c>
      <c r="B1372" s="6" t="s">
        <v>4563</v>
      </c>
      <c r="C1372" s="6" t="s">
        <v>4636</v>
      </c>
      <c r="D1372" s="6" t="s">
        <v>4742</v>
      </c>
      <c r="E1372" s="6" t="s">
        <v>4904</v>
      </c>
      <c r="F1372" s="6" t="s">
        <v>4905</v>
      </c>
      <c r="G1372" s="9"/>
      <c r="H1372" s="9" t="s">
        <v>18</v>
      </c>
      <c r="I1372" s="16" t="str">
        <f>VLOOKUP(F1372,[1]完整分类结果!$E:$G,3,0)</f>
        <v>化学原料及化学制品制造业</v>
      </c>
      <c r="J1372" s="16">
        <f>VLOOKUP(I1372,[2]行业排放因子!$A:$B,2,0)</f>
        <v>82.521245753925498</v>
      </c>
      <c r="K1372" s="9" t="s">
        <v>756</v>
      </c>
    </row>
    <row r="1373" spans="1:11" ht="12.5" customHeight="1" x14ac:dyDescent="0.25">
      <c r="A1373" s="5" t="s">
        <v>4906</v>
      </c>
      <c r="B1373" s="6" t="s">
        <v>4563</v>
      </c>
      <c r="C1373" s="6" t="s">
        <v>4636</v>
      </c>
      <c r="D1373" s="6" t="s">
        <v>4742</v>
      </c>
      <c r="E1373" s="6" t="s">
        <v>4907</v>
      </c>
      <c r="F1373" s="6" t="s">
        <v>4908</v>
      </c>
      <c r="G1373" s="9"/>
      <c r="H1373" s="9" t="s">
        <v>18</v>
      </c>
      <c r="I1373" s="16" t="str">
        <f>VLOOKUP(F1373,[1]完整分类结果!$E:$G,3,0)</f>
        <v>化学原料及化学制品制造业</v>
      </c>
      <c r="J1373" s="16">
        <f>VLOOKUP(I1373,[2]行业排放因子!$A:$B,2,0)</f>
        <v>82.521245753925498</v>
      </c>
      <c r="K1373" s="9" t="s">
        <v>756</v>
      </c>
    </row>
    <row r="1374" spans="1:11" ht="12.5" customHeight="1" x14ac:dyDescent="0.25">
      <c r="A1374" s="5" t="s">
        <v>4909</v>
      </c>
      <c r="B1374" s="6" t="s">
        <v>4563</v>
      </c>
      <c r="C1374" s="6" t="s">
        <v>4636</v>
      </c>
      <c r="D1374" s="6" t="s">
        <v>4742</v>
      </c>
      <c r="E1374" s="6" t="s">
        <v>4910</v>
      </c>
      <c r="F1374" s="6" t="s">
        <v>4911</v>
      </c>
      <c r="G1374" s="9"/>
      <c r="H1374" s="9" t="s">
        <v>18</v>
      </c>
      <c r="I1374" s="16" t="str">
        <f>VLOOKUP(F1374,[1]完整分类结果!$E:$G,3,0)</f>
        <v>化学原料及化学制品制造业</v>
      </c>
      <c r="J1374" s="16">
        <f>VLOOKUP(I1374,[2]行业排放因子!$A:$B,2,0)</f>
        <v>82.521245753925498</v>
      </c>
      <c r="K1374" s="9" t="s">
        <v>756</v>
      </c>
    </row>
    <row r="1375" spans="1:11" ht="12.5" customHeight="1" x14ac:dyDescent="0.25">
      <c r="A1375" s="5" t="s">
        <v>4912</v>
      </c>
      <c r="B1375" s="6" t="s">
        <v>4563</v>
      </c>
      <c r="C1375" s="6" t="s">
        <v>4636</v>
      </c>
      <c r="D1375" s="6" t="s">
        <v>4742</v>
      </c>
      <c r="E1375" s="6" t="s">
        <v>4913</v>
      </c>
      <c r="F1375" s="6" t="s">
        <v>4914</v>
      </c>
      <c r="G1375" s="9"/>
      <c r="H1375" s="9" t="s">
        <v>18</v>
      </c>
      <c r="I1375" s="16" t="str">
        <f>VLOOKUP(F1375,[1]完整分类结果!$E:$G,3,0)</f>
        <v>化学原料及化学制品制造业</v>
      </c>
      <c r="J1375" s="16">
        <f>VLOOKUP(I1375,[2]行业排放因子!$A:$B,2,0)</f>
        <v>82.521245753925498</v>
      </c>
      <c r="K1375" s="9" t="s">
        <v>756</v>
      </c>
    </row>
    <row r="1376" spans="1:11" ht="12.5" customHeight="1" x14ac:dyDescent="0.25">
      <c r="A1376" s="5" t="s">
        <v>4915</v>
      </c>
      <c r="B1376" s="6" t="s">
        <v>4563</v>
      </c>
      <c r="C1376" s="6" t="s">
        <v>4636</v>
      </c>
      <c r="D1376" s="6" t="s">
        <v>4742</v>
      </c>
      <c r="E1376" s="6" t="s">
        <v>4916</v>
      </c>
      <c r="F1376" s="6" t="s">
        <v>4917</v>
      </c>
      <c r="G1376" s="9"/>
      <c r="H1376" s="9" t="s">
        <v>18</v>
      </c>
      <c r="I1376" s="16" t="str">
        <f>VLOOKUP(F1376,[1]完整分类结果!$E:$G,3,0)</f>
        <v>化学原料及化学制品制造业</v>
      </c>
      <c r="J1376" s="16">
        <f>VLOOKUP(I1376,[2]行业排放因子!$A:$B,2,0)</f>
        <v>82.521245753925498</v>
      </c>
      <c r="K1376" s="9" t="s">
        <v>756</v>
      </c>
    </row>
    <row r="1377" spans="1:11" ht="12.5" customHeight="1" x14ac:dyDescent="0.25">
      <c r="A1377" s="5" t="s">
        <v>4918</v>
      </c>
      <c r="B1377" s="6" t="s">
        <v>4563</v>
      </c>
      <c r="C1377" s="6" t="s">
        <v>4636</v>
      </c>
      <c r="D1377" s="6" t="s">
        <v>4742</v>
      </c>
      <c r="E1377" s="6" t="s">
        <v>4919</v>
      </c>
      <c r="F1377" s="6" t="s">
        <v>4920</v>
      </c>
      <c r="G1377" s="9"/>
      <c r="H1377" s="9" t="s">
        <v>18</v>
      </c>
      <c r="I1377" s="16" t="str">
        <f>VLOOKUP(F1377,[1]完整分类结果!$E:$G,3,0)</f>
        <v>化学原料及化学制品制造业</v>
      </c>
      <c r="J1377" s="16">
        <f>VLOOKUP(I1377,[2]行业排放因子!$A:$B,2,0)</f>
        <v>82.521245753925498</v>
      </c>
      <c r="K1377" s="9" t="s">
        <v>756</v>
      </c>
    </row>
    <row r="1378" spans="1:11" ht="12.5" customHeight="1" x14ac:dyDescent="0.25">
      <c r="A1378" s="5" t="s">
        <v>4921</v>
      </c>
      <c r="B1378" s="6" t="s">
        <v>4563</v>
      </c>
      <c r="C1378" s="6" t="s">
        <v>4636</v>
      </c>
      <c r="D1378" s="6" t="s">
        <v>4742</v>
      </c>
      <c r="E1378" s="6" t="s">
        <v>4922</v>
      </c>
      <c r="F1378" s="6" t="s">
        <v>4923</v>
      </c>
      <c r="G1378" s="9" t="s">
        <v>4924</v>
      </c>
      <c r="H1378" s="9" t="s">
        <v>18</v>
      </c>
      <c r="I1378" s="16" t="str">
        <f>VLOOKUP(F1378,[1]完整分类结果!$E:$G,3,0)</f>
        <v>化学原料及化学制品制造业</v>
      </c>
      <c r="J1378" s="16">
        <f>VLOOKUP(I1378,[2]行业排放因子!$A:$B,2,0)</f>
        <v>82.521245753925498</v>
      </c>
      <c r="K1378" s="9" t="s">
        <v>756</v>
      </c>
    </row>
    <row r="1379" spans="1:11" ht="12.5" customHeight="1" x14ac:dyDescent="0.25">
      <c r="A1379" s="5" t="s">
        <v>4925</v>
      </c>
      <c r="B1379" s="6" t="s">
        <v>4563</v>
      </c>
      <c r="C1379" s="6" t="s">
        <v>4636</v>
      </c>
      <c r="D1379" s="6" t="s">
        <v>4926</v>
      </c>
      <c r="E1379" s="6" t="s">
        <v>4927</v>
      </c>
      <c r="F1379" s="6" t="s">
        <v>4928</v>
      </c>
      <c r="G1379" s="9" t="s">
        <v>4929</v>
      </c>
      <c r="H1379" s="9" t="s">
        <v>18</v>
      </c>
      <c r="I1379" s="16" t="str">
        <f>VLOOKUP(F1379,[1]完整分类结果!$E:$G,3,0)</f>
        <v>化学原料及化学制品制造业</v>
      </c>
      <c r="J1379" s="16">
        <f>VLOOKUP(I1379,[2]行业排放因子!$A:$B,2,0)</f>
        <v>82.521245753925498</v>
      </c>
      <c r="K1379" s="9" t="s">
        <v>756</v>
      </c>
    </row>
    <row r="1380" spans="1:11" ht="12.5" customHeight="1" x14ac:dyDescent="0.25">
      <c r="A1380" s="5" t="s">
        <v>4930</v>
      </c>
      <c r="B1380" s="6" t="s">
        <v>4563</v>
      </c>
      <c r="C1380" s="6" t="s">
        <v>4636</v>
      </c>
      <c r="D1380" s="6" t="s">
        <v>4926</v>
      </c>
      <c r="E1380" s="6" t="s">
        <v>4931</v>
      </c>
      <c r="F1380" s="6" t="s">
        <v>4932</v>
      </c>
      <c r="G1380" s="9" t="s">
        <v>4933</v>
      </c>
      <c r="H1380" s="9" t="s">
        <v>18</v>
      </c>
      <c r="I1380" s="16" t="str">
        <f>VLOOKUP(F1380,[1]完整分类结果!$E:$G,3,0)</f>
        <v>化学原料及化学制品制造业</v>
      </c>
      <c r="J1380" s="16">
        <f>VLOOKUP(I1380,[2]行业排放因子!$A:$B,2,0)</f>
        <v>82.521245753925498</v>
      </c>
      <c r="K1380" s="9" t="s">
        <v>756</v>
      </c>
    </row>
    <row r="1381" spans="1:11" ht="12.5" customHeight="1" x14ac:dyDescent="0.25">
      <c r="A1381" s="5" t="s">
        <v>4934</v>
      </c>
      <c r="B1381" s="6" t="s">
        <v>4563</v>
      </c>
      <c r="C1381" s="6" t="s">
        <v>4636</v>
      </c>
      <c r="D1381" s="6" t="s">
        <v>4926</v>
      </c>
      <c r="E1381" s="6" t="s">
        <v>4935</v>
      </c>
      <c r="F1381" s="6" t="s">
        <v>4936</v>
      </c>
      <c r="G1381" s="9" t="s">
        <v>4937</v>
      </c>
      <c r="H1381" s="9" t="s">
        <v>18</v>
      </c>
      <c r="I1381" s="16" t="str">
        <f>VLOOKUP(F1381,[1]完整分类结果!$E:$G,3,0)</f>
        <v>化学原料及化学制品制造业</v>
      </c>
      <c r="J1381" s="16">
        <f>VLOOKUP(I1381,[2]行业排放因子!$A:$B,2,0)</f>
        <v>82.521245753925498</v>
      </c>
      <c r="K1381" s="9" t="s">
        <v>756</v>
      </c>
    </row>
    <row r="1382" spans="1:11" ht="12.5" customHeight="1" x14ac:dyDescent="0.25">
      <c r="A1382" s="5" t="s">
        <v>4938</v>
      </c>
      <c r="B1382" s="6" t="s">
        <v>4563</v>
      </c>
      <c r="C1382" s="6" t="s">
        <v>4636</v>
      </c>
      <c r="D1382" s="6" t="s">
        <v>4926</v>
      </c>
      <c r="E1382" s="6" t="s">
        <v>4939</v>
      </c>
      <c r="F1382" s="6" t="s">
        <v>4940</v>
      </c>
      <c r="G1382" s="9" t="s">
        <v>4941</v>
      </c>
      <c r="H1382" s="9" t="s">
        <v>18</v>
      </c>
      <c r="I1382" s="16" t="str">
        <f>VLOOKUP(F1382,[1]完整分类结果!$E:$G,3,0)</f>
        <v>化学原料及化学制品制造业</v>
      </c>
      <c r="J1382" s="16">
        <f>VLOOKUP(I1382,[2]行业排放因子!$A:$B,2,0)</f>
        <v>82.521245753925498</v>
      </c>
      <c r="K1382" s="9" t="s">
        <v>756</v>
      </c>
    </row>
    <row r="1383" spans="1:11" ht="12.5" customHeight="1" x14ac:dyDescent="0.25">
      <c r="A1383" s="5" t="s">
        <v>4942</v>
      </c>
      <c r="B1383" s="6" t="s">
        <v>4563</v>
      </c>
      <c r="C1383" s="6" t="s">
        <v>4636</v>
      </c>
      <c r="D1383" s="6" t="s">
        <v>4926</v>
      </c>
      <c r="E1383" s="6" t="s">
        <v>4943</v>
      </c>
      <c r="F1383" s="6" t="s">
        <v>4944</v>
      </c>
      <c r="G1383" s="9" t="s">
        <v>4945</v>
      </c>
      <c r="H1383" s="9" t="s">
        <v>18</v>
      </c>
      <c r="I1383" s="16" t="str">
        <f>VLOOKUP(F1383,[1]完整分类结果!$E:$G,3,0)</f>
        <v>化学原料及化学制品制造业</v>
      </c>
      <c r="J1383" s="16">
        <f>VLOOKUP(I1383,[2]行业排放因子!$A:$B,2,0)</f>
        <v>82.521245753925498</v>
      </c>
      <c r="K1383" s="9" t="s">
        <v>756</v>
      </c>
    </row>
    <row r="1384" spans="1:11" ht="12.5" customHeight="1" x14ac:dyDescent="0.25">
      <c r="A1384" s="5" t="s">
        <v>4946</v>
      </c>
      <c r="B1384" s="6" t="s">
        <v>4563</v>
      </c>
      <c r="C1384" s="6" t="s">
        <v>4636</v>
      </c>
      <c r="D1384" s="6" t="s">
        <v>4926</v>
      </c>
      <c r="E1384" s="6" t="s">
        <v>4947</v>
      </c>
      <c r="F1384" s="6" t="s">
        <v>4948</v>
      </c>
      <c r="G1384" s="9" t="s">
        <v>4949</v>
      </c>
      <c r="H1384" s="9" t="s">
        <v>18</v>
      </c>
      <c r="I1384" s="16" t="str">
        <f>VLOOKUP(F1384,[1]完整分类结果!$E:$G,3,0)</f>
        <v>化学原料及化学制品制造业</v>
      </c>
      <c r="J1384" s="16">
        <f>VLOOKUP(I1384,[2]行业排放因子!$A:$B,2,0)</f>
        <v>82.521245753925498</v>
      </c>
      <c r="K1384" s="9" t="s">
        <v>756</v>
      </c>
    </row>
    <row r="1385" spans="1:11" ht="12.5" customHeight="1" x14ac:dyDescent="0.25">
      <c r="A1385" s="5" t="s">
        <v>4950</v>
      </c>
      <c r="B1385" s="6" t="s">
        <v>4563</v>
      </c>
      <c r="C1385" s="6" t="s">
        <v>4636</v>
      </c>
      <c r="D1385" s="6" t="s">
        <v>4926</v>
      </c>
      <c r="E1385" s="6" t="s">
        <v>4951</v>
      </c>
      <c r="F1385" s="6" t="s">
        <v>4952</v>
      </c>
      <c r="G1385" s="9"/>
      <c r="H1385" s="9" t="s">
        <v>18</v>
      </c>
      <c r="I1385" s="16" t="str">
        <f>VLOOKUP(F1385,[1]完整分类结果!$E:$G,3,0)</f>
        <v>化学原料及化学制品制造业</v>
      </c>
      <c r="J1385" s="16">
        <f>VLOOKUP(I1385,[2]行业排放因子!$A:$B,2,0)</f>
        <v>82.521245753925498</v>
      </c>
      <c r="K1385" s="9" t="s">
        <v>756</v>
      </c>
    </row>
    <row r="1386" spans="1:11" ht="12.5" customHeight="1" x14ac:dyDescent="0.25">
      <c r="A1386" s="5" t="s">
        <v>4953</v>
      </c>
      <c r="B1386" s="6" t="s">
        <v>4563</v>
      </c>
      <c r="C1386" s="6" t="s">
        <v>4636</v>
      </c>
      <c r="D1386" s="6" t="s">
        <v>4926</v>
      </c>
      <c r="E1386" s="6" t="s">
        <v>4954</v>
      </c>
      <c r="F1386" s="6" t="s">
        <v>4955</v>
      </c>
      <c r="G1386" s="9"/>
      <c r="H1386" s="9" t="s">
        <v>18</v>
      </c>
      <c r="I1386" s="16" t="str">
        <f>VLOOKUP(F1386,[1]完整分类结果!$E:$G,3,0)</f>
        <v>化学原料及化学制品制造业</v>
      </c>
      <c r="J1386" s="16">
        <f>VLOOKUP(I1386,[2]行业排放因子!$A:$B,2,0)</f>
        <v>82.521245753925498</v>
      </c>
      <c r="K1386" s="9" t="s">
        <v>756</v>
      </c>
    </row>
    <row r="1387" spans="1:11" ht="12.5" customHeight="1" x14ac:dyDescent="0.25">
      <c r="A1387" s="5" t="s">
        <v>4956</v>
      </c>
      <c r="B1387" s="6" t="s">
        <v>4563</v>
      </c>
      <c r="C1387" s="6" t="s">
        <v>4636</v>
      </c>
      <c r="D1387" s="6" t="s">
        <v>4957</v>
      </c>
      <c r="E1387" s="6" t="s">
        <v>4958</v>
      </c>
      <c r="F1387" s="6" t="s">
        <v>4959</v>
      </c>
      <c r="G1387" s="9"/>
      <c r="H1387" s="9" t="s">
        <v>18</v>
      </c>
      <c r="I1387" s="16" t="str">
        <f>VLOOKUP(F1387,[1]完整分类结果!$E:$G,3,0)</f>
        <v>化学原料及化学制品制造业</v>
      </c>
      <c r="J1387" s="16">
        <f>VLOOKUP(I1387,[2]行业排放因子!$A:$B,2,0)</f>
        <v>82.521245753925498</v>
      </c>
      <c r="K1387" s="9" t="s">
        <v>756</v>
      </c>
    </row>
    <row r="1388" spans="1:11" ht="12.5" customHeight="1" x14ac:dyDescent="0.25">
      <c r="A1388" s="5" t="s">
        <v>4960</v>
      </c>
      <c r="B1388" s="6" t="s">
        <v>4563</v>
      </c>
      <c r="C1388" s="6" t="s">
        <v>4636</v>
      </c>
      <c r="D1388" s="6" t="s">
        <v>4957</v>
      </c>
      <c r="E1388" s="6" t="s">
        <v>4961</v>
      </c>
      <c r="F1388" s="6" t="s">
        <v>4962</v>
      </c>
      <c r="G1388" s="9" t="s">
        <v>4963</v>
      </c>
      <c r="H1388" s="9" t="s">
        <v>18</v>
      </c>
      <c r="I1388" s="16" t="str">
        <f>VLOOKUP(F1388,[1]完整分类结果!$E:$G,3,0)</f>
        <v>化学原料及化学制品制造业</v>
      </c>
      <c r="J1388" s="16">
        <f>VLOOKUP(I1388,[2]行业排放因子!$A:$B,2,0)</f>
        <v>82.521245753925498</v>
      </c>
      <c r="K1388" s="9" t="s">
        <v>756</v>
      </c>
    </row>
    <row r="1389" spans="1:11" ht="12.5" customHeight="1" x14ac:dyDescent="0.25">
      <c r="A1389" s="5" t="s">
        <v>4964</v>
      </c>
      <c r="B1389" s="6" t="s">
        <v>4563</v>
      </c>
      <c r="C1389" s="6" t="s">
        <v>4636</v>
      </c>
      <c r="D1389" s="6" t="s">
        <v>4957</v>
      </c>
      <c r="E1389" s="6" t="s">
        <v>4965</v>
      </c>
      <c r="F1389" s="6" t="s">
        <v>4966</v>
      </c>
      <c r="G1389" s="9" t="s">
        <v>4967</v>
      </c>
      <c r="H1389" s="9" t="s">
        <v>18</v>
      </c>
      <c r="I1389" s="16" t="str">
        <f>VLOOKUP(F1389,[1]完整分类结果!$E:$G,3,0)</f>
        <v>化学原料及化学制品制造业</v>
      </c>
      <c r="J1389" s="16">
        <f>VLOOKUP(I1389,[2]行业排放因子!$A:$B,2,0)</f>
        <v>82.521245753925498</v>
      </c>
      <c r="K1389" s="9" t="s">
        <v>756</v>
      </c>
    </row>
    <row r="1390" spans="1:11" ht="12.5" customHeight="1" x14ac:dyDescent="0.25">
      <c r="A1390" s="5" t="s">
        <v>4968</v>
      </c>
      <c r="B1390" s="6" t="s">
        <v>4563</v>
      </c>
      <c r="C1390" s="6" t="s">
        <v>4636</v>
      </c>
      <c r="D1390" s="6" t="s">
        <v>4957</v>
      </c>
      <c r="E1390" s="6" t="s">
        <v>4969</v>
      </c>
      <c r="F1390" s="6" t="s">
        <v>4970</v>
      </c>
      <c r="G1390" s="9" t="s">
        <v>4971</v>
      </c>
      <c r="H1390" s="9" t="s">
        <v>18</v>
      </c>
      <c r="I1390" s="16" t="str">
        <f>VLOOKUP(F1390,[1]完整分类结果!$E:$G,3,0)</f>
        <v>化学原料及化学制品制造业</v>
      </c>
      <c r="J1390" s="16">
        <f>VLOOKUP(I1390,[2]行业排放因子!$A:$B,2,0)</f>
        <v>82.521245753925498</v>
      </c>
      <c r="K1390" s="9" t="s">
        <v>756</v>
      </c>
    </row>
    <row r="1391" spans="1:11" ht="12.5" customHeight="1" x14ac:dyDescent="0.25">
      <c r="A1391" s="5" t="s">
        <v>4972</v>
      </c>
      <c r="B1391" s="6" t="s">
        <v>4563</v>
      </c>
      <c r="C1391" s="6" t="s">
        <v>4636</v>
      </c>
      <c r="D1391" s="6" t="s">
        <v>4957</v>
      </c>
      <c r="E1391" s="6" t="s">
        <v>4973</v>
      </c>
      <c r="F1391" s="6" t="s">
        <v>4974</v>
      </c>
      <c r="G1391" s="9" t="s">
        <v>4975</v>
      </c>
      <c r="H1391" s="9" t="s">
        <v>18</v>
      </c>
      <c r="I1391" s="16" t="str">
        <f>VLOOKUP(F1391,[1]完整分类结果!$E:$G,3,0)</f>
        <v>化学原料及化学制品制造业</v>
      </c>
      <c r="J1391" s="16">
        <f>VLOOKUP(I1391,[2]行业排放因子!$A:$B,2,0)</f>
        <v>82.521245753925498</v>
      </c>
      <c r="K1391" s="9" t="s">
        <v>756</v>
      </c>
    </row>
    <row r="1392" spans="1:11" ht="12.5" customHeight="1" x14ac:dyDescent="0.25">
      <c r="A1392" s="5" t="s">
        <v>4976</v>
      </c>
      <c r="B1392" s="6" t="s">
        <v>4563</v>
      </c>
      <c r="C1392" s="6" t="s">
        <v>4636</v>
      </c>
      <c r="D1392" s="6" t="s">
        <v>4957</v>
      </c>
      <c r="E1392" s="6" t="s">
        <v>4977</v>
      </c>
      <c r="F1392" s="6" t="s">
        <v>4978</v>
      </c>
      <c r="G1392" s="9" t="s">
        <v>4979</v>
      </c>
      <c r="H1392" s="9" t="s">
        <v>18</v>
      </c>
      <c r="I1392" s="16" t="str">
        <f>VLOOKUP(F1392,[1]完整分类结果!$E:$G,3,0)</f>
        <v>化学原料及化学制品制造业</v>
      </c>
      <c r="J1392" s="16">
        <f>VLOOKUP(I1392,[2]行业排放因子!$A:$B,2,0)</f>
        <v>82.521245753925498</v>
      </c>
      <c r="K1392" s="9" t="s">
        <v>756</v>
      </c>
    </row>
    <row r="1393" spans="1:11" ht="12.5" customHeight="1" x14ac:dyDescent="0.25">
      <c r="A1393" s="5" t="s">
        <v>4980</v>
      </c>
      <c r="B1393" s="6" t="s">
        <v>4563</v>
      </c>
      <c r="C1393" s="6" t="s">
        <v>4636</v>
      </c>
      <c r="D1393" s="6" t="s">
        <v>4957</v>
      </c>
      <c r="E1393" s="6" t="s">
        <v>4981</v>
      </c>
      <c r="F1393" s="6" t="s">
        <v>4982</v>
      </c>
      <c r="G1393" s="9" t="s">
        <v>4983</v>
      </c>
      <c r="H1393" s="9" t="s">
        <v>18</v>
      </c>
      <c r="I1393" s="16" t="str">
        <f>VLOOKUP(F1393,[1]完整分类结果!$E:$G,3,0)</f>
        <v>化学原料及化学制品制造业</v>
      </c>
      <c r="J1393" s="16">
        <f>VLOOKUP(I1393,[2]行业排放因子!$A:$B,2,0)</f>
        <v>82.521245753925498</v>
      </c>
      <c r="K1393" s="9" t="s">
        <v>756</v>
      </c>
    </row>
    <row r="1394" spans="1:11" ht="12.5" customHeight="1" x14ac:dyDescent="0.25">
      <c r="A1394" s="5" t="s">
        <v>4984</v>
      </c>
      <c r="B1394" s="6" t="s">
        <v>4563</v>
      </c>
      <c r="C1394" s="6" t="s">
        <v>4636</v>
      </c>
      <c r="D1394" s="6" t="s">
        <v>4957</v>
      </c>
      <c r="E1394" s="6" t="s">
        <v>4985</v>
      </c>
      <c r="F1394" s="6" t="s">
        <v>4986</v>
      </c>
      <c r="G1394" s="9" t="s">
        <v>4987</v>
      </c>
      <c r="H1394" s="9" t="s">
        <v>18</v>
      </c>
      <c r="I1394" s="16" t="str">
        <f>VLOOKUP(F1394,[1]完整分类结果!$E:$G,3,0)</f>
        <v>化学原料及化学制品制造业</v>
      </c>
      <c r="J1394" s="16">
        <f>VLOOKUP(I1394,[2]行业排放因子!$A:$B,2,0)</f>
        <v>82.521245753925498</v>
      </c>
      <c r="K1394" s="9" t="s">
        <v>756</v>
      </c>
    </row>
    <row r="1395" spans="1:11" ht="12.5" customHeight="1" x14ac:dyDescent="0.25">
      <c r="A1395" s="5" t="s">
        <v>4988</v>
      </c>
      <c r="B1395" s="6" t="s">
        <v>4563</v>
      </c>
      <c r="C1395" s="6" t="s">
        <v>4636</v>
      </c>
      <c r="D1395" s="6" t="s">
        <v>4957</v>
      </c>
      <c r="E1395" s="6" t="s">
        <v>4989</v>
      </c>
      <c r="F1395" s="6" t="s">
        <v>4990</v>
      </c>
      <c r="G1395" s="9" t="s">
        <v>4991</v>
      </c>
      <c r="H1395" s="9" t="s">
        <v>18</v>
      </c>
      <c r="I1395" s="16" t="str">
        <f>VLOOKUP(F1395,[1]完整分类结果!$E:$G,3,0)</f>
        <v>化学原料及化学制品制造业</v>
      </c>
      <c r="J1395" s="16">
        <f>VLOOKUP(I1395,[2]行业排放因子!$A:$B,2,0)</f>
        <v>82.521245753925498</v>
      </c>
      <c r="K1395" s="9" t="s">
        <v>756</v>
      </c>
    </row>
    <row r="1396" spans="1:11" ht="12.5" customHeight="1" x14ac:dyDescent="0.25">
      <c r="A1396" s="5" t="s">
        <v>4992</v>
      </c>
      <c r="B1396" s="6" t="s">
        <v>4563</v>
      </c>
      <c r="C1396" s="6" t="s">
        <v>4636</v>
      </c>
      <c r="D1396" s="6" t="s">
        <v>4957</v>
      </c>
      <c r="E1396" s="6" t="s">
        <v>4993</v>
      </c>
      <c r="F1396" s="6" t="s">
        <v>4994</v>
      </c>
      <c r="G1396" s="9"/>
      <c r="H1396" s="9" t="s">
        <v>18</v>
      </c>
      <c r="I1396" s="16" t="str">
        <f>VLOOKUP(F1396,[1]完整分类结果!$E:$G,3,0)</f>
        <v>化学原料及化学制品制造业</v>
      </c>
      <c r="J1396" s="16">
        <f>VLOOKUP(I1396,[2]行业排放因子!$A:$B,2,0)</f>
        <v>82.521245753925498</v>
      </c>
      <c r="K1396" s="9" t="s">
        <v>756</v>
      </c>
    </row>
    <row r="1397" spans="1:11" ht="12.5" customHeight="1" x14ac:dyDescent="0.25">
      <c r="A1397" s="5" t="s">
        <v>4995</v>
      </c>
      <c r="B1397" s="6" t="s">
        <v>4563</v>
      </c>
      <c r="C1397" s="6" t="s">
        <v>4636</v>
      </c>
      <c r="D1397" s="6" t="s">
        <v>4996</v>
      </c>
      <c r="E1397" s="6" t="s">
        <v>4997</v>
      </c>
      <c r="F1397" s="6" t="s">
        <v>4998</v>
      </c>
      <c r="G1397" s="9" t="s">
        <v>4999</v>
      </c>
      <c r="H1397" s="9" t="s">
        <v>18</v>
      </c>
      <c r="I1397" s="16" t="str">
        <f>VLOOKUP(F1397,[1]完整分类结果!$E:$G,3,0)</f>
        <v>化学原料及化学制品制造业</v>
      </c>
      <c r="J1397" s="16">
        <f>VLOOKUP(I1397,[2]行业排放因子!$A:$B,2,0)</f>
        <v>82.521245753925498</v>
      </c>
      <c r="K1397" s="9" t="s">
        <v>779</v>
      </c>
    </row>
    <row r="1398" spans="1:11" ht="12.5" customHeight="1" x14ac:dyDescent="0.25">
      <c r="A1398" s="5" t="s">
        <v>5000</v>
      </c>
      <c r="B1398" s="6" t="s">
        <v>4563</v>
      </c>
      <c r="C1398" s="6" t="s">
        <v>4636</v>
      </c>
      <c r="D1398" s="6" t="s">
        <v>4996</v>
      </c>
      <c r="E1398" s="6" t="s">
        <v>5001</v>
      </c>
      <c r="F1398" s="6" t="s">
        <v>5002</v>
      </c>
      <c r="G1398" s="9" t="s">
        <v>5003</v>
      </c>
      <c r="H1398" s="9" t="s">
        <v>18</v>
      </c>
      <c r="I1398" s="16" t="str">
        <f>VLOOKUP(F1398,[1]完整分类结果!$E:$G,3,0)</f>
        <v>化学原料及化学制品制造业</v>
      </c>
      <c r="J1398" s="16">
        <f>VLOOKUP(I1398,[2]行业排放因子!$A:$B,2,0)</f>
        <v>82.521245753925498</v>
      </c>
      <c r="K1398" s="9" t="s">
        <v>779</v>
      </c>
    </row>
    <row r="1399" spans="1:11" ht="12.5" customHeight="1" x14ac:dyDescent="0.25">
      <c r="A1399" s="5" t="s">
        <v>5004</v>
      </c>
      <c r="B1399" s="6" t="s">
        <v>4563</v>
      </c>
      <c r="C1399" s="6" t="s">
        <v>4636</v>
      </c>
      <c r="D1399" s="6" t="s">
        <v>4996</v>
      </c>
      <c r="E1399" s="6" t="s">
        <v>5005</v>
      </c>
      <c r="F1399" s="6" t="s">
        <v>5006</v>
      </c>
      <c r="G1399" s="9" t="s">
        <v>5007</v>
      </c>
      <c r="H1399" s="9" t="s">
        <v>18</v>
      </c>
      <c r="I1399" s="16" t="str">
        <f>VLOOKUP(F1399,[1]完整分类结果!$E:$G,3,0)</f>
        <v>化学原料及化学制品制造业</v>
      </c>
      <c r="J1399" s="16">
        <f>VLOOKUP(I1399,[2]行业排放因子!$A:$B,2,0)</f>
        <v>82.521245753925498</v>
      </c>
      <c r="K1399" s="9" t="s">
        <v>779</v>
      </c>
    </row>
    <row r="1400" spans="1:11" ht="12.5" customHeight="1" x14ac:dyDescent="0.25">
      <c r="A1400" s="5" t="s">
        <v>5008</v>
      </c>
      <c r="B1400" s="6" t="s">
        <v>4563</v>
      </c>
      <c r="C1400" s="6" t="s">
        <v>4636</v>
      </c>
      <c r="D1400" s="6" t="s">
        <v>4996</v>
      </c>
      <c r="E1400" s="6" t="s">
        <v>5009</v>
      </c>
      <c r="F1400" s="6" t="s">
        <v>5010</v>
      </c>
      <c r="G1400" s="9" t="s">
        <v>5011</v>
      </c>
      <c r="H1400" s="9" t="s">
        <v>18</v>
      </c>
      <c r="I1400" s="16" t="str">
        <f>VLOOKUP(F1400,[1]完整分类结果!$E:$G,3,0)</f>
        <v>化学原料及化学制品制造业</v>
      </c>
      <c r="J1400" s="16">
        <f>VLOOKUP(I1400,[2]行业排放因子!$A:$B,2,0)</f>
        <v>82.521245753925498</v>
      </c>
      <c r="K1400" s="9" t="s">
        <v>779</v>
      </c>
    </row>
    <row r="1401" spans="1:11" ht="12.5" customHeight="1" x14ac:dyDescent="0.25">
      <c r="A1401" s="5" t="s">
        <v>5012</v>
      </c>
      <c r="B1401" s="6" t="s">
        <v>4563</v>
      </c>
      <c r="C1401" s="6" t="s">
        <v>4636</v>
      </c>
      <c r="D1401" s="6" t="s">
        <v>5013</v>
      </c>
      <c r="E1401" s="6" t="s">
        <v>5014</v>
      </c>
      <c r="F1401" s="6" t="s">
        <v>5015</v>
      </c>
      <c r="G1401" s="9" t="s">
        <v>5016</v>
      </c>
      <c r="H1401" s="9" t="s">
        <v>18</v>
      </c>
      <c r="I1401" s="16" t="str">
        <f>VLOOKUP(F1401,[1]完整分类结果!$E:$G,3,0)</f>
        <v>化学原料及化学制品制造业</v>
      </c>
      <c r="J1401" s="16">
        <f>VLOOKUP(I1401,[2]行业排放因子!$A:$B,2,0)</f>
        <v>82.521245753925498</v>
      </c>
      <c r="K1401" s="9" t="s">
        <v>779</v>
      </c>
    </row>
    <row r="1402" spans="1:11" ht="12.5" customHeight="1" x14ac:dyDescent="0.25">
      <c r="A1402" s="5" t="s">
        <v>5017</v>
      </c>
      <c r="B1402" s="6" t="s">
        <v>4563</v>
      </c>
      <c r="C1402" s="6" t="s">
        <v>4636</v>
      </c>
      <c r="D1402" s="6" t="s">
        <v>5013</v>
      </c>
      <c r="E1402" s="6" t="s">
        <v>5018</v>
      </c>
      <c r="F1402" s="6" t="s">
        <v>5019</v>
      </c>
      <c r="G1402" s="9"/>
      <c r="H1402" s="9" t="s">
        <v>18</v>
      </c>
      <c r="I1402" s="16" t="str">
        <f>VLOOKUP(F1402,[1]完整分类结果!$E:$G,3,0)</f>
        <v>化学原料及化学制品制造业</v>
      </c>
      <c r="J1402" s="16">
        <f>VLOOKUP(I1402,[2]行业排放因子!$A:$B,2,0)</f>
        <v>82.521245753925498</v>
      </c>
      <c r="K1402" s="9" t="s">
        <v>779</v>
      </c>
    </row>
    <row r="1403" spans="1:11" ht="12.5" customHeight="1" x14ac:dyDescent="0.25">
      <c r="A1403" s="5" t="s">
        <v>5020</v>
      </c>
      <c r="B1403" s="6" t="s">
        <v>4563</v>
      </c>
      <c r="C1403" s="6" t="s">
        <v>4636</v>
      </c>
      <c r="D1403" s="6" t="s">
        <v>5021</v>
      </c>
      <c r="E1403" s="6" t="s">
        <v>5022</v>
      </c>
      <c r="F1403" s="6" t="s">
        <v>5021</v>
      </c>
      <c r="G1403" s="9" t="s">
        <v>5023</v>
      </c>
      <c r="H1403" s="9" t="s">
        <v>18</v>
      </c>
      <c r="I1403" s="16" t="str">
        <f>VLOOKUP(F1403,[1]完整分类结果!$E:$G,3,0)</f>
        <v>化学原料及化学制品制造业</v>
      </c>
      <c r="J1403" s="16">
        <f>VLOOKUP(I1403,[2]行业排放因子!$A:$B,2,0)</f>
        <v>82.521245753925498</v>
      </c>
      <c r="K1403" s="9" t="s">
        <v>756</v>
      </c>
    </row>
    <row r="1404" spans="1:11" ht="12.5" customHeight="1" x14ac:dyDescent="0.25">
      <c r="A1404" s="5" t="s">
        <v>5024</v>
      </c>
      <c r="B1404" s="6" t="s">
        <v>4563</v>
      </c>
      <c r="C1404" s="6" t="s">
        <v>4636</v>
      </c>
      <c r="D1404" s="6" t="s">
        <v>5021</v>
      </c>
      <c r="E1404" s="6" t="s">
        <v>5025</v>
      </c>
      <c r="F1404" s="6" t="s">
        <v>5026</v>
      </c>
      <c r="G1404" s="9" t="s">
        <v>5027</v>
      </c>
      <c r="H1404" s="9" t="s">
        <v>18</v>
      </c>
      <c r="I1404" s="16" t="str">
        <f>VLOOKUP(F1404,[1]完整分类结果!$E:$G,3,0)</f>
        <v>化学原料及化学制品制造业</v>
      </c>
      <c r="J1404" s="16">
        <f>VLOOKUP(I1404,[2]行业排放因子!$A:$B,2,0)</f>
        <v>82.521245753925498</v>
      </c>
      <c r="K1404" s="9" t="s">
        <v>756</v>
      </c>
    </row>
    <row r="1405" spans="1:11" ht="12.5" customHeight="1" x14ac:dyDescent="0.25">
      <c r="A1405" s="5" t="s">
        <v>5028</v>
      </c>
      <c r="B1405" s="6" t="s">
        <v>4563</v>
      </c>
      <c r="C1405" s="6" t="s">
        <v>4636</v>
      </c>
      <c r="D1405" s="6" t="s">
        <v>5029</v>
      </c>
      <c r="E1405" s="6" t="s">
        <v>5030</v>
      </c>
      <c r="F1405" s="6" t="s">
        <v>5031</v>
      </c>
      <c r="G1405" s="9" t="s">
        <v>5032</v>
      </c>
      <c r="H1405" s="9" t="s">
        <v>18</v>
      </c>
      <c r="I1405" s="16" t="str">
        <f>VLOOKUP(F1405,[1]完整分类结果!$E:$G,3,0)</f>
        <v>化学原料及化学制品制造业</v>
      </c>
      <c r="J1405" s="16">
        <f>VLOOKUP(I1405,[2]行业排放因子!$A:$B,2,0)</f>
        <v>82.521245753925498</v>
      </c>
      <c r="K1405" s="9" t="s">
        <v>756</v>
      </c>
    </row>
    <row r="1406" spans="1:11" ht="12.5" customHeight="1" x14ac:dyDescent="0.25">
      <c r="A1406" s="5" t="s">
        <v>5033</v>
      </c>
      <c r="B1406" s="6" t="s">
        <v>4563</v>
      </c>
      <c r="C1406" s="6" t="s">
        <v>4636</v>
      </c>
      <c r="D1406" s="6" t="s">
        <v>5029</v>
      </c>
      <c r="E1406" s="6" t="s">
        <v>5034</v>
      </c>
      <c r="F1406" s="6" t="s">
        <v>5035</v>
      </c>
      <c r="G1406" s="9" t="s">
        <v>5036</v>
      </c>
      <c r="H1406" s="9" t="s">
        <v>18</v>
      </c>
      <c r="I1406" s="16" t="str">
        <f>VLOOKUP(F1406,[1]完整分类结果!$E:$G,3,0)</f>
        <v>化学原料及化学制品制造业</v>
      </c>
      <c r="J1406" s="16">
        <f>VLOOKUP(I1406,[2]行业排放因子!$A:$B,2,0)</f>
        <v>82.521245753925498</v>
      </c>
      <c r="K1406" s="9" t="s">
        <v>756</v>
      </c>
    </row>
    <row r="1407" spans="1:11" ht="12.5" customHeight="1" x14ac:dyDescent="0.25">
      <c r="A1407" s="5" t="s">
        <v>5037</v>
      </c>
      <c r="B1407" s="6" t="s">
        <v>4563</v>
      </c>
      <c r="C1407" s="6" t="s">
        <v>4636</v>
      </c>
      <c r="D1407" s="6" t="s">
        <v>5029</v>
      </c>
      <c r="E1407" s="6" t="s">
        <v>5038</v>
      </c>
      <c r="F1407" s="6" t="s">
        <v>5039</v>
      </c>
      <c r="G1407" s="9" t="s">
        <v>5040</v>
      </c>
      <c r="H1407" s="9" t="s">
        <v>18</v>
      </c>
      <c r="I1407" s="16" t="str">
        <f>VLOOKUP(F1407,[1]完整分类结果!$E:$G,3,0)</f>
        <v>化学原料及化学制品制造业</v>
      </c>
      <c r="J1407" s="16">
        <f>VLOOKUP(I1407,[2]行业排放因子!$A:$B,2,0)</f>
        <v>82.521245753925498</v>
      </c>
      <c r="K1407" s="9" t="s">
        <v>756</v>
      </c>
    </row>
    <row r="1408" spans="1:11" ht="12.5" customHeight="1" x14ac:dyDescent="0.25">
      <c r="A1408" s="5" t="s">
        <v>5041</v>
      </c>
      <c r="B1408" s="6" t="s">
        <v>4563</v>
      </c>
      <c r="C1408" s="6" t="s">
        <v>4636</v>
      </c>
      <c r="D1408" s="6" t="s">
        <v>5029</v>
      </c>
      <c r="E1408" s="6" t="s">
        <v>5042</v>
      </c>
      <c r="F1408" s="6" t="s">
        <v>5043</v>
      </c>
      <c r="G1408" s="9" t="s">
        <v>5044</v>
      </c>
      <c r="H1408" s="9" t="s">
        <v>18</v>
      </c>
      <c r="I1408" s="16" t="str">
        <f>VLOOKUP(F1408,[1]完整分类结果!$E:$G,3,0)</f>
        <v>化学原料及化学制品制造业</v>
      </c>
      <c r="J1408" s="16">
        <f>VLOOKUP(I1408,[2]行业排放因子!$A:$B,2,0)</f>
        <v>82.521245753925498</v>
      </c>
      <c r="K1408" s="9" t="s">
        <v>756</v>
      </c>
    </row>
    <row r="1409" spans="1:11" ht="12.5" customHeight="1" x14ac:dyDescent="0.25">
      <c r="A1409" s="5" t="s">
        <v>5045</v>
      </c>
      <c r="B1409" s="6" t="s">
        <v>4563</v>
      </c>
      <c r="C1409" s="6" t="s">
        <v>4636</v>
      </c>
      <c r="D1409" s="6" t="s">
        <v>5029</v>
      </c>
      <c r="E1409" s="6" t="s">
        <v>5046</v>
      </c>
      <c r="F1409" s="6" t="s">
        <v>5047</v>
      </c>
      <c r="G1409" s="9" t="s">
        <v>5048</v>
      </c>
      <c r="H1409" s="9" t="s">
        <v>18</v>
      </c>
      <c r="I1409" s="16" t="str">
        <f>VLOOKUP(F1409,[1]完整分类结果!$E:$G,3,0)</f>
        <v>化学原料及化学制品制造业</v>
      </c>
      <c r="J1409" s="16">
        <f>VLOOKUP(I1409,[2]行业排放因子!$A:$B,2,0)</f>
        <v>82.521245753925498</v>
      </c>
      <c r="K1409" s="9" t="s">
        <v>756</v>
      </c>
    </row>
    <row r="1410" spans="1:11" ht="12.5" customHeight="1" x14ac:dyDescent="0.25">
      <c r="A1410" s="5" t="s">
        <v>5049</v>
      </c>
      <c r="B1410" s="6" t="s">
        <v>4563</v>
      </c>
      <c r="C1410" s="6" t="s">
        <v>4636</v>
      </c>
      <c r="D1410" s="6" t="s">
        <v>5029</v>
      </c>
      <c r="E1410" s="6" t="s">
        <v>5050</v>
      </c>
      <c r="F1410" s="6" t="s">
        <v>5051</v>
      </c>
      <c r="G1410" s="9" t="s">
        <v>5052</v>
      </c>
      <c r="H1410" s="9" t="s">
        <v>18</v>
      </c>
      <c r="I1410" s="16" t="str">
        <f>VLOOKUP(F1410,[1]完整分类结果!$E:$G,3,0)</f>
        <v>化学原料及化学制品制造业</v>
      </c>
      <c r="J1410" s="16">
        <f>VLOOKUP(I1410,[2]行业排放因子!$A:$B,2,0)</f>
        <v>82.521245753925498</v>
      </c>
      <c r="K1410" s="9" t="s">
        <v>756</v>
      </c>
    </row>
    <row r="1411" spans="1:11" ht="12.5" customHeight="1" x14ac:dyDescent="0.25">
      <c r="A1411" s="5" t="s">
        <v>5053</v>
      </c>
      <c r="B1411" s="6" t="s">
        <v>4563</v>
      </c>
      <c r="C1411" s="6" t="s">
        <v>4636</v>
      </c>
      <c r="D1411" s="6" t="s">
        <v>5029</v>
      </c>
      <c r="E1411" s="6" t="s">
        <v>5054</v>
      </c>
      <c r="F1411" s="6" t="s">
        <v>5055</v>
      </c>
      <c r="G1411" s="9" t="s">
        <v>5056</v>
      </c>
      <c r="H1411" s="9" t="s">
        <v>18</v>
      </c>
      <c r="I1411" s="16" t="str">
        <f>VLOOKUP(F1411,[1]完整分类结果!$E:$G,3,0)</f>
        <v>化学原料及化学制品制造业</v>
      </c>
      <c r="J1411" s="16">
        <f>VLOOKUP(I1411,[2]行业排放因子!$A:$B,2,0)</f>
        <v>82.521245753925498</v>
      </c>
      <c r="K1411" s="9" t="s">
        <v>756</v>
      </c>
    </row>
    <row r="1412" spans="1:11" ht="12.5" customHeight="1" x14ac:dyDescent="0.25">
      <c r="A1412" s="5" t="s">
        <v>5057</v>
      </c>
      <c r="B1412" s="6" t="s">
        <v>4563</v>
      </c>
      <c r="C1412" s="6" t="s">
        <v>4636</v>
      </c>
      <c r="D1412" s="6" t="s">
        <v>5058</v>
      </c>
      <c r="E1412" s="6" t="s">
        <v>5059</v>
      </c>
      <c r="F1412" s="6" t="s">
        <v>5058</v>
      </c>
      <c r="G1412" s="9" t="s">
        <v>5060</v>
      </c>
      <c r="H1412" s="9" t="s">
        <v>18</v>
      </c>
      <c r="I1412" s="16" t="str">
        <f>VLOOKUP(F1412,[1]完整分类结果!$E:$G,3,0)</f>
        <v>化学原料及化学制品制造业</v>
      </c>
      <c r="J1412" s="16">
        <f>VLOOKUP(I1412,[2]行业排放因子!$A:$B,2,0)</f>
        <v>82.521245753925498</v>
      </c>
      <c r="K1412" s="9" t="s">
        <v>756</v>
      </c>
    </row>
    <row r="1413" spans="1:11" ht="12.5" customHeight="1" x14ac:dyDescent="0.25">
      <c r="A1413" s="5" t="s">
        <v>5061</v>
      </c>
      <c r="B1413" s="6" t="s">
        <v>4563</v>
      </c>
      <c r="C1413" s="6" t="s">
        <v>4636</v>
      </c>
      <c r="D1413" s="6" t="s">
        <v>5058</v>
      </c>
      <c r="E1413" s="6" t="s">
        <v>5062</v>
      </c>
      <c r="F1413" s="6" t="s">
        <v>5063</v>
      </c>
      <c r="G1413" s="9" t="s">
        <v>5064</v>
      </c>
      <c r="H1413" s="9" t="s">
        <v>18</v>
      </c>
      <c r="I1413" s="16" t="str">
        <f>VLOOKUP(F1413,[1]完整分类结果!$E:$G,3,0)</f>
        <v>化学原料及化学制品制造业</v>
      </c>
      <c r="J1413" s="16">
        <f>VLOOKUP(I1413,[2]行业排放因子!$A:$B,2,0)</f>
        <v>82.521245753925498</v>
      </c>
      <c r="K1413" s="9" t="s">
        <v>756</v>
      </c>
    </row>
    <row r="1414" spans="1:11" ht="12.5" customHeight="1" x14ac:dyDescent="0.25">
      <c r="A1414" s="5" t="s">
        <v>5065</v>
      </c>
      <c r="B1414" s="6" t="s">
        <v>4563</v>
      </c>
      <c r="C1414" s="6" t="s">
        <v>4636</v>
      </c>
      <c r="D1414" s="6" t="s">
        <v>5066</v>
      </c>
      <c r="E1414" s="6" t="s">
        <v>5067</v>
      </c>
      <c r="F1414" s="6" t="s">
        <v>5068</v>
      </c>
      <c r="G1414" s="9" t="s">
        <v>5069</v>
      </c>
      <c r="H1414" s="9" t="s">
        <v>18</v>
      </c>
      <c r="I1414" s="16" t="str">
        <f>VLOOKUP(F1414,[1]完整分类结果!$E:$G,3,0)</f>
        <v>化学原料及化学制品制造业</v>
      </c>
      <c r="J1414" s="16">
        <f>VLOOKUP(I1414,[2]行业排放因子!$A:$B,2,0)</f>
        <v>82.521245753925498</v>
      </c>
      <c r="K1414" s="9" t="s">
        <v>756</v>
      </c>
    </row>
    <row r="1415" spans="1:11" ht="12.5" customHeight="1" x14ac:dyDescent="0.25">
      <c r="A1415" s="5" t="s">
        <v>5070</v>
      </c>
      <c r="B1415" s="6" t="s">
        <v>4563</v>
      </c>
      <c r="C1415" s="6" t="s">
        <v>4636</v>
      </c>
      <c r="D1415" s="6" t="s">
        <v>5066</v>
      </c>
      <c r="E1415" s="6" t="s">
        <v>5071</v>
      </c>
      <c r="F1415" s="6" t="s">
        <v>5072</v>
      </c>
      <c r="G1415" s="9" t="s">
        <v>5073</v>
      </c>
      <c r="H1415" s="9" t="s">
        <v>18</v>
      </c>
      <c r="I1415" s="16" t="str">
        <f>VLOOKUP(F1415,[1]完整分类结果!$E:$G,3,0)</f>
        <v>化学原料及化学制品制造业</v>
      </c>
      <c r="J1415" s="16">
        <f>VLOOKUP(I1415,[2]行业排放因子!$A:$B,2,0)</f>
        <v>82.521245753925498</v>
      </c>
      <c r="K1415" s="9" t="s">
        <v>756</v>
      </c>
    </row>
    <row r="1416" spans="1:11" ht="12.5" customHeight="1" x14ac:dyDescent="0.25">
      <c r="A1416" s="5" t="s">
        <v>5074</v>
      </c>
      <c r="B1416" s="6" t="s">
        <v>4563</v>
      </c>
      <c r="C1416" s="6" t="s">
        <v>4636</v>
      </c>
      <c r="D1416" s="6" t="s">
        <v>5066</v>
      </c>
      <c r="E1416" s="6" t="s">
        <v>5075</v>
      </c>
      <c r="F1416" s="6" t="s">
        <v>5076</v>
      </c>
      <c r="G1416" s="9"/>
      <c r="H1416" s="9" t="s">
        <v>18</v>
      </c>
      <c r="I1416" s="16" t="str">
        <f>VLOOKUP(F1416,[1]完整分类结果!$E:$G,3,0)</f>
        <v>化学原料及化学制品制造业</v>
      </c>
      <c r="J1416" s="16">
        <f>VLOOKUP(I1416,[2]行业排放因子!$A:$B,2,0)</f>
        <v>82.521245753925498</v>
      </c>
      <c r="K1416" s="9" t="s">
        <v>756</v>
      </c>
    </row>
    <row r="1417" spans="1:11" ht="12.5" customHeight="1" x14ac:dyDescent="0.25">
      <c r="A1417" s="5" t="s">
        <v>5077</v>
      </c>
      <c r="B1417" s="6" t="s">
        <v>4563</v>
      </c>
      <c r="C1417" s="6" t="s">
        <v>4636</v>
      </c>
      <c r="D1417" s="6" t="s">
        <v>5078</v>
      </c>
      <c r="E1417" s="6" t="s">
        <v>5079</v>
      </c>
      <c r="F1417" s="6" t="s">
        <v>5080</v>
      </c>
      <c r="G1417" s="9" t="s">
        <v>5081</v>
      </c>
      <c r="H1417" s="9" t="s">
        <v>18</v>
      </c>
      <c r="I1417" s="16" t="str">
        <f>VLOOKUP(F1417,[1]完整分类结果!$E:$G,3,0)</f>
        <v>化学原料及化学制品制造业</v>
      </c>
      <c r="J1417" s="16">
        <f>VLOOKUP(I1417,[2]行业排放因子!$A:$B,2,0)</f>
        <v>82.521245753925498</v>
      </c>
      <c r="K1417" s="9" t="s">
        <v>756</v>
      </c>
    </row>
    <row r="1418" spans="1:11" ht="12.5" customHeight="1" x14ac:dyDescent="0.25">
      <c r="A1418" s="5" t="s">
        <v>5082</v>
      </c>
      <c r="B1418" s="6" t="s">
        <v>4563</v>
      </c>
      <c r="C1418" s="6" t="s">
        <v>4636</v>
      </c>
      <c r="D1418" s="6" t="s">
        <v>5078</v>
      </c>
      <c r="E1418" s="6" t="s">
        <v>5083</v>
      </c>
      <c r="F1418" s="6" t="s">
        <v>5084</v>
      </c>
      <c r="G1418" s="9"/>
      <c r="H1418" s="9" t="s">
        <v>18</v>
      </c>
      <c r="I1418" s="16" t="str">
        <f>VLOOKUP(F1418,[1]完整分类结果!$E:$G,3,0)</f>
        <v>化学原料及化学制品制造业</v>
      </c>
      <c r="J1418" s="16">
        <f>VLOOKUP(I1418,[2]行业排放因子!$A:$B,2,0)</f>
        <v>82.521245753925498</v>
      </c>
      <c r="K1418" s="9" t="s">
        <v>756</v>
      </c>
    </row>
    <row r="1419" spans="1:11" ht="12.5" customHeight="1" x14ac:dyDescent="0.25">
      <c r="A1419" s="5" t="s">
        <v>5085</v>
      </c>
      <c r="B1419" s="6" t="s">
        <v>4563</v>
      </c>
      <c r="C1419" s="6" t="s">
        <v>4636</v>
      </c>
      <c r="D1419" s="6" t="s">
        <v>5078</v>
      </c>
      <c r="E1419" s="6" t="s">
        <v>5086</v>
      </c>
      <c r="F1419" s="6" t="s">
        <v>5087</v>
      </c>
      <c r="G1419" s="9" t="s">
        <v>5088</v>
      </c>
      <c r="H1419" s="9" t="s">
        <v>18</v>
      </c>
      <c r="I1419" s="16" t="str">
        <f>VLOOKUP(F1419,[1]完整分类结果!$E:$G,3,0)</f>
        <v>化学原料及化学制品制造业</v>
      </c>
      <c r="J1419" s="16">
        <f>VLOOKUP(I1419,[2]行业排放因子!$A:$B,2,0)</f>
        <v>82.521245753925498</v>
      </c>
      <c r="K1419" s="9" t="s">
        <v>756</v>
      </c>
    </row>
    <row r="1420" spans="1:11" ht="12.5" customHeight="1" x14ac:dyDescent="0.25">
      <c r="A1420" s="5" t="s">
        <v>5089</v>
      </c>
      <c r="B1420" s="6" t="s">
        <v>4563</v>
      </c>
      <c r="C1420" s="6" t="s">
        <v>4636</v>
      </c>
      <c r="D1420" s="6" t="s">
        <v>5078</v>
      </c>
      <c r="E1420" s="6" t="s">
        <v>5090</v>
      </c>
      <c r="F1420" s="6" t="s">
        <v>5091</v>
      </c>
      <c r="G1420" s="9" t="s">
        <v>5092</v>
      </c>
      <c r="H1420" s="9" t="s">
        <v>18</v>
      </c>
      <c r="I1420" s="16" t="str">
        <f>VLOOKUP(F1420,[1]完整分类结果!$E:$G,3,0)</f>
        <v>化学原料及化学制品制造业</v>
      </c>
      <c r="J1420" s="16">
        <f>VLOOKUP(I1420,[2]行业排放因子!$A:$B,2,0)</f>
        <v>82.521245753925498</v>
      </c>
      <c r="K1420" s="9" t="s">
        <v>756</v>
      </c>
    </row>
    <row r="1421" spans="1:11" ht="12.5" customHeight="1" x14ac:dyDescent="0.25">
      <c r="A1421" s="5" t="s">
        <v>5093</v>
      </c>
      <c r="B1421" s="6" t="s">
        <v>4563</v>
      </c>
      <c r="C1421" s="6" t="s">
        <v>4636</v>
      </c>
      <c r="D1421" s="6" t="s">
        <v>5078</v>
      </c>
      <c r="E1421" s="6" t="s">
        <v>5094</v>
      </c>
      <c r="F1421" s="6" t="s">
        <v>5095</v>
      </c>
      <c r="G1421" s="9" t="s">
        <v>5096</v>
      </c>
      <c r="H1421" s="9" t="s">
        <v>18</v>
      </c>
      <c r="I1421" s="16" t="str">
        <f>VLOOKUP(F1421,[1]完整分类结果!$E:$G,3,0)</f>
        <v>化学原料及化学制品制造业</v>
      </c>
      <c r="J1421" s="16">
        <f>VLOOKUP(I1421,[2]行业排放因子!$A:$B,2,0)</f>
        <v>82.521245753925498</v>
      </c>
      <c r="K1421" s="9" t="s">
        <v>756</v>
      </c>
    </row>
    <row r="1422" spans="1:11" ht="12.5" customHeight="1" x14ac:dyDescent="0.25">
      <c r="A1422" s="5" t="s">
        <v>5097</v>
      </c>
      <c r="B1422" s="6" t="s">
        <v>4563</v>
      </c>
      <c r="C1422" s="6" t="s">
        <v>4636</v>
      </c>
      <c r="D1422" s="6" t="s">
        <v>5078</v>
      </c>
      <c r="E1422" s="6" t="s">
        <v>5098</v>
      </c>
      <c r="F1422" s="6" t="s">
        <v>5099</v>
      </c>
      <c r="G1422" s="9" t="s">
        <v>5100</v>
      </c>
      <c r="H1422" s="9" t="s">
        <v>18</v>
      </c>
      <c r="I1422" s="16" t="str">
        <f>VLOOKUP(F1422,[1]完整分类结果!$E:$G,3,0)</f>
        <v>化学原料及化学制品制造业</v>
      </c>
      <c r="J1422" s="16">
        <f>VLOOKUP(I1422,[2]行业排放因子!$A:$B,2,0)</f>
        <v>82.521245753925498</v>
      </c>
      <c r="K1422" s="9" t="s">
        <v>756</v>
      </c>
    </row>
    <row r="1423" spans="1:11" ht="12.5" customHeight="1" x14ac:dyDescent="0.25">
      <c r="A1423" s="5" t="s">
        <v>5101</v>
      </c>
      <c r="B1423" s="6" t="s">
        <v>4563</v>
      </c>
      <c r="C1423" s="6" t="s">
        <v>4636</v>
      </c>
      <c r="D1423" s="6" t="s">
        <v>5078</v>
      </c>
      <c r="E1423" s="6" t="s">
        <v>5102</v>
      </c>
      <c r="F1423" s="6" t="s">
        <v>5103</v>
      </c>
      <c r="G1423" s="9" t="s">
        <v>5104</v>
      </c>
      <c r="H1423" s="9" t="s">
        <v>18</v>
      </c>
      <c r="I1423" s="16" t="str">
        <f>VLOOKUP(F1423,[1]完整分类结果!$E:$G,3,0)</f>
        <v>化学原料及化学制品制造业</v>
      </c>
      <c r="J1423" s="16">
        <f>VLOOKUP(I1423,[2]行业排放因子!$A:$B,2,0)</f>
        <v>82.521245753925498</v>
      </c>
      <c r="K1423" s="9" t="s">
        <v>756</v>
      </c>
    </row>
    <row r="1424" spans="1:11" ht="12.5" customHeight="1" x14ac:dyDescent="0.25">
      <c r="A1424" s="5" t="s">
        <v>5105</v>
      </c>
      <c r="B1424" s="6" t="s">
        <v>4563</v>
      </c>
      <c r="C1424" s="6" t="s">
        <v>4636</v>
      </c>
      <c r="D1424" s="6" t="s">
        <v>5078</v>
      </c>
      <c r="E1424" s="6" t="s">
        <v>5106</v>
      </c>
      <c r="F1424" s="6" t="s">
        <v>5107</v>
      </c>
      <c r="G1424" s="9" t="s">
        <v>5108</v>
      </c>
      <c r="H1424" s="9" t="s">
        <v>18</v>
      </c>
      <c r="I1424" s="16" t="str">
        <f>VLOOKUP(F1424,[1]完整分类结果!$E:$G,3,0)</f>
        <v>化学原料及化学制品制造业</v>
      </c>
      <c r="J1424" s="16">
        <f>VLOOKUP(I1424,[2]行业排放因子!$A:$B,2,0)</f>
        <v>82.521245753925498</v>
      </c>
      <c r="K1424" s="9" t="s">
        <v>756</v>
      </c>
    </row>
    <row r="1425" spans="1:11" ht="12.5" customHeight="1" x14ac:dyDescent="0.25">
      <c r="A1425" s="5" t="s">
        <v>5109</v>
      </c>
      <c r="B1425" s="6" t="s">
        <v>4563</v>
      </c>
      <c r="C1425" s="6" t="s">
        <v>4636</v>
      </c>
      <c r="D1425" s="6" t="s">
        <v>5078</v>
      </c>
      <c r="E1425" s="6" t="s">
        <v>5110</v>
      </c>
      <c r="F1425" s="6" t="s">
        <v>5111</v>
      </c>
      <c r="G1425" s="9" t="s">
        <v>5112</v>
      </c>
      <c r="H1425" s="9" t="s">
        <v>18</v>
      </c>
      <c r="I1425" s="16" t="str">
        <f>VLOOKUP(F1425,[1]完整分类结果!$E:$G,3,0)</f>
        <v>化学原料及化学制品制造业</v>
      </c>
      <c r="J1425" s="16">
        <f>VLOOKUP(I1425,[2]行业排放因子!$A:$B,2,0)</f>
        <v>82.521245753925498</v>
      </c>
      <c r="K1425" s="9" t="s">
        <v>756</v>
      </c>
    </row>
    <row r="1426" spans="1:11" ht="12.5" customHeight="1" x14ac:dyDescent="0.25">
      <c r="A1426" s="5" t="s">
        <v>5113</v>
      </c>
      <c r="B1426" s="6" t="s">
        <v>4563</v>
      </c>
      <c r="C1426" s="6" t="s">
        <v>4636</v>
      </c>
      <c r="D1426" s="6" t="s">
        <v>5078</v>
      </c>
      <c r="E1426" s="6" t="s">
        <v>5114</v>
      </c>
      <c r="F1426" s="6" t="s">
        <v>5115</v>
      </c>
      <c r="G1426" s="9" t="s">
        <v>5116</v>
      </c>
      <c r="H1426" s="9" t="s">
        <v>18</v>
      </c>
      <c r="I1426" s="16" t="str">
        <f>VLOOKUP(F1426,[1]完整分类结果!$E:$G,3,0)</f>
        <v>化学原料及化学制品制造业</v>
      </c>
      <c r="J1426" s="16">
        <f>VLOOKUP(I1426,[2]行业排放因子!$A:$B,2,0)</f>
        <v>82.521245753925498</v>
      </c>
      <c r="K1426" s="9" t="s">
        <v>756</v>
      </c>
    </row>
    <row r="1427" spans="1:11" ht="12.5" customHeight="1" x14ac:dyDescent="0.25">
      <c r="A1427" s="5" t="s">
        <v>5117</v>
      </c>
      <c r="B1427" s="6" t="s">
        <v>4563</v>
      </c>
      <c r="C1427" s="6" t="s">
        <v>4636</v>
      </c>
      <c r="D1427" s="6" t="s">
        <v>5118</v>
      </c>
      <c r="E1427" s="6" t="s">
        <v>5119</v>
      </c>
      <c r="F1427" s="6" t="s">
        <v>5120</v>
      </c>
      <c r="G1427" s="9" t="s">
        <v>5121</v>
      </c>
      <c r="H1427" s="9" t="s">
        <v>18</v>
      </c>
      <c r="I1427" s="16" t="str">
        <f>VLOOKUP(F1427,[1]完整分类结果!$E:$G,3,0)</f>
        <v>化学原料及化学制品制造业</v>
      </c>
      <c r="J1427" s="16">
        <f>VLOOKUP(I1427,[2]行业排放因子!$A:$B,2,0)</f>
        <v>82.521245753925498</v>
      </c>
      <c r="K1427" s="9" t="s">
        <v>779</v>
      </c>
    </row>
    <row r="1428" spans="1:11" ht="12.5" customHeight="1" x14ac:dyDescent="0.25">
      <c r="A1428" s="5" t="s">
        <v>5122</v>
      </c>
      <c r="B1428" s="6" t="s">
        <v>4563</v>
      </c>
      <c r="C1428" s="6" t="s">
        <v>4636</v>
      </c>
      <c r="D1428" s="6" t="s">
        <v>5118</v>
      </c>
      <c r="E1428" s="6" t="s">
        <v>5123</v>
      </c>
      <c r="F1428" s="6" t="s">
        <v>5124</v>
      </c>
      <c r="G1428" s="9" t="s">
        <v>5125</v>
      </c>
      <c r="H1428" s="9" t="s">
        <v>18</v>
      </c>
      <c r="I1428" s="16" t="str">
        <f>VLOOKUP(F1428,[1]完整分类结果!$E:$G,3,0)</f>
        <v>化学原料及化学制品制造业</v>
      </c>
      <c r="J1428" s="16">
        <f>VLOOKUP(I1428,[2]行业排放因子!$A:$B,2,0)</f>
        <v>82.521245753925498</v>
      </c>
      <c r="K1428" s="9" t="s">
        <v>756</v>
      </c>
    </row>
    <row r="1429" spans="1:11" ht="12.5" customHeight="1" x14ac:dyDescent="0.25">
      <c r="A1429" s="5" t="s">
        <v>5126</v>
      </c>
      <c r="B1429" s="6" t="s">
        <v>4563</v>
      </c>
      <c r="C1429" s="6" t="s">
        <v>4636</v>
      </c>
      <c r="D1429" s="6" t="s">
        <v>5118</v>
      </c>
      <c r="E1429" s="6" t="s">
        <v>5127</v>
      </c>
      <c r="F1429" s="6" t="s">
        <v>5128</v>
      </c>
      <c r="G1429" s="9" t="s">
        <v>5129</v>
      </c>
      <c r="H1429" s="9" t="s">
        <v>18</v>
      </c>
      <c r="I1429" s="16" t="str">
        <f>VLOOKUP(F1429,[1]完整分类结果!$E:$G,3,0)</f>
        <v>化学原料及化学制品制造业</v>
      </c>
      <c r="J1429" s="16">
        <f>VLOOKUP(I1429,[2]行业排放因子!$A:$B,2,0)</f>
        <v>82.521245753925498</v>
      </c>
      <c r="K1429" s="9" t="s">
        <v>756</v>
      </c>
    </row>
    <row r="1430" spans="1:11" ht="12.5" customHeight="1" x14ac:dyDescent="0.25">
      <c r="A1430" s="5" t="s">
        <v>5130</v>
      </c>
      <c r="B1430" s="6" t="s">
        <v>4563</v>
      </c>
      <c r="C1430" s="6" t="s">
        <v>4636</v>
      </c>
      <c r="D1430" s="6" t="s">
        <v>5118</v>
      </c>
      <c r="E1430" s="6" t="s">
        <v>5131</v>
      </c>
      <c r="F1430" s="6" t="s">
        <v>5132</v>
      </c>
      <c r="G1430" s="9" t="s">
        <v>5133</v>
      </c>
      <c r="H1430" s="9" t="s">
        <v>18</v>
      </c>
      <c r="I1430" s="16" t="str">
        <f>VLOOKUP(F1430,[1]完整分类结果!$E:$G,3,0)</f>
        <v>化学原料及化学制品制造业</v>
      </c>
      <c r="J1430" s="16">
        <f>VLOOKUP(I1430,[2]行业排放因子!$A:$B,2,0)</f>
        <v>82.521245753925498</v>
      </c>
      <c r="K1430" s="9" t="s">
        <v>756</v>
      </c>
    </row>
    <row r="1431" spans="1:11" ht="12.5" customHeight="1" x14ac:dyDescent="0.25">
      <c r="A1431" s="5" t="s">
        <v>5134</v>
      </c>
      <c r="B1431" s="6" t="s">
        <v>4563</v>
      </c>
      <c r="C1431" s="6" t="s">
        <v>4636</v>
      </c>
      <c r="D1431" s="6" t="s">
        <v>5118</v>
      </c>
      <c r="E1431" s="6" t="s">
        <v>5135</v>
      </c>
      <c r="F1431" s="6" t="s">
        <v>5136</v>
      </c>
      <c r="G1431" s="9" t="s">
        <v>5137</v>
      </c>
      <c r="H1431" s="9" t="s">
        <v>18</v>
      </c>
      <c r="I1431" s="16" t="str">
        <f>VLOOKUP(F1431,[1]完整分类结果!$E:$G,3,0)</f>
        <v>化学原料及化学制品制造业</v>
      </c>
      <c r="J1431" s="16">
        <f>VLOOKUP(I1431,[2]行业排放因子!$A:$B,2,0)</f>
        <v>82.521245753925498</v>
      </c>
      <c r="K1431" s="9" t="s">
        <v>779</v>
      </c>
    </row>
    <row r="1432" spans="1:11" ht="12.5" customHeight="1" x14ac:dyDescent="0.25">
      <c r="A1432" s="5" t="s">
        <v>5138</v>
      </c>
      <c r="B1432" s="6" t="s">
        <v>4563</v>
      </c>
      <c r="C1432" s="6" t="s">
        <v>4636</v>
      </c>
      <c r="D1432" s="6" t="s">
        <v>5118</v>
      </c>
      <c r="E1432" s="6" t="s">
        <v>5139</v>
      </c>
      <c r="F1432" s="6" t="s">
        <v>5140</v>
      </c>
      <c r="G1432" s="9" t="s">
        <v>5141</v>
      </c>
      <c r="H1432" s="9" t="s">
        <v>18</v>
      </c>
      <c r="I1432" s="16" t="str">
        <f>VLOOKUP(F1432,[1]完整分类结果!$E:$G,3,0)</f>
        <v>化学原料及化学制品制造业</v>
      </c>
      <c r="J1432" s="16">
        <f>VLOOKUP(I1432,[2]行业排放因子!$A:$B,2,0)</f>
        <v>82.521245753925498</v>
      </c>
      <c r="K1432" s="9" t="s">
        <v>756</v>
      </c>
    </row>
    <row r="1433" spans="1:11" ht="12.5" customHeight="1" x14ac:dyDescent="0.25">
      <c r="A1433" s="5" t="s">
        <v>5142</v>
      </c>
      <c r="B1433" s="6" t="s">
        <v>4563</v>
      </c>
      <c r="C1433" s="6" t="s">
        <v>4636</v>
      </c>
      <c r="D1433" s="6" t="s">
        <v>5118</v>
      </c>
      <c r="E1433" s="6" t="s">
        <v>5143</v>
      </c>
      <c r="F1433" s="6" t="s">
        <v>5144</v>
      </c>
      <c r="G1433" s="9" t="s">
        <v>5145</v>
      </c>
      <c r="H1433" s="9" t="s">
        <v>18</v>
      </c>
      <c r="I1433" s="16" t="str">
        <f>VLOOKUP(F1433,[1]完整分类结果!$E:$G,3,0)</f>
        <v>化学原料及化学制品制造业</v>
      </c>
      <c r="J1433" s="16">
        <f>VLOOKUP(I1433,[2]行业排放因子!$A:$B,2,0)</f>
        <v>82.521245753925498</v>
      </c>
      <c r="K1433" s="9" t="s">
        <v>756</v>
      </c>
    </row>
    <row r="1434" spans="1:11" ht="12.5" customHeight="1" x14ac:dyDescent="0.25">
      <c r="A1434" s="5" t="s">
        <v>5146</v>
      </c>
      <c r="B1434" s="6" t="s">
        <v>4563</v>
      </c>
      <c r="C1434" s="6" t="s">
        <v>4636</v>
      </c>
      <c r="D1434" s="6" t="s">
        <v>5118</v>
      </c>
      <c r="E1434" s="6" t="s">
        <v>5147</v>
      </c>
      <c r="F1434" s="6" t="s">
        <v>5148</v>
      </c>
      <c r="G1434" s="9" t="s">
        <v>5149</v>
      </c>
      <c r="H1434" s="9" t="s">
        <v>18</v>
      </c>
      <c r="I1434" s="16" t="str">
        <f>VLOOKUP(F1434,[1]完整分类结果!$E:$G,3,0)</f>
        <v>化学原料及化学制品制造业</v>
      </c>
      <c r="J1434" s="16">
        <f>VLOOKUP(I1434,[2]行业排放因子!$A:$B,2,0)</f>
        <v>82.521245753925498</v>
      </c>
      <c r="K1434" s="9" t="s">
        <v>756</v>
      </c>
    </row>
    <row r="1435" spans="1:11" ht="12.5" customHeight="1" x14ac:dyDescent="0.25">
      <c r="A1435" s="5" t="s">
        <v>5150</v>
      </c>
      <c r="B1435" s="6" t="s">
        <v>4563</v>
      </c>
      <c r="C1435" s="6" t="s">
        <v>4636</v>
      </c>
      <c r="D1435" s="6" t="s">
        <v>5118</v>
      </c>
      <c r="E1435" s="6" t="s">
        <v>5151</v>
      </c>
      <c r="F1435" s="6" t="s">
        <v>5152</v>
      </c>
      <c r="G1435" s="9" t="s">
        <v>5153</v>
      </c>
      <c r="H1435" s="9" t="s">
        <v>18</v>
      </c>
      <c r="I1435" s="16" t="str">
        <f>VLOOKUP(F1435,[1]完整分类结果!$E:$G,3,0)</f>
        <v>化学原料及化学制品制造业</v>
      </c>
      <c r="J1435" s="16">
        <f>VLOOKUP(I1435,[2]行业排放因子!$A:$B,2,0)</f>
        <v>82.521245753925498</v>
      </c>
      <c r="K1435" s="9" t="s">
        <v>756</v>
      </c>
    </row>
    <row r="1436" spans="1:11" ht="12.5" customHeight="1" x14ac:dyDescent="0.25">
      <c r="A1436" s="5" t="s">
        <v>5154</v>
      </c>
      <c r="B1436" s="6" t="s">
        <v>4563</v>
      </c>
      <c r="C1436" s="6" t="s">
        <v>4636</v>
      </c>
      <c r="D1436" s="6" t="s">
        <v>5118</v>
      </c>
      <c r="E1436" s="6" t="s">
        <v>5155</v>
      </c>
      <c r="F1436" s="6" t="s">
        <v>5156</v>
      </c>
      <c r="G1436" s="9"/>
      <c r="H1436" s="9" t="s">
        <v>18</v>
      </c>
      <c r="I1436" s="16" t="str">
        <f>VLOOKUP(F1436,[1]完整分类结果!$E:$G,3,0)</f>
        <v>化学原料及化学制品制造业</v>
      </c>
      <c r="J1436" s="16">
        <f>VLOOKUP(I1436,[2]行业排放因子!$A:$B,2,0)</f>
        <v>82.521245753925498</v>
      </c>
      <c r="K1436" s="9" t="s">
        <v>756</v>
      </c>
    </row>
    <row r="1437" spans="1:11" ht="12.5" customHeight="1" x14ac:dyDescent="0.25">
      <c r="A1437" s="5" t="s">
        <v>5157</v>
      </c>
      <c r="B1437" s="6" t="s">
        <v>4563</v>
      </c>
      <c r="C1437" s="6" t="s">
        <v>4636</v>
      </c>
      <c r="D1437" s="6" t="s">
        <v>5118</v>
      </c>
      <c r="E1437" s="6" t="s">
        <v>5158</v>
      </c>
      <c r="F1437" s="6" t="s">
        <v>5159</v>
      </c>
      <c r="G1437" s="9" t="s">
        <v>5160</v>
      </c>
      <c r="H1437" s="9" t="s">
        <v>18</v>
      </c>
      <c r="I1437" s="16" t="str">
        <f>VLOOKUP(F1437,[1]完整分类结果!$E:$G,3,0)</f>
        <v>化学原料及化学制品制造业</v>
      </c>
      <c r="J1437" s="16">
        <f>VLOOKUP(I1437,[2]行业排放因子!$A:$B,2,0)</f>
        <v>82.521245753925498</v>
      </c>
      <c r="K1437" s="9" t="s">
        <v>756</v>
      </c>
    </row>
    <row r="1438" spans="1:11" ht="12.5" customHeight="1" x14ac:dyDescent="0.25">
      <c r="A1438" s="5" t="s">
        <v>5161</v>
      </c>
      <c r="B1438" s="6" t="s">
        <v>4563</v>
      </c>
      <c r="C1438" s="6" t="s">
        <v>4636</v>
      </c>
      <c r="D1438" s="6" t="s">
        <v>5118</v>
      </c>
      <c r="E1438" s="6" t="s">
        <v>5162</v>
      </c>
      <c r="F1438" s="6" t="s">
        <v>5163</v>
      </c>
      <c r="G1438" s="9" t="s">
        <v>5164</v>
      </c>
      <c r="H1438" s="9" t="s">
        <v>18</v>
      </c>
      <c r="I1438" s="16" t="str">
        <f>VLOOKUP(F1438,[1]完整分类结果!$E:$G,3,0)</f>
        <v>化学原料及化学制品制造业</v>
      </c>
      <c r="J1438" s="16">
        <f>VLOOKUP(I1438,[2]行业排放因子!$A:$B,2,0)</f>
        <v>82.521245753925498</v>
      </c>
      <c r="K1438" s="9" t="s">
        <v>756</v>
      </c>
    </row>
    <row r="1439" spans="1:11" ht="12.5" customHeight="1" x14ac:dyDescent="0.25">
      <c r="A1439" s="5" t="s">
        <v>5165</v>
      </c>
      <c r="B1439" s="6" t="s">
        <v>4563</v>
      </c>
      <c r="C1439" s="6" t="s">
        <v>4636</v>
      </c>
      <c r="D1439" s="6" t="s">
        <v>5118</v>
      </c>
      <c r="E1439" s="6" t="s">
        <v>5166</v>
      </c>
      <c r="F1439" s="6" t="s">
        <v>5167</v>
      </c>
      <c r="G1439" s="9" t="s">
        <v>5168</v>
      </c>
      <c r="H1439" s="9" t="s">
        <v>18</v>
      </c>
      <c r="I1439" s="16" t="str">
        <f>VLOOKUP(F1439,[1]完整分类结果!$E:$G,3,0)</f>
        <v>化学原料及化学制品制造业</v>
      </c>
      <c r="J1439" s="16">
        <f>VLOOKUP(I1439,[2]行业排放因子!$A:$B,2,0)</f>
        <v>82.521245753925498</v>
      </c>
      <c r="K1439" s="9" t="s">
        <v>756</v>
      </c>
    </row>
    <row r="1440" spans="1:11" ht="12.5" customHeight="1" x14ac:dyDescent="0.25">
      <c r="A1440" s="5" t="s">
        <v>5169</v>
      </c>
      <c r="B1440" s="6" t="s">
        <v>4563</v>
      </c>
      <c r="C1440" s="6" t="s">
        <v>4636</v>
      </c>
      <c r="D1440" s="6" t="s">
        <v>5118</v>
      </c>
      <c r="E1440" s="6" t="s">
        <v>5170</v>
      </c>
      <c r="F1440" s="6" t="s">
        <v>5171</v>
      </c>
      <c r="G1440" s="9" t="s">
        <v>5172</v>
      </c>
      <c r="H1440" s="9" t="s">
        <v>18</v>
      </c>
      <c r="I1440" s="16" t="str">
        <f>VLOOKUP(F1440,[1]完整分类结果!$E:$G,3,0)</f>
        <v>化学原料及化学制品制造业</v>
      </c>
      <c r="J1440" s="16">
        <f>VLOOKUP(I1440,[2]行业排放因子!$A:$B,2,0)</f>
        <v>82.521245753925498</v>
      </c>
      <c r="K1440" s="9" t="s">
        <v>756</v>
      </c>
    </row>
    <row r="1441" spans="1:11" ht="12.5" customHeight="1" x14ac:dyDescent="0.25">
      <c r="A1441" s="5" t="s">
        <v>5173</v>
      </c>
      <c r="B1441" s="6" t="s">
        <v>4563</v>
      </c>
      <c r="C1441" s="6" t="s">
        <v>4636</v>
      </c>
      <c r="D1441" s="6" t="s">
        <v>5118</v>
      </c>
      <c r="E1441" s="6" t="s">
        <v>5174</v>
      </c>
      <c r="F1441" s="6" t="s">
        <v>5175</v>
      </c>
      <c r="G1441" s="9" t="s">
        <v>5176</v>
      </c>
      <c r="H1441" s="9" t="s">
        <v>18</v>
      </c>
      <c r="I1441" s="16" t="str">
        <f>VLOOKUP(F1441,[1]完整分类结果!$E:$G,3,0)</f>
        <v>化学原料及化学制品制造业</v>
      </c>
      <c r="J1441" s="16">
        <f>VLOOKUP(I1441,[2]行业排放因子!$A:$B,2,0)</f>
        <v>82.521245753925498</v>
      </c>
      <c r="K1441" s="9" t="s">
        <v>756</v>
      </c>
    </row>
    <row r="1442" spans="1:11" ht="12.5" customHeight="1" x14ac:dyDescent="0.25">
      <c r="A1442" s="5" t="s">
        <v>5177</v>
      </c>
      <c r="B1442" s="6" t="s">
        <v>4563</v>
      </c>
      <c r="C1442" s="6" t="s">
        <v>4636</v>
      </c>
      <c r="D1442" s="6" t="s">
        <v>5118</v>
      </c>
      <c r="E1442" s="6" t="s">
        <v>5178</v>
      </c>
      <c r="F1442" s="6" t="s">
        <v>5179</v>
      </c>
      <c r="G1442" s="9"/>
      <c r="H1442" s="9" t="s">
        <v>18</v>
      </c>
      <c r="I1442" s="16" t="str">
        <f>VLOOKUP(F1442,[1]完整分类结果!$E:$G,3,0)</f>
        <v>化学原料及化学制品制造业</v>
      </c>
      <c r="J1442" s="16">
        <f>VLOOKUP(I1442,[2]行业排放因子!$A:$B,2,0)</f>
        <v>82.521245753925498</v>
      </c>
      <c r="K1442" s="9" t="s">
        <v>756</v>
      </c>
    </row>
    <row r="1443" spans="1:11" ht="12.5" customHeight="1" x14ac:dyDescent="0.25">
      <c r="A1443" s="5" t="s">
        <v>5180</v>
      </c>
      <c r="B1443" s="6" t="s">
        <v>4563</v>
      </c>
      <c r="C1443" s="6" t="s">
        <v>4636</v>
      </c>
      <c r="D1443" s="6" t="s">
        <v>5181</v>
      </c>
      <c r="E1443" s="6" t="s">
        <v>5182</v>
      </c>
      <c r="F1443" s="6" t="s">
        <v>5183</v>
      </c>
      <c r="G1443" s="9" t="s">
        <v>5184</v>
      </c>
      <c r="H1443" s="9" t="s">
        <v>18</v>
      </c>
      <c r="I1443" s="16" t="str">
        <f>VLOOKUP(F1443,[1]完整分类结果!$E:$G,3,0)</f>
        <v>化学原料及化学制品制造业</v>
      </c>
      <c r="J1443" s="16">
        <f>VLOOKUP(I1443,[2]行业排放因子!$A:$B,2,0)</f>
        <v>82.521245753925498</v>
      </c>
      <c r="K1443" s="9" t="s">
        <v>756</v>
      </c>
    </row>
    <row r="1444" spans="1:11" ht="12.5" customHeight="1" x14ac:dyDescent="0.25">
      <c r="A1444" s="5" t="s">
        <v>5185</v>
      </c>
      <c r="B1444" s="6" t="s">
        <v>4563</v>
      </c>
      <c r="C1444" s="6" t="s">
        <v>4636</v>
      </c>
      <c r="D1444" s="6" t="s">
        <v>5181</v>
      </c>
      <c r="E1444" s="6" t="s">
        <v>5186</v>
      </c>
      <c r="F1444" s="6" t="s">
        <v>5187</v>
      </c>
      <c r="G1444" s="9" t="s">
        <v>5188</v>
      </c>
      <c r="H1444" s="9" t="s">
        <v>18</v>
      </c>
      <c r="I1444" s="16" t="str">
        <f>VLOOKUP(F1444,[1]完整分类结果!$E:$G,3,0)</f>
        <v>化学原料及化学制品制造业</v>
      </c>
      <c r="J1444" s="16">
        <f>VLOOKUP(I1444,[2]行业排放因子!$A:$B,2,0)</f>
        <v>82.521245753925498</v>
      </c>
      <c r="K1444" s="9" t="s">
        <v>756</v>
      </c>
    </row>
    <row r="1445" spans="1:11" ht="12.5" customHeight="1" x14ac:dyDescent="0.25">
      <c r="A1445" s="5" t="s">
        <v>5189</v>
      </c>
      <c r="B1445" s="6" t="s">
        <v>4563</v>
      </c>
      <c r="C1445" s="6" t="s">
        <v>4636</v>
      </c>
      <c r="D1445" s="6" t="s">
        <v>5181</v>
      </c>
      <c r="E1445" s="6" t="s">
        <v>5190</v>
      </c>
      <c r="F1445" s="6" t="s">
        <v>5191</v>
      </c>
      <c r="G1445" s="9" t="s">
        <v>5192</v>
      </c>
      <c r="H1445" s="9" t="s">
        <v>18</v>
      </c>
      <c r="I1445" s="16" t="str">
        <f>VLOOKUP(F1445,[1]完整分类结果!$E:$G,3,0)</f>
        <v>化学原料及化学制品制造业</v>
      </c>
      <c r="J1445" s="16">
        <f>VLOOKUP(I1445,[2]行业排放因子!$A:$B,2,0)</f>
        <v>82.521245753925498</v>
      </c>
      <c r="K1445" s="9" t="s">
        <v>756</v>
      </c>
    </row>
    <row r="1446" spans="1:11" ht="12.5" customHeight="1" x14ac:dyDescent="0.25">
      <c r="A1446" s="5" t="s">
        <v>5193</v>
      </c>
      <c r="B1446" s="6" t="s">
        <v>4563</v>
      </c>
      <c r="C1446" s="6" t="s">
        <v>4636</v>
      </c>
      <c r="D1446" s="6" t="s">
        <v>5181</v>
      </c>
      <c r="E1446" s="6" t="s">
        <v>5194</v>
      </c>
      <c r="F1446" s="6" t="s">
        <v>5195</v>
      </c>
      <c r="G1446" s="9" t="s">
        <v>5196</v>
      </c>
      <c r="H1446" s="9" t="s">
        <v>18</v>
      </c>
      <c r="I1446" s="16" t="str">
        <f>VLOOKUP(F1446,[1]完整分类结果!$E:$G,3,0)</f>
        <v>化学原料及化学制品制造业</v>
      </c>
      <c r="J1446" s="16">
        <f>VLOOKUP(I1446,[2]行业排放因子!$A:$B,2,0)</f>
        <v>82.521245753925498</v>
      </c>
      <c r="K1446" s="9" t="s">
        <v>756</v>
      </c>
    </row>
    <row r="1447" spans="1:11" ht="12.5" customHeight="1" x14ac:dyDescent="0.25">
      <c r="A1447" s="5" t="s">
        <v>5197</v>
      </c>
      <c r="B1447" s="6" t="s">
        <v>4563</v>
      </c>
      <c r="C1447" s="6" t="s">
        <v>4636</v>
      </c>
      <c r="D1447" s="6" t="s">
        <v>5181</v>
      </c>
      <c r="E1447" s="6" t="s">
        <v>5198</v>
      </c>
      <c r="F1447" s="6" t="s">
        <v>5199</v>
      </c>
      <c r="G1447" s="9" t="s">
        <v>5200</v>
      </c>
      <c r="H1447" s="9" t="s">
        <v>18</v>
      </c>
      <c r="I1447" s="16" t="str">
        <f>VLOOKUP(F1447,[1]完整分类结果!$E:$G,3,0)</f>
        <v>化学原料及化学制品制造业</v>
      </c>
      <c r="J1447" s="16">
        <f>VLOOKUP(I1447,[2]行业排放因子!$A:$B,2,0)</f>
        <v>82.521245753925498</v>
      </c>
      <c r="K1447" s="9" t="s">
        <v>756</v>
      </c>
    </row>
    <row r="1448" spans="1:11" ht="12.5" customHeight="1" x14ac:dyDescent="0.25">
      <c r="A1448" s="5" t="s">
        <v>5201</v>
      </c>
      <c r="B1448" s="6" t="s">
        <v>4563</v>
      </c>
      <c r="C1448" s="6" t="s">
        <v>4636</v>
      </c>
      <c r="D1448" s="6" t="s">
        <v>5181</v>
      </c>
      <c r="E1448" s="6" t="s">
        <v>5202</v>
      </c>
      <c r="F1448" s="6" t="s">
        <v>5203</v>
      </c>
      <c r="G1448" s="9" t="s">
        <v>5204</v>
      </c>
      <c r="H1448" s="9" t="s">
        <v>18</v>
      </c>
      <c r="I1448" s="16" t="str">
        <f>VLOOKUP(F1448,[1]完整分类结果!$E:$G,3,0)</f>
        <v>化学原料及化学制品制造业</v>
      </c>
      <c r="J1448" s="16">
        <f>VLOOKUP(I1448,[2]行业排放因子!$A:$B,2,0)</f>
        <v>82.521245753925498</v>
      </c>
      <c r="K1448" s="9" t="s">
        <v>756</v>
      </c>
    </row>
    <row r="1449" spans="1:11" ht="12.5" customHeight="1" x14ac:dyDescent="0.25">
      <c r="A1449" s="5" t="s">
        <v>5205</v>
      </c>
      <c r="B1449" s="6" t="s">
        <v>4563</v>
      </c>
      <c r="C1449" s="6" t="s">
        <v>4636</v>
      </c>
      <c r="D1449" s="6" t="s">
        <v>5181</v>
      </c>
      <c r="E1449" s="6" t="s">
        <v>5206</v>
      </c>
      <c r="F1449" s="6" t="s">
        <v>5207</v>
      </c>
      <c r="G1449" s="9" t="s">
        <v>5208</v>
      </c>
      <c r="H1449" s="9" t="s">
        <v>18</v>
      </c>
      <c r="I1449" s="16" t="str">
        <f>VLOOKUP(F1449,[1]完整分类结果!$E:$G,3,0)</f>
        <v>化学原料及化学制品制造业</v>
      </c>
      <c r="J1449" s="16">
        <f>VLOOKUP(I1449,[2]行业排放因子!$A:$B,2,0)</f>
        <v>82.521245753925498</v>
      </c>
      <c r="K1449" s="9" t="s">
        <v>756</v>
      </c>
    </row>
    <row r="1450" spans="1:11" ht="12.5" customHeight="1" x14ac:dyDescent="0.25">
      <c r="A1450" s="5" t="s">
        <v>5209</v>
      </c>
      <c r="B1450" s="6" t="s">
        <v>4563</v>
      </c>
      <c r="C1450" s="6" t="s">
        <v>4636</v>
      </c>
      <c r="D1450" s="6" t="s">
        <v>5181</v>
      </c>
      <c r="E1450" s="6" t="s">
        <v>5210</v>
      </c>
      <c r="F1450" s="6" t="s">
        <v>5211</v>
      </c>
      <c r="G1450" s="9"/>
      <c r="H1450" s="9" t="s">
        <v>18</v>
      </c>
      <c r="I1450" s="16" t="str">
        <f>VLOOKUP(F1450,[1]完整分类结果!$E:$G,3,0)</f>
        <v>化学原料及化学制品制造业</v>
      </c>
      <c r="J1450" s="16">
        <f>VLOOKUP(I1450,[2]行业排放因子!$A:$B,2,0)</f>
        <v>82.521245753925498</v>
      </c>
      <c r="K1450" s="9" t="s">
        <v>756</v>
      </c>
    </row>
    <row r="1451" spans="1:11" ht="12.5" customHeight="1" x14ac:dyDescent="0.25">
      <c r="A1451" s="5" t="s">
        <v>5212</v>
      </c>
      <c r="B1451" s="6" t="s">
        <v>4563</v>
      </c>
      <c r="C1451" s="6" t="s">
        <v>4636</v>
      </c>
      <c r="D1451" s="6" t="s">
        <v>5181</v>
      </c>
      <c r="E1451" s="6" t="s">
        <v>5213</v>
      </c>
      <c r="F1451" s="6" t="s">
        <v>5214</v>
      </c>
      <c r="G1451" s="9"/>
      <c r="H1451" s="9" t="s">
        <v>18</v>
      </c>
      <c r="I1451" s="16" t="str">
        <f>VLOOKUP(F1451,[1]完整分类结果!$E:$G,3,0)</f>
        <v>化学原料及化学制品制造业</v>
      </c>
      <c r="J1451" s="16">
        <f>VLOOKUP(I1451,[2]行业排放因子!$A:$B,2,0)</f>
        <v>82.521245753925498</v>
      </c>
      <c r="K1451" s="9" t="s">
        <v>756</v>
      </c>
    </row>
    <row r="1452" spans="1:11" ht="12.5" customHeight="1" x14ac:dyDescent="0.25">
      <c r="A1452" s="5" t="s">
        <v>5215</v>
      </c>
      <c r="B1452" s="6" t="s">
        <v>4563</v>
      </c>
      <c r="C1452" s="6" t="s">
        <v>4636</v>
      </c>
      <c r="D1452" s="6" t="s">
        <v>5181</v>
      </c>
      <c r="E1452" s="6" t="s">
        <v>5216</v>
      </c>
      <c r="F1452" s="6" t="s">
        <v>5217</v>
      </c>
      <c r="G1452" s="9"/>
      <c r="H1452" s="9" t="s">
        <v>18</v>
      </c>
      <c r="I1452" s="16" t="str">
        <f>VLOOKUP(F1452,[1]完整分类结果!$E:$G,3,0)</f>
        <v>化学原料及化学制品制造业</v>
      </c>
      <c r="J1452" s="16">
        <f>VLOOKUP(I1452,[2]行业排放因子!$A:$B,2,0)</f>
        <v>82.521245753925498</v>
      </c>
      <c r="K1452" s="9" t="s">
        <v>756</v>
      </c>
    </row>
    <row r="1453" spans="1:11" ht="12.5" customHeight="1" x14ac:dyDescent="0.25">
      <c r="A1453" s="5" t="s">
        <v>5218</v>
      </c>
      <c r="B1453" s="6" t="s">
        <v>4563</v>
      </c>
      <c r="C1453" s="6" t="s">
        <v>4636</v>
      </c>
      <c r="D1453" s="6" t="s">
        <v>5181</v>
      </c>
      <c r="E1453" s="6" t="s">
        <v>5219</v>
      </c>
      <c r="F1453" s="6" t="s">
        <v>5220</v>
      </c>
      <c r="G1453" s="9" t="s">
        <v>5221</v>
      </c>
      <c r="H1453" s="9" t="s">
        <v>18</v>
      </c>
      <c r="I1453" s="16" t="str">
        <f>VLOOKUP(F1453,[1]完整分类结果!$E:$G,3,0)</f>
        <v>化学原料及化学制品制造业</v>
      </c>
      <c r="J1453" s="16">
        <f>VLOOKUP(I1453,[2]行业排放因子!$A:$B,2,0)</f>
        <v>82.521245753925498</v>
      </c>
      <c r="K1453" s="9" t="s">
        <v>756</v>
      </c>
    </row>
    <row r="1454" spans="1:11" ht="12.5" customHeight="1" x14ac:dyDescent="0.25">
      <c r="A1454" s="5" t="s">
        <v>5222</v>
      </c>
      <c r="B1454" s="6" t="s">
        <v>4563</v>
      </c>
      <c r="C1454" s="6" t="s">
        <v>4636</v>
      </c>
      <c r="D1454" s="6" t="s">
        <v>5181</v>
      </c>
      <c r="E1454" s="6" t="s">
        <v>5223</v>
      </c>
      <c r="F1454" s="6" t="s">
        <v>5224</v>
      </c>
      <c r="G1454" s="9" t="s">
        <v>5225</v>
      </c>
      <c r="H1454" s="9" t="s">
        <v>18</v>
      </c>
      <c r="I1454" s="16" t="str">
        <f>VLOOKUP(F1454,[1]完整分类结果!$E:$G,3,0)</f>
        <v>化学原料及化学制品制造业</v>
      </c>
      <c r="J1454" s="16">
        <f>VLOOKUP(I1454,[2]行业排放因子!$A:$B,2,0)</f>
        <v>82.521245753925498</v>
      </c>
      <c r="K1454" s="9" t="s">
        <v>756</v>
      </c>
    </row>
    <row r="1455" spans="1:11" ht="12.5" customHeight="1" x14ac:dyDescent="0.25">
      <c r="A1455" s="5" t="s">
        <v>5226</v>
      </c>
      <c r="B1455" s="6" t="s">
        <v>4563</v>
      </c>
      <c r="C1455" s="6" t="s">
        <v>4636</v>
      </c>
      <c r="D1455" s="6" t="s">
        <v>5181</v>
      </c>
      <c r="E1455" s="6" t="s">
        <v>5227</v>
      </c>
      <c r="F1455" s="6" t="s">
        <v>5228</v>
      </c>
      <c r="G1455" s="9"/>
      <c r="H1455" s="9" t="s">
        <v>18</v>
      </c>
      <c r="I1455" s="16" t="str">
        <f>VLOOKUP(F1455,[1]完整分类结果!$E:$G,3,0)</f>
        <v>化学原料及化学制品制造业</v>
      </c>
      <c r="J1455" s="16">
        <f>VLOOKUP(I1455,[2]行业排放因子!$A:$B,2,0)</f>
        <v>82.521245753925498</v>
      </c>
      <c r="K1455" s="9" t="s">
        <v>756</v>
      </c>
    </row>
    <row r="1456" spans="1:11" ht="12.5" customHeight="1" x14ac:dyDescent="0.25">
      <c r="A1456" s="5" t="s">
        <v>5229</v>
      </c>
      <c r="B1456" s="6" t="s">
        <v>4563</v>
      </c>
      <c r="C1456" s="6" t="s">
        <v>4636</v>
      </c>
      <c r="D1456" s="6" t="s">
        <v>5230</v>
      </c>
      <c r="E1456" s="6" t="s">
        <v>5231</v>
      </c>
      <c r="F1456" s="6" t="s">
        <v>5232</v>
      </c>
      <c r="G1456" s="9" t="s">
        <v>5233</v>
      </c>
      <c r="H1456" s="9" t="s">
        <v>18</v>
      </c>
      <c r="I1456" s="16" t="str">
        <f>VLOOKUP(F1456,[1]完整分类结果!$E:$G,3,0)</f>
        <v>化学原料及化学制品制造业</v>
      </c>
      <c r="J1456" s="16">
        <f>VLOOKUP(I1456,[2]行业排放因子!$A:$B,2,0)</f>
        <v>82.521245753925498</v>
      </c>
      <c r="K1456" s="9" t="s">
        <v>756</v>
      </c>
    </row>
    <row r="1457" spans="1:11" ht="12.5" customHeight="1" x14ac:dyDescent="0.25">
      <c r="A1457" s="5" t="s">
        <v>5234</v>
      </c>
      <c r="B1457" s="6" t="s">
        <v>4563</v>
      </c>
      <c r="C1457" s="6" t="s">
        <v>4636</v>
      </c>
      <c r="D1457" s="6" t="s">
        <v>5230</v>
      </c>
      <c r="E1457" s="6" t="s">
        <v>5235</v>
      </c>
      <c r="F1457" s="6" t="s">
        <v>5236</v>
      </c>
      <c r="G1457" s="9" t="s">
        <v>5237</v>
      </c>
      <c r="H1457" s="9" t="s">
        <v>18</v>
      </c>
      <c r="I1457" s="16" t="str">
        <f>VLOOKUP(F1457,[1]完整分类结果!$E:$G,3,0)</f>
        <v>化学原料及化学制品制造业</v>
      </c>
      <c r="J1457" s="16">
        <f>VLOOKUP(I1457,[2]行业排放因子!$A:$B,2,0)</f>
        <v>82.521245753925498</v>
      </c>
      <c r="K1457" s="9" t="s">
        <v>756</v>
      </c>
    </row>
    <row r="1458" spans="1:11" ht="12.5" customHeight="1" x14ac:dyDescent="0.25">
      <c r="A1458" s="5" t="s">
        <v>5238</v>
      </c>
      <c r="B1458" s="6" t="s">
        <v>4563</v>
      </c>
      <c r="C1458" s="6" t="s">
        <v>4636</v>
      </c>
      <c r="D1458" s="6" t="s">
        <v>5230</v>
      </c>
      <c r="E1458" s="6" t="s">
        <v>5239</v>
      </c>
      <c r="F1458" s="6" t="s">
        <v>5240</v>
      </c>
      <c r="G1458" s="9" t="s">
        <v>5241</v>
      </c>
      <c r="H1458" s="9" t="s">
        <v>18</v>
      </c>
      <c r="I1458" s="16" t="str">
        <f>VLOOKUP(F1458,[1]完整分类结果!$E:$G,3,0)</f>
        <v>化学原料及化学制品制造业</v>
      </c>
      <c r="J1458" s="16">
        <f>VLOOKUP(I1458,[2]行业排放因子!$A:$B,2,0)</f>
        <v>82.521245753925498</v>
      </c>
      <c r="K1458" s="9" t="s">
        <v>756</v>
      </c>
    </row>
    <row r="1459" spans="1:11" ht="12.5" customHeight="1" x14ac:dyDescent="0.25">
      <c r="A1459" s="5" t="s">
        <v>5242</v>
      </c>
      <c r="B1459" s="6" t="s">
        <v>4563</v>
      </c>
      <c r="C1459" s="6" t="s">
        <v>4636</v>
      </c>
      <c r="D1459" s="6" t="s">
        <v>5230</v>
      </c>
      <c r="E1459" s="6" t="s">
        <v>5243</v>
      </c>
      <c r="F1459" s="6" t="s">
        <v>5244</v>
      </c>
      <c r="G1459" s="9" t="s">
        <v>5245</v>
      </c>
      <c r="H1459" s="9" t="s">
        <v>18</v>
      </c>
      <c r="I1459" s="16" t="str">
        <f>VLOOKUP(F1459,[1]完整分类结果!$E:$G,3,0)</f>
        <v>化学原料及化学制品制造业</v>
      </c>
      <c r="J1459" s="16">
        <f>VLOOKUP(I1459,[2]行业排放因子!$A:$B,2,0)</f>
        <v>82.521245753925498</v>
      </c>
      <c r="K1459" s="9" t="s">
        <v>756</v>
      </c>
    </row>
    <row r="1460" spans="1:11" ht="12.5" customHeight="1" x14ac:dyDescent="0.25">
      <c r="A1460" s="5" t="s">
        <v>5246</v>
      </c>
      <c r="B1460" s="6" t="s">
        <v>4563</v>
      </c>
      <c r="C1460" s="6" t="s">
        <v>4636</v>
      </c>
      <c r="D1460" s="6" t="s">
        <v>5230</v>
      </c>
      <c r="E1460" s="6" t="s">
        <v>5247</v>
      </c>
      <c r="F1460" s="6" t="s">
        <v>5248</v>
      </c>
      <c r="G1460" s="9" t="s">
        <v>5249</v>
      </c>
      <c r="H1460" s="9" t="s">
        <v>18</v>
      </c>
      <c r="I1460" s="16" t="str">
        <f>VLOOKUP(F1460,[1]完整分类结果!$E:$G,3,0)</f>
        <v>化学原料及化学制品制造业</v>
      </c>
      <c r="J1460" s="16">
        <f>VLOOKUP(I1460,[2]行业排放因子!$A:$B,2,0)</f>
        <v>82.521245753925498</v>
      </c>
      <c r="K1460" s="9" t="s">
        <v>756</v>
      </c>
    </row>
    <row r="1461" spans="1:11" ht="12.5" customHeight="1" x14ac:dyDescent="0.25">
      <c r="A1461" s="5" t="s">
        <v>5250</v>
      </c>
      <c r="B1461" s="6" t="s">
        <v>4563</v>
      </c>
      <c r="C1461" s="6" t="s">
        <v>4636</v>
      </c>
      <c r="D1461" s="6" t="s">
        <v>5230</v>
      </c>
      <c r="E1461" s="6" t="s">
        <v>5251</v>
      </c>
      <c r="F1461" s="6" t="s">
        <v>5252</v>
      </c>
      <c r="G1461" s="9"/>
      <c r="H1461" s="9" t="s">
        <v>18</v>
      </c>
      <c r="I1461" s="16" t="str">
        <f>VLOOKUP(F1461,[1]完整分类结果!$E:$G,3,0)</f>
        <v>化学原料及化学制品制造业</v>
      </c>
      <c r="J1461" s="16">
        <f>VLOOKUP(I1461,[2]行业排放因子!$A:$B,2,0)</f>
        <v>82.521245753925498</v>
      </c>
      <c r="K1461" s="9" t="s">
        <v>756</v>
      </c>
    </row>
    <row r="1462" spans="1:11" ht="12.5" customHeight="1" x14ac:dyDescent="0.25">
      <c r="A1462" s="5" t="s">
        <v>5253</v>
      </c>
      <c r="B1462" s="6" t="s">
        <v>4563</v>
      </c>
      <c r="C1462" s="6" t="s">
        <v>4636</v>
      </c>
      <c r="D1462" s="6" t="s">
        <v>5230</v>
      </c>
      <c r="E1462" s="6" t="s">
        <v>5254</v>
      </c>
      <c r="F1462" s="6" t="s">
        <v>5255</v>
      </c>
      <c r="G1462" s="9" t="s">
        <v>5256</v>
      </c>
      <c r="H1462" s="9" t="s">
        <v>18</v>
      </c>
      <c r="I1462" s="16" t="str">
        <f>VLOOKUP(F1462,[1]完整分类结果!$E:$G,3,0)</f>
        <v>化学原料及化学制品制造业</v>
      </c>
      <c r="J1462" s="16">
        <f>VLOOKUP(I1462,[2]行业排放因子!$A:$B,2,0)</f>
        <v>82.521245753925498</v>
      </c>
      <c r="K1462" s="9" t="s">
        <v>756</v>
      </c>
    </row>
    <row r="1463" spans="1:11" ht="12.5" customHeight="1" x14ac:dyDescent="0.25">
      <c r="A1463" s="5" t="s">
        <v>5257</v>
      </c>
      <c r="B1463" s="6" t="s">
        <v>4563</v>
      </c>
      <c r="C1463" s="6" t="s">
        <v>4636</v>
      </c>
      <c r="D1463" s="6" t="s">
        <v>5230</v>
      </c>
      <c r="E1463" s="6" t="s">
        <v>5258</v>
      </c>
      <c r="F1463" s="6" t="s">
        <v>5259</v>
      </c>
      <c r="G1463" s="9" t="s">
        <v>5260</v>
      </c>
      <c r="H1463" s="9" t="s">
        <v>18</v>
      </c>
      <c r="I1463" s="16" t="str">
        <f>VLOOKUP(F1463,[1]完整分类结果!$E:$G,3,0)</f>
        <v>化学原料及化学制品制造业</v>
      </c>
      <c r="J1463" s="16">
        <f>VLOOKUP(I1463,[2]行业排放因子!$A:$B,2,0)</f>
        <v>82.521245753925498</v>
      </c>
      <c r="K1463" s="9" t="s">
        <v>756</v>
      </c>
    </row>
    <row r="1464" spans="1:11" ht="12.5" customHeight="1" x14ac:dyDescent="0.25">
      <c r="A1464" s="5" t="s">
        <v>5261</v>
      </c>
      <c r="B1464" s="6" t="s">
        <v>4563</v>
      </c>
      <c r="C1464" s="6" t="s">
        <v>4636</v>
      </c>
      <c r="D1464" s="6" t="s">
        <v>5230</v>
      </c>
      <c r="E1464" s="6" t="s">
        <v>5262</v>
      </c>
      <c r="F1464" s="6" t="s">
        <v>5263</v>
      </c>
      <c r="G1464" s="9" t="s">
        <v>5264</v>
      </c>
      <c r="H1464" s="9" t="s">
        <v>18</v>
      </c>
      <c r="I1464" s="16" t="str">
        <f>VLOOKUP(F1464,[1]完整分类结果!$E:$G,3,0)</f>
        <v>化学原料及化学制品制造业</v>
      </c>
      <c r="J1464" s="16">
        <f>VLOOKUP(I1464,[2]行业排放因子!$A:$B,2,0)</f>
        <v>82.521245753925498</v>
      </c>
      <c r="K1464" s="9" t="s">
        <v>756</v>
      </c>
    </row>
    <row r="1465" spans="1:11" ht="12.5" customHeight="1" x14ac:dyDescent="0.25">
      <c r="A1465" s="5" t="s">
        <v>5265</v>
      </c>
      <c r="B1465" s="6" t="s">
        <v>4563</v>
      </c>
      <c r="C1465" s="6" t="s">
        <v>4636</v>
      </c>
      <c r="D1465" s="6" t="s">
        <v>5230</v>
      </c>
      <c r="E1465" s="6" t="s">
        <v>5266</v>
      </c>
      <c r="F1465" s="6" t="s">
        <v>5267</v>
      </c>
      <c r="G1465" s="9" t="s">
        <v>5268</v>
      </c>
      <c r="H1465" s="9" t="s">
        <v>18</v>
      </c>
      <c r="I1465" s="16" t="str">
        <f>VLOOKUP(F1465,[1]完整分类结果!$E:$G,3,0)</f>
        <v>化学原料及化学制品制造业</v>
      </c>
      <c r="J1465" s="16">
        <f>VLOOKUP(I1465,[2]行业排放因子!$A:$B,2,0)</f>
        <v>82.521245753925498</v>
      </c>
      <c r="K1465" s="9" t="s">
        <v>756</v>
      </c>
    </row>
    <row r="1466" spans="1:11" ht="12.5" customHeight="1" x14ac:dyDescent="0.25">
      <c r="A1466" s="5" t="s">
        <v>5269</v>
      </c>
      <c r="B1466" s="6" t="s">
        <v>4563</v>
      </c>
      <c r="C1466" s="6" t="s">
        <v>4636</v>
      </c>
      <c r="D1466" s="6" t="s">
        <v>5230</v>
      </c>
      <c r="E1466" s="6" t="s">
        <v>5270</v>
      </c>
      <c r="F1466" s="6" t="s">
        <v>5271</v>
      </c>
      <c r="G1466" s="9" t="s">
        <v>5272</v>
      </c>
      <c r="H1466" s="9" t="s">
        <v>18</v>
      </c>
      <c r="I1466" s="16" t="str">
        <f>VLOOKUP(F1466,[1]完整分类结果!$E:$G,3,0)</f>
        <v>化学原料及化学制品制造业</v>
      </c>
      <c r="J1466" s="16">
        <f>VLOOKUP(I1466,[2]行业排放因子!$A:$B,2,0)</f>
        <v>82.521245753925498</v>
      </c>
      <c r="K1466" s="9" t="s">
        <v>756</v>
      </c>
    </row>
    <row r="1467" spans="1:11" ht="12.5" customHeight="1" x14ac:dyDescent="0.25">
      <c r="A1467" s="5" t="s">
        <v>5273</v>
      </c>
      <c r="B1467" s="6" t="s">
        <v>4563</v>
      </c>
      <c r="C1467" s="6" t="s">
        <v>4636</v>
      </c>
      <c r="D1467" s="6" t="s">
        <v>5230</v>
      </c>
      <c r="E1467" s="6" t="s">
        <v>5274</v>
      </c>
      <c r="F1467" s="6" t="s">
        <v>5275</v>
      </c>
      <c r="G1467" s="9" t="s">
        <v>5276</v>
      </c>
      <c r="H1467" s="9" t="s">
        <v>18</v>
      </c>
      <c r="I1467" s="16" t="str">
        <f>VLOOKUP(F1467,[1]完整分类结果!$E:$G,3,0)</f>
        <v>化学原料及化学制品制造业</v>
      </c>
      <c r="J1467" s="16">
        <f>VLOOKUP(I1467,[2]行业排放因子!$A:$B,2,0)</f>
        <v>82.521245753925498</v>
      </c>
      <c r="K1467" s="9" t="s">
        <v>756</v>
      </c>
    </row>
    <row r="1468" spans="1:11" ht="12.5" customHeight="1" x14ac:dyDescent="0.25">
      <c r="A1468" s="5" t="s">
        <v>5277</v>
      </c>
      <c r="B1468" s="6" t="s">
        <v>4563</v>
      </c>
      <c r="C1468" s="6" t="s">
        <v>4636</v>
      </c>
      <c r="D1468" s="6" t="s">
        <v>5230</v>
      </c>
      <c r="E1468" s="6" t="s">
        <v>5278</v>
      </c>
      <c r="F1468" s="6" t="s">
        <v>5279</v>
      </c>
      <c r="G1468" s="9"/>
      <c r="H1468" s="9" t="s">
        <v>18</v>
      </c>
      <c r="I1468" s="16" t="str">
        <f>VLOOKUP(F1468,[1]完整分类结果!$E:$G,3,0)</f>
        <v>化学原料及化学制品制造业</v>
      </c>
      <c r="J1468" s="16">
        <f>VLOOKUP(I1468,[2]行业排放因子!$A:$B,2,0)</f>
        <v>82.521245753925498</v>
      </c>
      <c r="K1468" s="9" t="s">
        <v>756</v>
      </c>
    </row>
    <row r="1469" spans="1:11" ht="12.5" customHeight="1" x14ac:dyDescent="0.25">
      <c r="A1469" s="5" t="s">
        <v>5280</v>
      </c>
      <c r="B1469" s="6" t="s">
        <v>4563</v>
      </c>
      <c r="C1469" s="6" t="s">
        <v>4636</v>
      </c>
      <c r="D1469" s="6" t="s">
        <v>5230</v>
      </c>
      <c r="E1469" s="6" t="s">
        <v>5281</v>
      </c>
      <c r="F1469" s="6" t="s">
        <v>5282</v>
      </c>
      <c r="G1469" s="9"/>
      <c r="H1469" s="9" t="s">
        <v>18</v>
      </c>
      <c r="I1469" s="16" t="str">
        <f>VLOOKUP(F1469,[1]完整分类结果!$E:$G,3,0)</f>
        <v>化学原料及化学制品制造业</v>
      </c>
      <c r="J1469" s="16">
        <f>VLOOKUP(I1469,[2]行业排放因子!$A:$B,2,0)</f>
        <v>82.521245753925498</v>
      </c>
      <c r="K1469" s="9" t="s">
        <v>756</v>
      </c>
    </row>
    <row r="1470" spans="1:11" ht="12.5" customHeight="1" x14ac:dyDescent="0.25">
      <c r="A1470" s="5" t="s">
        <v>5283</v>
      </c>
      <c r="B1470" s="6" t="s">
        <v>4563</v>
      </c>
      <c r="C1470" s="6" t="s">
        <v>4636</v>
      </c>
      <c r="D1470" s="6" t="s">
        <v>5230</v>
      </c>
      <c r="E1470" s="6" t="s">
        <v>5284</v>
      </c>
      <c r="F1470" s="6" t="s">
        <v>5285</v>
      </c>
      <c r="G1470" s="9"/>
      <c r="H1470" s="9" t="s">
        <v>18</v>
      </c>
      <c r="I1470" s="16" t="str">
        <f>VLOOKUP(F1470,[1]完整分类结果!$E:$G,3,0)</f>
        <v>化学原料及化学制品制造业</v>
      </c>
      <c r="J1470" s="16">
        <f>VLOOKUP(I1470,[2]行业排放因子!$A:$B,2,0)</f>
        <v>82.521245753925498</v>
      </c>
      <c r="K1470" s="9" t="s">
        <v>756</v>
      </c>
    </row>
    <row r="1471" spans="1:11" ht="12.5" customHeight="1" x14ac:dyDescent="0.25">
      <c r="A1471" s="5" t="s">
        <v>5286</v>
      </c>
      <c r="B1471" s="6" t="s">
        <v>4563</v>
      </c>
      <c r="C1471" s="6" t="s">
        <v>4636</v>
      </c>
      <c r="D1471" s="6" t="s">
        <v>5230</v>
      </c>
      <c r="E1471" s="6" t="s">
        <v>5287</v>
      </c>
      <c r="F1471" s="6" t="s">
        <v>5288</v>
      </c>
      <c r="G1471" s="9"/>
      <c r="H1471" s="9" t="s">
        <v>18</v>
      </c>
      <c r="I1471" s="16" t="str">
        <f>VLOOKUP(F1471,[1]完整分类结果!$E:$G,3,0)</f>
        <v>化学原料及化学制品制造业</v>
      </c>
      <c r="J1471" s="16">
        <f>VLOOKUP(I1471,[2]行业排放因子!$A:$B,2,0)</f>
        <v>82.521245753925498</v>
      </c>
      <c r="K1471" s="9" t="s">
        <v>756</v>
      </c>
    </row>
    <row r="1472" spans="1:11" ht="12.5" customHeight="1" x14ac:dyDescent="0.25">
      <c r="A1472" s="5" t="s">
        <v>5289</v>
      </c>
      <c r="B1472" s="6" t="s">
        <v>4563</v>
      </c>
      <c r="C1472" s="6" t="s">
        <v>4636</v>
      </c>
      <c r="D1472" s="6" t="s">
        <v>5230</v>
      </c>
      <c r="E1472" s="6" t="s">
        <v>5290</v>
      </c>
      <c r="F1472" s="6" t="s">
        <v>5291</v>
      </c>
      <c r="G1472" s="9"/>
      <c r="H1472" s="9" t="s">
        <v>18</v>
      </c>
      <c r="I1472" s="16" t="str">
        <f>VLOOKUP(F1472,[1]完整分类结果!$E:$G,3,0)</f>
        <v>化学原料及化学制品制造业</v>
      </c>
      <c r="J1472" s="16">
        <f>VLOOKUP(I1472,[2]行业排放因子!$A:$B,2,0)</f>
        <v>82.521245753925498</v>
      </c>
      <c r="K1472" s="9" t="s">
        <v>756</v>
      </c>
    </row>
    <row r="1473" spans="1:11" ht="12.5" customHeight="1" x14ac:dyDescent="0.25">
      <c r="A1473" s="5" t="s">
        <v>5292</v>
      </c>
      <c r="B1473" s="6" t="s">
        <v>4563</v>
      </c>
      <c r="C1473" s="6" t="s">
        <v>4636</v>
      </c>
      <c r="D1473" s="6" t="s">
        <v>5293</v>
      </c>
      <c r="E1473" s="6" t="s">
        <v>5294</v>
      </c>
      <c r="F1473" s="6" t="s">
        <v>5295</v>
      </c>
      <c r="G1473" s="9" t="s">
        <v>5296</v>
      </c>
      <c r="H1473" s="9" t="s">
        <v>18</v>
      </c>
      <c r="I1473" s="16" t="str">
        <f>VLOOKUP(F1473,[1]完整分类结果!$E:$G,3,0)</f>
        <v>化学原料及化学制品制造业</v>
      </c>
      <c r="J1473" s="16">
        <f>VLOOKUP(I1473,[2]行业排放因子!$A:$B,2,0)</f>
        <v>82.521245753925498</v>
      </c>
      <c r="K1473" s="9" t="s">
        <v>756</v>
      </c>
    </row>
    <row r="1474" spans="1:11" ht="12.5" customHeight="1" x14ac:dyDescent="0.25">
      <c r="A1474" s="5" t="s">
        <v>5297</v>
      </c>
      <c r="B1474" s="6" t="s">
        <v>4563</v>
      </c>
      <c r="C1474" s="6" t="s">
        <v>4636</v>
      </c>
      <c r="D1474" s="6" t="s">
        <v>5293</v>
      </c>
      <c r="E1474" s="6" t="s">
        <v>5298</v>
      </c>
      <c r="F1474" s="6" t="s">
        <v>5299</v>
      </c>
      <c r="G1474" s="9" t="s">
        <v>5300</v>
      </c>
      <c r="H1474" s="9" t="s">
        <v>18</v>
      </c>
      <c r="I1474" s="16" t="str">
        <f>VLOOKUP(F1474,[1]完整分类结果!$E:$G,3,0)</f>
        <v>化学原料及化学制品制造业</v>
      </c>
      <c r="J1474" s="16">
        <f>VLOOKUP(I1474,[2]行业排放因子!$A:$B,2,0)</f>
        <v>82.521245753925498</v>
      </c>
      <c r="K1474" s="9" t="s">
        <v>756</v>
      </c>
    </row>
    <row r="1475" spans="1:11" ht="12.5" customHeight="1" x14ac:dyDescent="0.25">
      <c r="A1475" s="5" t="s">
        <v>5301</v>
      </c>
      <c r="B1475" s="6" t="s">
        <v>4563</v>
      </c>
      <c r="C1475" s="6" t="s">
        <v>4636</v>
      </c>
      <c r="D1475" s="6" t="s">
        <v>5293</v>
      </c>
      <c r="E1475" s="6" t="s">
        <v>5302</v>
      </c>
      <c r="F1475" s="6" t="s">
        <v>5303</v>
      </c>
      <c r="G1475" s="9" t="s">
        <v>5304</v>
      </c>
      <c r="H1475" s="9" t="s">
        <v>18</v>
      </c>
      <c r="I1475" s="16" t="str">
        <f>VLOOKUP(F1475,[1]完整分类结果!$E:$G,3,0)</f>
        <v>化学原料及化学制品制造业</v>
      </c>
      <c r="J1475" s="16">
        <f>VLOOKUP(I1475,[2]行业排放因子!$A:$B,2,0)</f>
        <v>82.521245753925498</v>
      </c>
      <c r="K1475" s="9" t="s">
        <v>756</v>
      </c>
    </row>
    <row r="1476" spans="1:11" ht="12.5" customHeight="1" x14ac:dyDescent="0.25">
      <c r="A1476" s="5" t="s">
        <v>5305</v>
      </c>
      <c r="B1476" s="6" t="s">
        <v>4563</v>
      </c>
      <c r="C1476" s="6" t="s">
        <v>4636</v>
      </c>
      <c r="D1476" s="6" t="s">
        <v>5293</v>
      </c>
      <c r="E1476" s="6" t="s">
        <v>5306</v>
      </c>
      <c r="F1476" s="6" t="s">
        <v>5307</v>
      </c>
      <c r="G1476" s="9" t="s">
        <v>5308</v>
      </c>
      <c r="H1476" s="9" t="s">
        <v>18</v>
      </c>
      <c r="I1476" s="16" t="str">
        <f>VLOOKUP(F1476,[1]完整分类结果!$E:$G,3,0)</f>
        <v>化学原料及化学制品制造业</v>
      </c>
      <c r="J1476" s="16">
        <f>VLOOKUP(I1476,[2]行业排放因子!$A:$B,2,0)</f>
        <v>82.521245753925498</v>
      </c>
      <c r="K1476" s="9" t="s">
        <v>756</v>
      </c>
    </row>
    <row r="1477" spans="1:11" ht="12.5" customHeight="1" x14ac:dyDescent="0.25">
      <c r="A1477" s="5" t="s">
        <v>5309</v>
      </c>
      <c r="B1477" s="6" t="s">
        <v>4563</v>
      </c>
      <c r="C1477" s="6" t="s">
        <v>4636</v>
      </c>
      <c r="D1477" s="6" t="s">
        <v>5293</v>
      </c>
      <c r="E1477" s="6" t="s">
        <v>5310</v>
      </c>
      <c r="F1477" s="6" t="s">
        <v>5311</v>
      </c>
      <c r="G1477" s="9" t="s">
        <v>5312</v>
      </c>
      <c r="H1477" s="9" t="s">
        <v>18</v>
      </c>
      <c r="I1477" s="16" t="str">
        <f>VLOOKUP(F1477,[1]完整分类结果!$E:$G,3,0)</f>
        <v>化学原料及化学制品制造业</v>
      </c>
      <c r="J1477" s="16">
        <f>VLOOKUP(I1477,[2]行业排放因子!$A:$B,2,0)</f>
        <v>82.521245753925498</v>
      </c>
      <c r="K1477" s="9" t="s">
        <v>756</v>
      </c>
    </row>
    <row r="1478" spans="1:11" ht="12.5" customHeight="1" x14ac:dyDescent="0.25">
      <c r="A1478" s="5" t="s">
        <v>5313</v>
      </c>
      <c r="B1478" s="6" t="s">
        <v>4563</v>
      </c>
      <c r="C1478" s="6" t="s">
        <v>4636</v>
      </c>
      <c r="D1478" s="6" t="s">
        <v>5293</v>
      </c>
      <c r="E1478" s="6" t="s">
        <v>5314</v>
      </c>
      <c r="F1478" s="6" t="s">
        <v>5315</v>
      </c>
      <c r="G1478" s="9" t="s">
        <v>5316</v>
      </c>
      <c r="H1478" s="9" t="s">
        <v>18</v>
      </c>
      <c r="I1478" s="16" t="str">
        <f>VLOOKUP(F1478,[1]完整分类结果!$E:$G,3,0)</f>
        <v>化学原料及化学制品制造业</v>
      </c>
      <c r="J1478" s="16">
        <f>VLOOKUP(I1478,[2]行业排放因子!$A:$B,2,0)</f>
        <v>82.521245753925498</v>
      </c>
      <c r="K1478" s="9" t="s">
        <v>756</v>
      </c>
    </row>
    <row r="1479" spans="1:11" ht="12.5" customHeight="1" x14ac:dyDescent="0.25">
      <c r="A1479" s="5" t="s">
        <v>5317</v>
      </c>
      <c r="B1479" s="6" t="s">
        <v>4563</v>
      </c>
      <c r="C1479" s="6" t="s">
        <v>4636</v>
      </c>
      <c r="D1479" s="6" t="s">
        <v>5293</v>
      </c>
      <c r="E1479" s="6" t="s">
        <v>5318</v>
      </c>
      <c r="F1479" s="6" t="s">
        <v>5319</v>
      </c>
      <c r="G1479" s="9" t="s">
        <v>5320</v>
      </c>
      <c r="H1479" s="9" t="s">
        <v>18</v>
      </c>
      <c r="I1479" s="16" t="str">
        <f>VLOOKUP(F1479,[1]完整分类结果!$E:$G,3,0)</f>
        <v>化学原料及化学制品制造业</v>
      </c>
      <c r="J1479" s="16">
        <f>VLOOKUP(I1479,[2]行业排放因子!$A:$B,2,0)</f>
        <v>82.521245753925498</v>
      </c>
      <c r="K1479" s="9" t="s">
        <v>756</v>
      </c>
    </row>
    <row r="1480" spans="1:11" ht="12.5" customHeight="1" x14ac:dyDescent="0.25">
      <c r="A1480" s="5" t="s">
        <v>5321</v>
      </c>
      <c r="B1480" s="6" t="s">
        <v>4563</v>
      </c>
      <c r="C1480" s="6" t="s">
        <v>4636</v>
      </c>
      <c r="D1480" s="6" t="s">
        <v>5322</v>
      </c>
      <c r="E1480" s="6" t="s">
        <v>5323</v>
      </c>
      <c r="F1480" s="6" t="s">
        <v>5324</v>
      </c>
      <c r="G1480" s="9" t="s">
        <v>5325</v>
      </c>
      <c r="H1480" s="9" t="s">
        <v>18</v>
      </c>
      <c r="I1480" s="16" t="str">
        <f>VLOOKUP(F1480,[1]完整分类结果!$E:$G,3,0)</f>
        <v>化学原料及化学制品制造业</v>
      </c>
      <c r="J1480" s="16">
        <f>VLOOKUP(I1480,[2]行业排放因子!$A:$B,2,0)</f>
        <v>82.521245753925498</v>
      </c>
      <c r="K1480" s="9" t="s">
        <v>756</v>
      </c>
    </row>
    <row r="1481" spans="1:11" ht="12.5" customHeight="1" x14ac:dyDescent="0.25">
      <c r="A1481" s="5" t="s">
        <v>5326</v>
      </c>
      <c r="B1481" s="6" t="s">
        <v>4563</v>
      </c>
      <c r="C1481" s="6" t="s">
        <v>4636</v>
      </c>
      <c r="D1481" s="6" t="s">
        <v>5322</v>
      </c>
      <c r="E1481" s="6" t="s">
        <v>5327</v>
      </c>
      <c r="F1481" s="6" t="s">
        <v>5328</v>
      </c>
      <c r="G1481" s="9" t="s">
        <v>5329</v>
      </c>
      <c r="H1481" s="9" t="s">
        <v>18</v>
      </c>
      <c r="I1481" s="16" t="str">
        <f>VLOOKUP(F1481,[1]完整分类结果!$E:$G,3,0)</f>
        <v>化学原料及化学制品制造业</v>
      </c>
      <c r="J1481" s="16">
        <f>VLOOKUP(I1481,[2]行业排放因子!$A:$B,2,0)</f>
        <v>82.521245753925498</v>
      </c>
      <c r="K1481" s="9" t="s">
        <v>756</v>
      </c>
    </row>
    <row r="1482" spans="1:11" ht="12.5" customHeight="1" x14ac:dyDescent="0.25">
      <c r="A1482" s="5" t="s">
        <v>5330</v>
      </c>
      <c r="B1482" s="6" t="s">
        <v>4563</v>
      </c>
      <c r="C1482" s="6" t="s">
        <v>4636</v>
      </c>
      <c r="D1482" s="6" t="s">
        <v>5322</v>
      </c>
      <c r="E1482" s="6" t="s">
        <v>5331</v>
      </c>
      <c r="F1482" s="6" t="s">
        <v>5332</v>
      </c>
      <c r="G1482" s="9" t="s">
        <v>5333</v>
      </c>
      <c r="H1482" s="9" t="s">
        <v>18</v>
      </c>
      <c r="I1482" s="16" t="str">
        <f>VLOOKUP(F1482,[1]完整分类结果!$E:$G,3,0)</f>
        <v>化学原料及化学制品制造业</v>
      </c>
      <c r="J1482" s="16">
        <f>VLOOKUP(I1482,[2]行业排放因子!$A:$B,2,0)</f>
        <v>82.521245753925498</v>
      </c>
      <c r="K1482" s="9" t="s">
        <v>756</v>
      </c>
    </row>
    <row r="1483" spans="1:11" ht="12.5" customHeight="1" x14ac:dyDescent="0.25">
      <c r="A1483" s="5" t="s">
        <v>5334</v>
      </c>
      <c r="B1483" s="6" t="s">
        <v>4563</v>
      </c>
      <c r="C1483" s="6" t="s">
        <v>4636</v>
      </c>
      <c r="D1483" s="6" t="s">
        <v>5322</v>
      </c>
      <c r="E1483" s="6" t="s">
        <v>5335</v>
      </c>
      <c r="F1483" s="6" t="s">
        <v>5336</v>
      </c>
      <c r="G1483" s="9" t="s">
        <v>5337</v>
      </c>
      <c r="H1483" s="9" t="s">
        <v>18</v>
      </c>
      <c r="I1483" s="16" t="str">
        <f>VLOOKUP(F1483,[1]完整分类结果!$E:$G,3,0)</f>
        <v>化学原料及化学制品制造业</v>
      </c>
      <c r="J1483" s="16">
        <f>VLOOKUP(I1483,[2]行业排放因子!$A:$B,2,0)</f>
        <v>82.521245753925498</v>
      </c>
      <c r="K1483" s="9" t="s">
        <v>756</v>
      </c>
    </row>
    <row r="1484" spans="1:11" ht="12.5" customHeight="1" x14ac:dyDescent="0.25">
      <c r="A1484" s="5" t="s">
        <v>5338</v>
      </c>
      <c r="B1484" s="6" t="s">
        <v>4563</v>
      </c>
      <c r="C1484" s="6" t="s">
        <v>4636</v>
      </c>
      <c r="D1484" s="6" t="s">
        <v>5322</v>
      </c>
      <c r="E1484" s="6" t="s">
        <v>5339</v>
      </c>
      <c r="F1484" s="6" t="s">
        <v>5340</v>
      </c>
      <c r="G1484" s="9" t="s">
        <v>5341</v>
      </c>
      <c r="H1484" s="9" t="s">
        <v>18</v>
      </c>
      <c r="I1484" s="16" t="str">
        <f>VLOOKUP(F1484,[1]完整分类结果!$E:$G,3,0)</f>
        <v>化学原料及化学制品制造业</v>
      </c>
      <c r="J1484" s="16">
        <f>VLOOKUP(I1484,[2]行业排放因子!$A:$B,2,0)</f>
        <v>82.521245753925498</v>
      </c>
      <c r="K1484" s="9" t="s">
        <v>756</v>
      </c>
    </row>
    <row r="1485" spans="1:11" ht="12.5" customHeight="1" x14ac:dyDescent="0.25">
      <c r="A1485" s="5" t="s">
        <v>5342</v>
      </c>
      <c r="B1485" s="6" t="s">
        <v>4563</v>
      </c>
      <c r="C1485" s="6" t="s">
        <v>4636</v>
      </c>
      <c r="D1485" s="6" t="s">
        <v>5322</v>
      </c>
      <c r="E1485" s="6" t="s">
        <v>5343</v>
      </c>
      <c r="F1485" s="6" t="s">
        <v>5344</v>
      </c>
      <c r="G1485" s="9" t="s">
        <v>5345</v>
      </c>
      <c r="H1485" s="9" t="s">
        <v>18</v>
      </c>
      <c r="I1485" s="16" t="str">
        <f>VLOOKUP(F1485,[1]完整分类结果!$E:$G,3,0)</f>
        <v>化学原料及化学制品制造业</v>
      </c>
      <c r="J1485" s="16">
        <f>VLOOKUP(I1485,[2]行业排放因子!$A:$B,2,0)</f>
        <v>82.521245753925498</v>
      </c>
      <c r="K1485" s="9" t="s">
        <v>756</v>
      </c>
    </row>
    <row r="1486" spans="1:11" ht="12.5" customHeight="1" x14ac:dyDescent="0.25">
      <c r="A1486" s="5" t="s">
        <v>5346</v>
      </c>
      <c r="B1486" s="6" t="s">
        <v>4563</v>
      </c>
      <c r="C1486" s="6" t="s">
        <v>4636</v>
      </c>
      <c r="D1486" s="6" t="s">
        <v>5322</v>
      </c>
      <c r="E1486" s="6" t="s">
        <v>5347</v>
      </c>
      <c r="F1486" s="6" t="s">
        <v>5348</v>
      </c>
      <c r="G1486" s="9" t="s">
        <v>5349</v>
      </c>
      <c r="H1486" s="9" t="s">
        <v>18</v>
      </c>
      <c r="I1486" s="16" t="str">
        <f>VLOOKUP(F1486,[1]完整分类结果!$E:$G,3,0)</f>
        <v>化学原料及化学制品制造业</v>
      </c>
      <c r="J1486" s="16">
        <f>VLOOKUP(I1486,[2]行业排放因子!$A:$B,2,0)</f>
        <v>82.521245753925498</v>
      </c>
      <c r="K1486" s="9" t="s">
        <v>756</v>
      </c>
    </row>
    <row r="1487" spans="1:11" ht="12.5" customHeight="1" x14ac:dyDescent="0.25">
      <c r="A1487" s="5" t="s">
        <v>5350</v>
      </c>
      <c r="B1487" s="6" t="s">
        <v>4563</v>
      </c>
      <c r="C1487" s="6" t="s">
        <v>4636</v>
      </c>
      <c r="D1487" s="6" t="s">
        <v>5322</v>
      </c>
      <c r="E1487" s="6" t="s">
        <v>5351</v>
      </c>
      <c r="F1487" s="6" t="s">
        <v>5352</v>
      </c>
      <c r="G1487" s="9" t="s">
        <v>5353</v>
      </c>
      <c r="H1487" s="9" t="s">
        <v>18</v>
      </c>
      <c r="I1487" s="16" t="str">
        <f>VLOOKUP(F1487,[1]完整分类结果!$E:$G,3,0)</f>
        <v>化学原料及化学制品制造业</v>
      </c>
      <c r="J1487" s="16">
        <f>VLOOKUP(I1487,[2]行业排放因子!$A:$B,2,0)</f>
        <v>82.521245753925498</v>
      </c>
      <c r="K1487" s="9" t="s">
        <v>756</v>
      </c>
    </row>
    <row r="1488" spans="1:11" ht="12.5" customHeight="1" x14ac:dyDescent="0.25">
      <c r="A1488" s="5" t="s">
        <v>5354</v>
      </c>
      <c r="B1488" s="6" t="s">
        <v>4563</v>
      </c>
      <c r="C1488" s="6" t="s">
        <v>4636</v>
      </c>
      <c r="D1488" s="6" t="s">
        <v>5322</v>
      </c>
      <c r="E1488" s="6" t="s">
        <v>5355</v>
      </c>
      <c r="F1488" s="6" t="s">
        <v>5356</v>
      </c>
      <c r="G1488" s="9" t="s">
        <v>5357</v>
      </c>
      <c r="H1488" s="9" t="s">
        <v>18</v>
      </c>
      <c r="I1488" s="16" t="str">
        <f>VLOOKUP(F1488,[1]完整分类结果!$E:$G,3,0)</f>
        <v>化学原料及化学制品制造业</v>
      </c>
      <c r="J1488" s="16">
        <f>VLOOKUP(I1488,[2]行业排放因子!$A:$B,2,0)</f>
        <v>82.521245753925498</v>
      </c>
      <c r="K1488" s="9" t="s">
        <v>756</v>
      </c>
    </row>
    <row r="1489" spans="1:11" ht="12.5" customHeight="1" x14ac:dyDescent="0.25">
      <c r="A1489" s="5" t="s">
        <v>5358</v>
      </c>
      <c r="B1489" s="6" t="s">
        <v>4563</v>
      </c>
      <c r="C1489" s="6" t="s">
        <v>4636</v>
      </c>
      <c r="D1489" s="6" t="s">
        <v>5322</v>
      </c>
      <c r="E1489" s="6" t="s">
        <v>5359</v>
      </c>
      <c r="F1489" s="6" t="s">
        <v>5360</v>
      </c>
      <c r="G1489" s="9"/>
      <c r="H1489" s="9" t="s">
        <v>18</v>
      </c>
      <c r="I1489" s="16" t="str">
        <f>VLOOKUP(F1489,[1]完整分类结果!$E:$G,3,0)</f>
        <v>化学原料及化学制品制造业</v>
      </c>
      <c r="J1489" s="16">
        <f>VLOOKUP(I1489,[2]行业排放因子!$A:$B,2,0)</f>
        <v>82.521245753925498</v>
      </c>
      <c r="K1489" s="9" t="s">
        <v>756</v>
      </c>
    </row>
    <row r="1490" spans="1:11" ht="12.5" customHeight="1" x14ac:dyDescent="0.25">
      <c r="A1490" s="5" t="s">
        <v>5361</v>
      </c>
      <c r="B1490" s="6" t="s">
        <v>4563</v>
      </c>
      <c r="C1490" s="6" t="s">
        <v>4636</v>
      </c>
      <c r="D1490" s="6" t="s">
        <v>5362</v>
      </c>
      <c r="E1490" s="6" t="s">
        <v>5363</v>
      </c>
      <c r="F1490" s="6" t="s">
        <v>5364</v>
      </c>
      <c r="G1490" s="9" t="s">
        <v>5365</v>
      </c>
      <c r="H1490" s="9" t="s">
        <v>18</v>
      </c>
      <c r="I1490" s="16" t="str">
        <f>VLOOKUP(F1490,[1]完整分类结果!$E:$G,3,0)</f>
        <v>化学原料及化学制品制造业</v>
      </c>
      <c r="J1490" s="16">
        <f>VLOOKUP(I1490,[2]行业排放因子!$A:$B,2,0)</f>
        <v>82.521245753925498</v>
      </c>
      <c r="K1490" s="9" t="s">
        <v>756</v>
      </c>
    </row>
    <row r="1491" spans="1:11" ht="12.5" customHeight="1" x14ac:dyDescent="0.25">
      <c r="A1491" s="5" t="s">
        <v>5366</v>
      </c>
      <c r="B1491" s="6" t="s">
        <v>4563</v>
      </c>
      <c r="C1491" s="6" t="s">
        <v>4636</v>
      </c>
      <c r="D1491" s="6" t="s">
        <v>5362</v>
      </c>
      <c r="E1491" s="6" t="s">
        <v>5367</v>
      </c>
      <c r="F1491" s="6" t="s">
        <v>5368</v>
      </c>
      <c r="G1491" s="9" t="s">
        <v>5369</v>
      </c>
      <c r="H1491" s="9" t="s">
        <v>18</v>
      </c>
      <c r="I1491" s="16" t="str">
        <f>VLOOKUP(F1491,[1]完整分类结果!$E:$G,3,0)</f>
        <v>化学原料及化学制品制造业</v>
      </c>
      <c r="J1491" s="16">
        <f>VLOOKUP(I1491,[2]行业排放因子!$A:$B,2,0)</f>
        <v>82.521245753925498</v>
      </c>
      <c r="K1491" s="9" t="s">
        <v>756</v>
      </c>
    </row>
    <row r="1492" spans="1:11" ht="12.5" customHeight="1" x14ac:dyDescent="0.25">
      <c r="A1492" s="5" t="s">
        <v>5370</v>
      </c>
      <c r="B1492" s="6" t="s">
        <v>4563</v>
      </c>
      <c r="C1492" s="6" t="s">
        <v>4636</v>
      </c>
      <c r="D1492" s="6" t="s">
        <v>5362</v>
      </c>
      <c r="E1492" s="6" t="s">
        <v>5371</v>
      </c>
      <c r="F1492" s="6" t="s">
        <v>5372</v>
      </c>
      <c r="G1492" s="9" t="s">
        <v>5373</v>
      </c>
      <c r="H1492" s="9" t="s">
        <v>18</v>
      </c>
      <c r="I1492" s="16" t="str">
        <f>VLOOKUP(F1492,[1]完整分类结果!$E:$G,3,0)</f>
        <v>化学原料及化学制品制造业</v>
      </c>
      <c r="J1492" s="16">
        <f>VLOOKUP(I1492,[2]行业排放因子!$A:$B,2,0)</f>
        <v>82.521245753925498</v>
      </c>
      <c r="K1492" s="9" t="s">
        <v>756</v>
      </c>
    </row>
    <row r="1493" spans="1:11" ht="12.5" customHeight="1" x14ac:dyDescent="0.25">
      <c r="A1493" s="5" t="s">
        <v>5374</v>
      </c>
      <c r="B1493" s="6" t="s">
        <v>4563</v>
      </c>
      <c r="C1493" s="6" t="s">
        <v>4636</v>
      </c>
      <c r="D1493" s="6" t="s">
        <v>5362</v>
      </c>
      <c r="E1493" s="6" t="s">
        <v>5375</v>
      </c>
      <c r="F1493" s="6" t="s">
        <v>5376</v>
      </c>
      <c r="G1493" s="9" t="s">
        <v>5377</v>
      </c>
      <c r="H1493" s="9" t="s">
        <v>18</v>
      </c>
      <c r="I1493" s="16" t="str">
        <f>VLOOKUP(F1493,[1]完整分类结果!$E:$G,3,0)</f>
        <v>化学原料及化学制品制造业</v>
      </c>
      <c r="J1493" s="16">
        <f>VLOOKUP(I1493,[2]行业排放因子!$A:$B,2,0)</f>
        <v>82.521245753925498</v>
      </c>
      <c r="K1493" s="9" t="s">
        <v>756</v>
      </c>
    </row>
    <row r="1494" spans="1:11" ht="12.5" customHeight="1" x14ac:dyDescent="0.25">
      <c r="A1494" s="5" t="s">
        <v>5378</v>
      </c>
      <c r="B1494" s="6" t="s">
        <v>4563</v>
      </c>
      <c r="C1494" s="6" t="s">
        <v>4636</v>
      </c>
      <c r="D1494" s="6" t="s">
        <v>5362</v>
      </c>
      <c r="E1494" s="6" t="s">
        <v>5379</v>
      </c>
      <c r="F1494" s="6" t="s">
        <v>5380</v>
      </c>
      <c r="G1494" s="9" t="s">
        <v>5381</v>
      </c>
      <c r="H1494" s="9" t="s">
        <v>18</v>
      </c>
      <c r="I1494" s="16" t="str">
        <f>VLOOKUP(F1494,[1]完整分类结果!$E:$G,3,0)</f>
        <v>化学原料及化学制品制造业</v>
      </c>
      <c r="J1494" s="16">
        <f>VLOOKUP(I1494,[2]行业排放因子!$A:$B,2,0)</f>
        <v>82.521245753925498</v>
      </c>
      <c r="K1494" s="9" t="s">
        <v>756</v>
      </c>
    </row>
    <row r="1495" spans="1:11" ht="12.5" customHeight="1" x14ac:dyDescent="0.25">
      <c r="A1495" s="5" t="s">
        <v>5382</v>
      </c>
      <c r="B1495" s="6" t="s">
        <v>4563</v>
      </c>
      <c r="C1495" s="6" t="s">
        <v>4636</v>
      </c>
      <c r="D1495" s="6" t="s">
        <v>5383</v>
      </c>
      <c r="E1495" s="6" t="s">
        <v>5384</v>
      </c>
      <c r="F1495" s="6" t="s">
        <v>5383</v>
      </c>
      <c r="G1495" s="9" t="s">
        <v>5385</v>
      </c>
      <c r="H1495" s="9" t="s">
        <v>18</v>
      </c>
      <c r="I1495" s="16" t="str">
        <f>VLOOKUP(F1495,[1]完整分类结果!$E:$G,3,0)</f>
        <v>化学原料及化学制品制造业</v>
      </c>
      <c r="J1495" s="16">
        <f>VLOOKUP(I1495,[2]行业排放因子!$A:$B,2,0)</f>
        <v>82.521245753925498</v>
      </c>
      <c r="K1495" s="9" t="s">
        <v>756</v>
      </c>
    </row>
    <row r="1496" spans="1:11" ht="12.5" customHeight="1" x14ac:dyDescent="0.25">
      <c r="A1496" s="5" t="s">
        <v>5386</v>
      </c>
      <c r="B1496" s="6" t="s">
        <v>4563</v>
      </c>
      <c r="C1496" s="6" t="s">
        <v>4636</v>
      </c>
      <c r="D1496" s="6" t="s">
        <v>5387</v>
      </c>
      <c r="E1496" s="6" t="s">
        <v>5388</v>
      </c>
      <c r="F1496" s="6" t="s">
        <v>5387</v>
      </c>
      <c r="G1496" s="9" t="s">
        <v>5389</v>
      </c>
      <c r="H1496" s="9" t="s">
        <v>18</v>
      </c>
      <c r="I1496" s="16" t="str">
        <f>VLOOKUP(F1496,[1]完整分类结果!$E:$G,3,0)</f>
        <v>化学原料及化学制品制造业</v>
      </c>
      <c r="J1496" s="16">
        <f>VLOOKUP(I1496,[2]行业排放因子!$A:$B,2,0)</f>
        <v>82.521245753925498</v>
      </c>
      <c r="K1496" s="9" t="s">
        <v>756</v>
      </c>
    </row>
    <row r="1497" spans="1:11" ht="12.5" customHeight="1" x14ac:dyDescent="0.25">
      <c r="A1497" s="5" t="s">
        <v>5390</v>
      </c>
      <c r="B1497" s="6" t="s">
        <v>4563</v>
      </c>
      <c r="C1497" s="6" t="s">
        <v>4636</v>
      </c>
      <c r="D1497" s="6" t="s">
        <v>5391</v>
      </c>
      <c r="E1497" s="6" t="s">
        <v>5392</v>
      </c>
      <c r="F1497" s="6" t="s">
        <v>5391</v>
      </c>
      <c r="G1497" s="9"/>
      <c r="H1497" s="9" t="s">
        <v>18</v>
      </c>
      <c r="I1497" s="16" t="str">
        <f>VLOOKUP(F1497,[1]完整分类结果!$E:$G,3,0)</f>
        <v>化学原料及化学制品制造业</v>
      </c>
      <c r="J1497" s="16">
        <f>VLOOKUP(I1497,[2]行业排放因子!$A:$B,2,0)</f>
        <v>82.521245753925498</v>
      </c>
      <c r="K1497" s="9" t="s">
        <v>756</v>
      </c>
    </row>
    <row r="1498" spans="1:11" ht="12.5" customHeight="1" x14ac:dyDescent="0.25">
      <c r="A1498" s="5" t="s">
        <v>5393</v>
      </c>
      <c r="B1498" s="6" t="s">
        <v>4563</v>
      </c>
      <c r="C1498" s="6" t="s">
        <v>4636</v>
      </c>
      <c r="D1498" s="6" t="s">
        <v>5394</v>
      </c>
      <c r="E1498" s="6" t="s">
        <v>5395</v>
      </c>
      <c r="F1498" s="6" t="s">
        <v>5396</v>
      </c>
      <c r="G1498" s="9" t="s">
        <v>5397</v>
      </c>
      <c r="H1498" s="9" t="s">
        <v>18</v>
      </c>
      <c r="I1498" s="16" t="str">
        <f>VLOOKUP(F1498,[1]完整分类结果!$E:$G,3,0)</f>
        <v>化学原料及化学制品制造业</v>
      </c>
      <c r="J1498" s="16">
        <f>VLOOKUP(I1498,[2]行业排放因子!$A:$B,2,0)</f>
        <v>82.521245753925498</v>
      </c>
      <c r="K1498" s="9" t="s">
        <v>756</v>
      </c>
    </row>
    <row r="1499" spans="1:11" ht="12.5" customHeight="1" x14ac:dyDescent="0.25">
      <c r="A1499" s="5" t="s">
        <v>5398</v>
      </c>
      <c r="B1499" s="6" t="s">
        <v>4563</v>
      </c>
      <c r="C1499" s="6" t="s">
        <v>4636</v>
      </c>
      <c r="D1499" s="6" t="s">
        <v>5394</v>
      </c>
      <c r="E1499" s="6" t="s">
        <v>5399</v>
      </c>
      <c r="F1499" s="6" t="s">
        <v>5400</v>
      </c>
      <c r="G1499" s="9"/>
      <c r="H1499" s="9" t="s">
        <v>18</v>
      </c>
      <c r="I1499" s="16" t="str">
        <f>VLOOKUP(F1499,[1]完整分类结果!$E:$G,3,0)</f>
        <v>化学原料及化学制品制造业</v>
      </c>
      <c r="J1499" s="16">
        <f>VLOOKUP(I1499,[2]行业排放因子!$A:$B,2,0)</f>
        <v>82.521245753925498</v>
      </c>
      <c r="K1499" s="9" t="s">
        <v>756</v>
      </c>
    </row>
    <row r="1500" spans="1:11" ht="12.5" customHeight="1" x14ac:dyDescent="0.25">
      <c r="A1500" s="5" t="s">
        <v>5401</v>
      </c>
      <c r="B1500" s="6" t="s">
        <v>4563</v>
      </c>
      <c r="C1500" s="6" t="s">
        <v>4636</v>
      </c>
      <c r="D1500" s="6" t="s">
        <v>5402</v>
      </c>
      <c r="E1500" s="6" t="s">
        <v>5403</v>
      </c>
      <c r="F1500" s="6" t="s">
        <v>5404</v>
      </c>
      <c r="G1500" s="9" t="s">
        <v>5405</v>
      </c>
      <c r="H1500" s="9" t="s">
        <v>18</v>
      </c>
      <c r="I1500" s="16" t="str">
        <f>VLOOKUP(F1500,[1]完整分类结果!$E:$G,3,0)</f>
        <v>化学原料及化学制品制造业</v>
      </c>
      <c r="J1500" s="16">
        <f>VLOOKUP(I1500,[2]行业排放因子!$A:$B,2,0)</f>
        <v>82.521245753925498</v>
      </c>
      <c r="K1500" s="9" t="s">
        <v>756</v>
      </c>
    </row>
    <row r="1501" spans="1:11" ht="12.5" customHeight="1" x14ac:dyDescent="0.25">
      <c r="A1501" s="5" t="s">
        <v>5406</v>
      </c>
      <c r="B1501" s="6" t="s">
        <v>4563</v>
      </c>
      <c r="C1501" s="6" t="s">
        <v>4636</v>
      </c>
      <c r="D1501" s="6" t="s">
        <v>5402</v>
      </c>
      <c r="E1501" s="6" t="s">
        <v>5407</v>
      </c>
      <c r="F1501" s="6" t="s">
        <v>5408</v>
      </c>
      <c r="G1501" s="9" t="s">
        <v>5409</v>
      </c>
      <c r="H1501" s="9" t="s">
        <v>18</v>
      </c>
      <c r="I1501" s="16" t="str">
        <f>VLOOKUP(F1501,[1]完整分类结果!$E:$G,3,0)</f>
        <v>化学原料及化学制品制造业</v>
      </c>
      <c r="J1501" s="16">
        <f>VLOOKUP(I1501,[2]行业排放因子!$A:$B,2,0)</f>
        <v>82.521245753925498</v>
      </c>
      <c r="K1501" s="9" t="s">
        <v>756</v>
      </c>
    </row>
    <row r="1502" spans="1:11" ht="12.5" customHeight="1" x14ac:dyDescent="0.25">
      <c r="A1502" s="5" t="s">
        <v>5410</v>
      </c>
      <c r="B1502" s="6" t="s">
        <v>4563</v>
      </c>
      <c r="C1502" s="6" t="s">
        <v>4636</v>
      </c>
      <c r="D1502" s="6" t="s">
        <v>5402</v>
      </c>
      <c r="E1502" s="6" t="s">
        <v>5411</v>
      </c>
      <c r="F1502" s="6" t="s">
        <v>5412</v>
      </c>
      <c r="G1502" s="9" t="s">
        <v>5413</v>
      </c>
      <c r="H1502" s="9" t="s">
        <v>18</v>
      </c>
      <c r="I1502" s="16" t="str">
        <f>VLOOKUP(F1502,[1]完整分类结果!$E:$G,3,0)</f>
        <v>化学原料及化学制品制造业</v>
      </c>
      <c r="J1502" s="16">
        <f>VLOOKUP(I1502,[2]行业排放因子!$A:$B,2,0)</f>
        <v>82.521245753925498</v>
      </c>
      <c r="K1502" s="9" t="s">
        <v>756</v>
      </c>
    </row>
    <row r="1503" spans="1:11" ht="12.5" customHeight="1" x14ac:dyDescent="0.25">
      <c r="A1503" s="5" t="s">
        <v>5414</v>
      </c>
      <c r="B1503" s="6" t="s">
        <v>4563</v>
      </c>
      <c r="C1503" s="6" t="s">
        <v>4636</v>
      </c>
      <c r="D1503" s="6" t="s">
        <v>5415</v>
      </c>
      <c r="E1503" s="6" t="s">
        <v>5416</v>
      </c>
      <c r="F1503" s="6" t="s">
        <v>5417</v>
      </c>
      <c r="G1503" s="9" t="s">
        <v>5418</v>
      </c>
      <c r="H1503" s="9" t="s">
        <v>18</v>
      </c>
      <c r="I1503" s="16" t="str">
        <f>VLOOKUP(F1503,[1]完整分类结果!$E:$G,3,0)</f>
        <v>化学原料及化学制品制造业</v>
      </c>
      <c r="J1503" s="16">
        <f>VLOOKUP(I1503,[2]行业排放因子!$A:$B,2,0)</f>
        <v>82.521245753925498</v>
      </c>
      <c r="K1503" s="9" t="s">
        <v>756</v>
      </c>
    </row>
    <row r="1504" spans="1:11" ht="12.5" customHeight="1" x14ac:dyDescent="0.25">
      <c r="A1504" s="5" t="s">
        <v>5419</v>
      </c>
      <c r="B1504" s="6" t="s">
        <v>4563</v>
      </c>
      <c r="C1504" s="6" t="s">
        <v>4636</v>
      </c>
      <c r="D1504" s="6" t="s">
        <v>5415</v>
      </c>
      <c r="E1504" s="6" t="s">
        <v>5420</v>
      </c>
      <c r="F1504" s="6" t="s">
        <v>5421</v>
      </c>
      <c r="G1504" s="9" t="s">
        <v>5422</v>
      </c>
      <c r="H1504" s="9" t="s">
        <v>18</v>
      </c>
      <c r="I1504" s="16" t="str">
        <f>VLOOKUP(F1504,[1]完整分类结果!$E:$G,3,0)</f>
        <v>化学原料及化学制品制造业</v>
      </c>
      <c r="J1504" s="16">
        <f>VLOOKUP(I1504,[2]行业排放因子!$A:$B,2,0)</f>
        <v>82.521245753925498</v>
      </c>
      <c r="K1504" s="9" t="s">
        <v>756</v>
      </c>
    </row>
    <row r="1505" spans="1:11" ht="12.5" customHeight="1" x14ac:dyDescent="0.25">
      <c r="A1505" s="5" t="s">
        <v>5423</v>
      </c>
      <c r="B1505" s="6" t="s">
        <v>4563</v>
      </c>
      <c r="C1505" s="6" t="s">
        <v>4636</v>
      </c>
      <c r="D1505" s="6" t="s">
        <v>5415</v>
      </c>
      <c r="E1505" s="6" t="s">
        <v>5424</v>
      </c>
      <c r="F1505" s="6" t="s">
        <v>5425</v>
      </c>
      <c r="G1505" s="9" t="s">
        <v>5426</v>
      </c>
      <c r="H1505" s="9" t="s">
        <v>18</v>
      </c>
      <c r="I1505" s="16" t="str">
        <f>VLOOKUP(F1505,[1]完整分类结果!$E:$G,3,0)</f>
        <v>化学原料及化学制品制造业</v>
      </c>
      <c r="J1505" s="16">
        <f>VLOOKUP(I1505,[2]行业排放因子!$A:$B,2,0)</f>
        <v>82.521245753925498</v>
      </c>
      <c r="K1505" s="9" t="s">
        <v>756</v>
      </c>
    </row>
    <row r="1506" spans="1:11" ht="12.5" customHeight="1" x14ac:dyDescent="0.25">
      <c r="A1506" s="5" t="s">
        <v>5427</v>
      </c>
      <c r="B1506" s="6" t="s">
        <v>4563</v>
      </c>
      <c r="C1506" s="6" t="s">
        <v>4636</v>
      </c>
      <c r="D1506" s="6" t="s">
        <v>5415</v>
      </c>
      <c r="E1506" s="6" t="s">
        <v>5428</v>
      </c>
      <c r="F1506" s="6" t="s">
        <v>5429</v>
      </c>
      <c r="G1506" s="9" t="s">
        <v>5430</v>
      </c>
      <c r="H1506" s="9" t="s">
        <v>18</v>
      </c>
      <c r="I1506" s="16" t="str">
        <f>VLOOKUP(F1506,[1]完整分类结果!$E:$G,3,0)</f>
        <v>化学原料及化学制品制造业</v>
      </c>
      <c r="J1506" s="16">
        <f>VLOOKUP(I1506,[2]行业排放因子!$A:$B,2,0)</f>
        <v>82.521245753925498</v>
      </c>
      <c r="K1506" s="9" t="s">
        <v>756</v>
      </c>
    </row>
    <row r="1507" spans="1:11" ht="12.5" customHeight="1" x14ac:dyDescent="0.25">
      <c r="A1507" s="5" t="s">
        <v>5431</v>
      </c>
      <c r="B1507" s="6" t="s">
        <v>4563</v>
      </c>
      <c r="C1507" s="6" t="s">
        <v>4636</v>
      </c>
      <c r="D1507" s="6" t="s">
        <v>5415</v>
      </c>
      <c r="E1507" s="6" t="s">
        <v>5432</v>
      </c>
      <c r="F1507" s="6" t="s">
        <v>5433</v>
      </c>
      <c r="G1507" s="9" t="s">
        <v>5434</v>
      </c>
      <c r="H1507" s="9" t="s">
        <v>18</v>
      </c>
      <c r="I1507" s="16" t="str">
        <f>VLOOKUP(F1507,[1]完整分类结果!$E:$G,3,0)</f>
        <v>化学原料及化学制品制造业</v>
      </c>
      <c r="J1507" s="16">
        <f>VLOOKUP(I1507,[2]行业排放因子!$A:$B,2,0)</f>
        <v>82.521245753925498</v>
      </c>
      <c r="K1507" s="9" t="s">
        <v>756</v>
      </c>
    </row>
    <row r="1508" spans="1:11" ht="12.5" customHeight="1" x14ac:dyDescent="0.25">
      <c r="A1508" s="5" t="s">
        <v>5435</v>
      </c>
      <c r="B1508" s="6" t="s">
        <v>4563</v>
      </c>
      <c r="C1508" s="6" t="s">
        <v>4636</v>
      </c>
      <c r="D1508" s="6" t="s">
        <v>5415</v>
      </c>
      <c r="E1508" s="6" t="s">
        <v>5436</v>
      </c>
      <c r="F1508" s="6" t="s">
        <v>5437</v>
      </c>
      <c r="G1508" s="9" t="s">
        <v>5438</v>
      </c>
      <c r="H1508" s="9" t="s">
        <v>18</v>
      </c>
      <c r="I1508" s="16" t="str">
        <f>VLOOKUP(F1508,[1]完整分类结果!$E:$G,3,0)</f>
        <v>化学原料及化学制品制造业</v>
      </c>
      <c r="J1508" s="16">
        <f>VLOOKUP(I1508,[2]行业排放因子!$A:$B,2,0)</f>
        <v>82.521245753925498</v>
      </c>
      <c r="K1508" s="9" t="s">
        <v>756</v>
      </c>
    </row>
    <row r="1509" spans="1:11" ht="12.5" customHeight="1" x14ac:dyDescent="0.25">
      <c r="A1509" s="5" t="s">
        <v>5439</v>
      </c>
      <c r="B1509" s="6" t="s">
        <v>4563</v>
      </c>
      <c r="C1509" s="6" t="s">
        <v>4636</v>
      </c>
      <c r="D1509" s="6" t="s">
        <v>5440</v>
      </c>
      <c r="E1509" s="6" t="s">
        <v>5441</v>
      </c>
      <c r="F1509" s="6" t="s">
        <v>5442</v>
      </c>
      <c r="G1509" s="9"/>
      <c r="H1509" s="9" t="s">
        <v>18</v>
      </c>
      <c r="I1509" s="16" t="str">
        <f>VLOOKUP(F1509,[1]完整分类结果!$E:$G,3,0)</f>
        <v>化学原料及化学制品制造业</v>
      </c>
      <c r="J1509" s="16">
        <f>VLOOKUP(I1509,[2]行业排放因子!$A:$B,2,0)</f>
        <v>82.521245753925498</v>
      </c>
      <c r="K1509" s="9" t="s">
        <v>756</v>
      </c>
    </row>
    <row r="1510" spans="1:11" ht="12.5" customHeight="1" x14ac:dyDescent="0.25">
      <c r="A1510" s="5" t="s">
        <v>5443</v>
      </c>
      <c r="B1510" s="6" t="s">
        <v>4563</v>
      </c>
      <c r="C1510" s="6" t="s">
        <v>4636</v>
      </c>
      <c r="D1510" s="6" t="s">
        <v>5440</v>
      </c>
      <c r="E1510" s="6" t="s">
        <v>5444</v>
      </c>
      <c r="F1510" s="6" t="s">
        <v>5445</v>
      </c>
      <c r="G1510" s="9"/>
      <c r="H1510" s="9" t="s">
        <v>18</v>
      </c>
      <c r="I1510" s="16" t="str">
        <f>VLOOKUP(F1510,[1]完整分类结果!$E:$G,3,0)</f>
        <v>化学原料及化学制品制造业</v>
      </c>
      <c r="J1510" s="16">
        <f>VLOOKUP(I1510,[2]行业排放因子!$A:$B,2,0)</f>
        <v>82.521245753925498</v>
      </c>
      <c r="K1510" s="9" t="s">
        <v>756</v>
      </c>
    </row>
    <row r="1511" spans="1:11" ht="12.5" customHeight="1" x14ac:dyDescent="0.25">
      <c r="A1511" s="5" t="s">
        <v>5446</v>
      </c>
      <c r="B1511" s="6" t="s">
        <v>4563</v>
      </c>
      <c r="C1511" s="6" t="s">
        <v>4636</v>
      </c>
      <c r="D1511" s="6" t="s">
        <v>5447</v>
      </c>
      <c r="E1511" s="6" t="s">
        <v>5448</v>
      </c>
      <c r="F1511" s="6" t="s">
        <v>5447</v>
      </c>
      <c r="G1511" s="9" t="s">
        <v>5449</v>
      </c>
      <c r="H1511" s="9" t="s">
        <v>18</v>
      </c>
      <c r="I1511" s="16" t="str">
        <f>VLOOKUP(F1511,[1]完整分类结果!$E:$G,3,0)</f>
        <v>化学原料及化学制品制造业</v>
      </c>
      <c r="J1511" s="16">
        <f>VLOOKUP(I1511,[2]行业排放因子!$A:$B,2,0)</f>
        <v>82.521245753925498</v>
      </c>
      <c r="K1511" s="9" t="s">
        <v>756</v>
      </c>
    </row>
    <row r="1512" spans="1:11" ht="12.5" customHeight="1" x14ac:dyDescent="0.25">
      <c r="A1512" s="5" t="s">
        <v>5450</v>
      </c>
      <c r="B1512" s="6" t="s">
        <v>4563</v>
      </c>
      <c r="C1512" s="6" t="s">
        <v>4636</v>
      </c>
      <c r="D1512" s="6" t="s">
        <v>5451</v>
      </c>
      <c r="E1512" s="6" t="s">
        <v>5452</v>
      </c>
      <c r="F1512" s="6" t="s">
        <v>5453</v>
      </c>
      <c r="G1512" s="9" t="s">
        <v>5454</v>
      </c>
      <c r="H1512" s="9" t="s">
        <v>18</v>
      </c>
      <c r="I1512" s="16" t="str">
        <f>VLOOKUP(F1512,[1]完整分类结果!$E:$G,3,0)</f>
        <v>化学原料及化学制品制造业</v>
      </c>
      <c r="J1512" s="16">
        <f>VLOOKUP(I1512,[2]行业排放因子!$A:$B,2,0)</f>
        <v>82.521245753925498</v>
      </c>
      <c r="K1512" s="9" t="s">
        <v>756</v>
      </c>
    </row>
    <row r="1513" spans="1:11" ht="12.5" customHeight="1" x14ac:dyDescent="0.25">
      <c r="A1513" s="5" t="s">
        <v>5455</v>
      </c>
      <c r="B1513" s="6" t="s">
        <v>4563</v>
      </c>
      <c r="C1513" s="6" t="s">
        <v>4636</v>
      </c>
      <c r="D1513" s="6" t="s">
        <v>5451</v>
      </c>
      <c r="E1513" s="6" t="s">
        <v>5456</v>
      </c>
      <c r="F1513" s="6" t="s">
        <v>5457</v>
      </c>
      <c r="G1513" s="9" t="s">
        <v>5458</v>
      </c>
      <c r="H1513" s="9" t="s">
        <v>18</v>
      </c>
      <c r="I1513" s="16" t="str">
        <f>VLOOKUP(F1513,[1]完整分类结果!$E:$G,3,0)</f>
        <v>化学原料及化学制品制造业</v>
      </c>
      <c r="J1513" s="16">
        <f>VLOOKUP(I1513,[2]行业排放因子!$A:$B,2,0)</f>
        <v>82.521245753925498</v>
      </c>
      <c r="K1513" s="9" t="s">
        <v>756</v>
      </c>
    </row>
    <row r="1514" spans="1:11" ht="12.5" customHeight="1" x14ac:dyDescent="0.25">
      <c r="A1514" s="5" t="s">
        <v>5459</v>
      </c>
      <c r="B1514" s="6" t="s">
        <v>4563</v>
      </c>
      <c r="C1514" s="6" t="s">
        <v>4636</v>
      </c>
      <c r="D1514" s="6" t="s">
        <v>5451</v>
      </c>
      <c r="E1514" s="6" t="s">
        <v>5460</v>
      </c>
      <c r="F1514" s="6" t="s">
        <v>5461</v>
      </c>
      <c r="G1514" s="9" t="s">
        <v>5462</v>
      </c>
      <c r="H1514" s="9" t="s">
        <v>18</v>
      </c>
      <c r="I1514" s="16" t="str">
        <f>VLOOKUP(F1514,[1]完整分类结果!$E:$G,3,0)</f>
        <v>化学原料及化学制品制造业</v>
      </c>
      <c r="J1514" s="16">
        <f>VLOOKUP(I1514,[2]行业排放因子!$A:$B,2,0)</f>
        <v>82.521245753925498</v>
      </c>
      <c r="K1514" s="9" t="s">
        <v>756</v>
      </c>
    </row>
    <row r="1515" spans="1:11" ht="12.5" customHeight="1" x14ac:dyDescent="0.25">
      <c r="A1515" s="5" t="s">
        <v>5463</v>
      </c>
      <c r="B1515" s="6" t="s">
        <v>4563</v>
      </c>
      <c r="C1515" s="6" t="s">
        <v>4636</v>
      </c>
      <c r="D1515" s="6" t="s">
        <v>5451</v>
      </c>
      <c r="E1515" s="6" t="s">
        <v>5464</v>
      </c>
      <c r="F1515" s="6" t="s">
        <v>5465</v>
      </c>
      <c r="G1515" s="9" t="s">
        <v>5466</v>
      </c>
      <c r="H1515" s="9" t="s">
        <v>18</v>
      </c>
      <c r="I1515" s="16" t="str">
        <f>VLOOKUP(F1515,[1]完整分类结果!$E:$G,3,0)</f>
        <v>化学原料及化学制品制造业</v>
      </c>
      <c r="J1515" s="16">
        <f>VLOOKUP(I1515,[2]行业排放因子!$A:$B,2,0)</f>
        <v>82.521245753925498</v>
      </c>
      <c r="K1515" s="9" t="s">
        <v>756</v>
      </c>
    </row>
    <row r="1516" spans="1:11" ht="12.5" customHeight="1" x14ac:dyDescent="0.25">
      <c r="A1516" s="5" t="s">
        <v>5467</v>
      </c>
      <c r="B1516" s="6" t="s">
        <v>4563</v>
      </c>
      <c r="C1516" s="6" t="s">
        <v>4636</v>
      </c>
      <c r="D1516" s="6" t="s">
        <v>5451</v>
      </c>
      <c r="E1516" s="6" t="s">
        <v>5468</v>
      </c>
      <c r="F1516" s="6" t="s">
        <v>5469</v>
      </c>
      <c r="G1516" s="9" t="s">
        <v>5470</v>
      </c>
      <c r="H1516" s="9" t="s">
        <v>18</v>
      </c>
      <c r="I1516" s="16" t="str">
        <f>VLOOKUP(F1516,[1]完整分类结果!$E:$G,3,0)</f>
        <v>化学原料及化学制品制造业</v>
      </c>
      <c r="J1516" s="16">
        <f>VLOOKUP(I1516,[2]行业排放因子!$A:$B,2,0)</f>
        <v>82.521245753925498</v>
      </c>
      <c r="K1516" s="9" t="s">
        <v>756</v>
      </c>
    </row>
    <row r="1517" spans="1:11" ht="12.5" customHeight="1" x14ac:dyDescent="0.25">
      <c r="A1517" s="5" t="s">
        <v>5471</v>
      </c>
      <c r="B1517" s="6" t="s">
        <v>4563</v>
      </c>
      <c r="C1517" s="6" t="s">
        <v>4636</v>
      </c>
      <c r="D1517" s="6" t="s">
        <v>5451</v>
      </c>
      <c r="E1517" s="6" t="s">
        <v>5472</v>
      </c>
      <c r="F1517" s="6" t="s">
        <v>5473</v>
      </c>
      <c r="G1517" s="9" t="s">
        <v>5474</v>
      </c>
      <c r="H1517" s="9" t="s">
        <v>18</v>
      </c>
      <c r="I1517" s="16" t="str">
        <f>VLOOKUP(F1517,[1]完整分类结果!$E:$G,3,0)</f>
        <v>化学原料及化学制品制造业</v>
      </c>
      <c r="J1517" s="16">
        <f>VLOOKUP(I1517,[2]行业排放因子!$A:$B,2,0)</f>
        <v>82.521245753925498</v>
      </c>
      <c r="K1517" s="9" t="s">
        <v>756</v>
      </c>
    </row>
    <row r="1518" spans="1:11" ht="12.5" customHeight="1" x14ac:dyDescent="0.25">
      <c r="A1518" s="5" t="s">
        <v>5475</v>
      </c>
      <c r="B1518" s="6" t="s">
        <v>4563</v>
      </c>
      <c r="C1518" s="6" t="s">
        <v>4636</v>
      </c>
      <c r="D1518" s="6" t="s">
        <v>5476</v>
      </c>
      <c r="E1518" s="6" t="s">
        <v>5477</v>
      </c>
      <c r="F1518" s="6" t="s">
        <v>5478</v>
      </c>
      <c r="G1518" s="9" t="s">
        <v>5479</v>
      </c>
      <c r="H1518" s="9" t="s">
        <v>18</v>
      </c>
      <c r="I1518" s="16" t="str">
        <f>VLOOKUP(F1518,[1]完整分类结果!$E:$G,3,0)</f>
        <v>化学原料及化学制品制造业</v>
      </c>
      <c r="J1518" s="16">
        <f>VLOOKUP(I1518,[2]行业排放因子!$A:$B,2,0)</f>
        <v>82.521245753925498</v>
      </c>
      <c r="K1518" s="9" t="s">
        <v>756</v>
      </c>
    </row>
    <row r="1519" spans="1:11" ht="12.5" customHeight="1" x14ac:dyDescent="0.25">
      <c r="A1519" s="5" t="s">
        <v>5480</v>
      </c>
      <c r="B1519" s="6" t="s">
        <v>4563</v>
      </c>
      <c r="C1519" s="6" t="s">
        <v>4636</v>
      </c>
      <c r="D1519" s="6" t="s">
        <v>5476</v>
      </c>
      <c r="E1519" s="6" t="s">
        <v>5481</v>
      </c>
      <c r="F1519" s="6" t="s">
        <v>5482</v>
      </c>
      <c r="G1519" s="9" t="s">
        <v>5483</v>
      </c>
      <c r="H1519" s="9" t="s">
        <v>18</v>
      </c>
      <c r="I1519" s="16" t="str">
        <f>VLOOKUP(F1519,[1]完整分类结果!$E:$G,3,0)</f>
        <v>化学原料及化学制品制造业</v>
      </c>
      <c r="J1519" s="16">
        <f>VLOOKUP(I1519,[2]行业排放因子!$A:$B,2,0)</f>
        <v>82.521245753925498</v>
      </c>
      <c r="K1519" s="9" t="s">
        <v>756</v>
      </c>
    </row>
    <row r="1520" spans="1:11" ht="12.5" customHeight="1" x14ac:dyDescent="0.25">
      <c r="A1520" s="5" t="s">
        <v>5484</v>
      </c>
      <c r="B1520" s="6" t="s">
        <v>4563</v>
      </c>
      <c r="C1520" s="6" t="s">
        <v>4636</v>
      </c>
      <c r="D1520" s="6" t="s">
        <v>5476</v>
      </c>
      <c r="E1520" s="6" t="s">
        <v>5485</v>
      </c>
      <c r="F1520" s="6" t="s">
        <v>5486</v>
      </c>
      <c r="G1520" s="9" t="s">
        <v>5487</v>
      </c>
      <c r="H1520" s="9" t="s">
        <v>18</v>
      </c>
      <c r="I1520" s="16" t="str">
        <f>VLOOKUP(F1520,[1]完整分类结果!$E:$G,3,0)</f>
        <v>化学原料及化学制品制造业</v>
      </c>
      <c r="J1520" s="16">
        <f>VLOOKUP(I1520,[2]行业排放因子!$A:$B,2,0)</f>
        <v>82.521245753925498</v>
      </c>
      <c r="K1520" s="9" t="s">
        <v>756</v>
      </c>
    </row>
    <row r="1521" spans="1:11" ht="12.5" customHeight="1" x14ac:dyDescent="0.25">
      <c r="A1521" s="5" t="s">
        <v>5488</v>
      </c>
      <c r="B1521" s="6" t="s">
        <v>4563</v>
      </c>
      <c r="C1521" s="6" t="s">
        <v>4636</v>
      </c>
      <c r="D1521" s="6" t="s">
        <v>5476</v>
      </c>
      <c r="E1521" s="6" t="s">
        <v>5489</v>
      </c>
      <c r="F1521" s="6" t="s">
        <v>5490</v>
      </c>
      <c r="G1521" s="9" t="s">
        <v>5491</v>
      </c>
      <c r="H1521" s="9" t="s">
        <v>18</v>
      </c>
      <c r="I1521" s="16" t="str">
        <f>VLOOKUP(F1521,[1]完整分类结果!$E:$G,3,0)</f>
        <v>化学原料及化学制品制造业</v>
      </c>
      <c r="J1521" s="16">
        <f>VLOOKUP(I1521,[2]行业排放因子!$A:$B,2,0)</f>
        <v>82.521245753925498</v>
      </c>
      <c r="K1521" s="9" t="s">
        <v>756</v>
      </c>
    </row>
    <row r="1522" spans="1:11" ht="12.5" customHeight="1" x14ac:dyDescent="0.25">
      <c r="A1522" s="5" t="s">
        <v>5492</v>
      </c>
      <c r="B1522" s="6" t="s">
        <v>4563</v>
      </c>
      <c r="C1522" s="6" t="s">
        <v>4636</v>
      </c>
      <c r="D1522" s="6" t="s">
        <v>5476</v>
      </c>
      <c r="E1522" s="6" t="s">
        <v>5493</v>
      </c>
      <c r="F1522" s="6" t="s">
        <v>5494</v>
      </c>
      <c r="G1522" s="9" t="s">
        <v>5495</v>
      </c>
      <c r="H1522" s="9" t="s">
        <v>18</v>
      </c>
      <c r="I1522" s="16" t="str">
        <f>VLOOKUP(F1522,[1]完整分类结果!$E:$G,3,0)</f>
        <v>化学原料及化学制品制造业</v>
      </c>
      <c r="J1522" s="16">
        <f>VLOOKUP(I1522,[2]行业排放因子!$A:$B,2,0)</f>
        <v>82.521245753925498</v>
      </c>
      <c r="K1522" s="9" t="s">
        <v>756</v>
      </c>
    </row>
    <row r="1523" spans="1:11" ht="12.5" customHeight="1" x14ac:dyDescent="0.25">
      <c r="A1523" s="5" t="s">
        <v>5496</v>
      </c>
      <c r="B1523" s="6" t="s">
        <v>4563</v>
      </c>
      <c r="C1523" s="6" t="s">
        <v>4636</v>
      </c>
      <c r="D1523" s="6" t="s">
        <v>5476</v>
      </c>
      <c r="E1523" s="6" t="s">
        <v>5497</v>
      </c>
      <c r="F1523" s="6" t="s">
        <v>5498</v>
      </c>
      <c r="G1523" s="9" t="s">
        <v>5499</v>
      </c>
      <c r="H1523" s="9" t="s">
        <v>18</v>
      </c>
      <c r="I1523" s="16" t="str">
        <f>VLOOKUP(F1523,[1]完整分类结果!$E:$G,3,0)</f>
        <v>化学原料及化学制品制造业</v>
      </c>
      <c r="J1523" s="16">
        <f>VLOOKUP(I1523,[2]行业排放因子!$A:$B,2,0)</f>
        <v>82.521245753925498</v>
      </c>
      <c r="K1523" s="9" t="s">
        <v>756</v>
      </c>
    </row>
    <row r="1524" spans="1:11" ht="12.5" customHeight="1" x14ac:dyDescent="0.25">
      <c r="A1524" s="5" t="s">
        <v>5500</v>
      </c>
      <c r="B1524" s="6" t="s">
        <v>4563</v>
      </c>
      <c r="C1524" s="6" t="s">
        <v>4636</v>
      </c>
      <c r="D1524" s="6" t="s">
        <v>5476</v>
      </c>
      <c r="E1524" s="6" t="s">
        <v>5501</v>
      </c>
      <c r="F1524" s="6" t="s">
        <v>5502</v>
      </c>
      <c r="G1524" s="9"/>
      <c r="H1524" s="9" t="s">
        <v>18</v>
      </c>
      <c r="I1524" s="16" t="str">
        <f>VLOOKUP(F1524,[1]完整分类结果!$E:$G,3,0)</f>
        <v>化学原料及化学制品制造业</v>
      </c>
      <c r="J1524" s="16">
        <f>VLOOKUP(I1524,[2]行业排放因子!$A:$B,2,0)</f>
        <v>82.521245753925498</v>
      </c>
      <c r="K1524" s="9" t="s">
        <v>756</v>
      </c>
    </row>
    <row r="1525" spans="1:11" ht="12.5" customHeight="1" x14ac:dyDescent="0.25">
      <c r="A1525" s="5" t="s">
        <v>5503</v>
      </c>
      <c r="B1525" s="6" t="s">
        <v>4563</v>
      </c>
      <c r="C1525" s="6" t="s">
        <v>5504</v>
      </c>
      <c r="D1525" s="6" t="s">
        <v>5505</v>
      </c>
      <c r="E1525" s="6" t="s">
        <v>5506</v>
      </c>
      <c r="F1525" s="6" t="s">
        <v>5507</v>
      </c>
      <c r="G1525" s="9" t="s">
        <v>5508</v>
      </c>
      <c r="H1525" s="9" t="s">
        <v>18</v>
      </c>
      <c r="I1525" s="16" t="str">
        <f>VLOOKUP(F1525,[1]完整分类结果!$E:$G,3,0)</f>
        <v>化学原料及化学制品制造业</v>
      </c>
      <c r="J1525" s="16">
        <f>VLOOKUP(I1525,[2]行业排放因子!$A:$B,2,0)</f>
        <v>82.521245753925498</v>
      </c>
      <c r="K1525" s="9" t="s">
        <v>756</v>
      </c>
    </row>
    <row r="1526" spans="1:11" ht="12.5" customHeight="1" x14ac:dyDescent="0.25">
      <c r="A1526" s="5" t="s">
        <v>5509</v>
      </c>
      <c r="B1526" s="6" t="s">
        <v>4563</v>
      </c>
      <c r="C1526" s="6" t="s">
        <v>5504</v>
      </c>
      <c r="D1526" s="6" t="s">
        <v>5505</v>
      </c>
      <c r="E1526" s="6" t="s">
        <v>5510</v>
      </c>
      <c r="F1526" s="6" t="s">
        <v>5511</v>
      </c>
      <c r="G1526" s="9" t="s">
        <v>5512</v>
      </c>
      <c r="H1526" s="9" t="s">
        <v>18</v>
      </c>
      <c r="I1526" s="16" t="str">
        <f>VLOOKUP(F1526,[1]完整分类结果!$E:$G,3,0)</f>
        <v>化学原料及化学制品制造业</v>
      </c>
      <c r="J1526" s="16">
        <f>VLOOKUP(I1526,[2]行业排放因子!$A:$B,2,0)</f>
        <v>82.521245753925498</v>
      </c>
      <c r="K1526" s="9" t="s">
        <v>756</v>
      </c>
    </row>
    <row r="1527" spans="1:11" ht="12.5" customHeight="1" x14ac:dyDescent="0.25">
      <c r="A1527" s="5" t="s">
        <v>5513</v>
      </c>
      <c r="B1527" s="6" t="s">
        <v>4563</v>
      </c>
      <c r="C1527" s="6" t="s">
        <v>5504</v>
      </c>
      <c r="D1527" s="6" t="s">
        <v>5505</v>
      </c>
      <c r="E1527" s="6" t="s">
        <v>5514</v>
      </c>
      <c r="F1527" s="6" t="s">
        <v>5515</v>
      </c>
      <c r="G1527" s="9" t="s">
        <v>5516</v>
      </c>
      <c r="H1527" s="9" t="s">
        <v>18</v>
      </c>
      <c r="I1527" s="16" t="str">
        <f>VLOOKUP(F1527,[1]完整分类结果!$E:$G,3,0)</f>
        <v>化学原料及化学制品制造业</v>
      </c>
      <c r="J1527" s="16">
        <f>VLOOKUP(I1527,[2]行业排放因子!$A:$B,2,0)</f>
        <v>82.521245753925498</v>
      </c>
      <c r="K1527" s="9" t="s">
        <v>756</v>
      </c>
    </row>
    <row r="1528" spans="1:11" ht="12.5" customHeight="1" x14ac:dyDescent="0.25">
      <c r="A1528" s="5" t="s">
        <v>5517</v>
      </c>
      <c r="B1528" s="6" t="s">
        <v>4563</v>
      </c>
      <c r="C1528" s="6" t="s">
        <v>5504</v>
      </c>
      <c r="D1528" s="6" t="s">
        <v>5505</v>
      </c>
      <c r="E1528" s="6" t="s">
        <v>5518</v>
      </c>
      <c r="F1528" s="6" t="s">
        <v>5519</v>
      </c>
      <c r="G1528" s="9" t="s">
        <v>5520</v>
      </c>
      <c r="H1528" s="9" t="s">
        <v>18</v>
      </c>
      <c r="I1528" s="16" t="str">
        <f>VLOOKUP(F1528,[1]完整分类结果!$E:$G,3,0)</f>
        <v>化学原料及化学制品制造业</v>
      </c>
      <c r="J1528" s="16">
        <f>VLOOKUP(I1528,[2]行业排放因子!$A:$B,2,0)</f>
        <v>82.521245753925498</v>
      </c>
      <c r="K1528" s="9" t="s">
        <v>756</v>
      </c>
    </row>
    <row r="1529" spans="1:11" ht="12.5" customHeight="1" x14ac:dyDescent="0.25">
      <c r="A1529" s="5" t="s">
        <v>5521</v>
      </c>
      <c r="B1529" s="6" t="s">
        <v>4563</v>
      </c>
      <c r="C1529" s="6" t="s">
        <v>5504</v>
      </c>
      <c r="D1529" s="6" t="s">
        <v>5505</v>
      </c>
      <c r="E1529" s="6" t="s">
        <v>5522</v>
      </c>
      <c r="F1529" s="6" t="s">
        <v>5523</v>
      </c>
      <c r="G1529" s="9" t="s">
        <v>5524</v>
      </c>
      <c r="H1529" s="9" t="s">
        <v>18</v>
      </c>
      <c r="I1529" s="16" t="str">
        <f>VLOOKUP(F1529,[1]完整分类结果!$E:$G,3,0)</f>
        <v>化学原料及化学制品制造业</v>
      </c>
      <c r="J1529" s="16">
        <f>VLOOKUP(I1529,[2]行业排放因子!$A:$B,2,0)</f>
        <v>82.521245753925498</v>
      </c>
      <c r="K1529" s="9" t="s">
        <v>756</v>
      </c>
    </row>
    <row r="1530" spans="1:11" ht="12.5" customHeight="1" x14ac:dyDescent="0.25">
      <c r="A1530" s="5" t="s">
        <v>5525</v>
      </c>
      <c r="B1530" s="6" t="s">
        <v>4563</v>
      </c>
      <c r="C1530" s="6" t="s">
        <v>5504</v>
      </c>
      <c r="D1530" s="6" t="s">
        <v>5505</v>
      </c>
      <c r="E1530" s="6" t="s">
        <v>5526</v>
      </c>
      <c r="F1530" s="6" t="s">
        <v>5527</v>
      </c>
      <c r="G1530" s="9" t="s">
        <v>5528</v>
      </c>
      <c r="H1530" s="9" t="s">
        <v>18</v>
      </c>
      <c r="I1530" s="16" t="str">
        <f>VLOOKUP(F1530,[1]完整分类结果!$E:$G,3,0)</f>
        <v>化学原料及化学制品制造业</v>
      </c>
      <c r="J1530" s="16">
        <f>VLOOKUP(I1530,[2]行业排放因子!$A:$B,2,0)</f>
        <v>82.521245753925498</v>
      </c>
      <c r="K1530" s="9" t="s">
        <v>756</v>
      </c>
    </row>
    <row r="1531" spans="1:11" ht="12.5" customHeight="1" x14ac:dyDescent="0.25">
      <c r="A1531" s="5" t="s">
        <v>5529</v>
      </c>
      <c r="B1531" s="6" t="s">
        <v>4563</v>
      </c>
      <c r="C1531" s="6" t="s">
        <v>5504</v>
      </c>
      <c r="D1531" s="6" t="s">
        <v>5505</v>
      </c>
      <c r="E1531" s="6" t="s">
        <v>5530</v>
      </c>
      <c r="F1531" s="6" t="s">
        <v>5531</v>
      </c>
      <c r="G1531" s="9" t="s">
        <v>5532</v>
      </c>
      <c r="H1531" s="9" t="s">
        <v>18</v>
      </c>
      <c r="I1531" s="16" t="str">
        <f>VLOOKUP(F1531,[1]完整分类结果!$E:$G,3,0)</f>
        <v>化学原料及化学制品制造业</v>
      </c>
      <c r="J1531" s="16">
        <f>VLOOKUP(I1531,[2]行业排放因子!$A:$B,2,0)</f>
        <v>82.521245753925498</v>
      </c>
      <c r="K1531" s="9" t="s">
        <v>756</v>
      </c>
    </row>
    <row r="1532" spans="1:11" ht="12.5" customHeight="1" x14ac:dyDescent="0.25">
      <c r="A1532" s="5" t="s">
        <v>5533</v>
      </c>
      <c r="B1532" s="6" t="s">
        <v>4563</v>
      </c>
      <c r="C1532" s="6" t="s">
        <v>5504</v>
      </c>
      <c r="D1532" s="6" t="s">
        <v>5505</v>
      </c>
      <c r="E1532" s="6" t="s">
        <v>5534</v>
      </c>
      <c r="F1532" s="6" t="s">
        <v>5535</v>
      </c>
      <c r="G1532" s="9" t="s">
        <v>5536</v>
      </c>
      <c r="H1532" s="9" t="s">
        <v>18</v>
      </c>
      <c r="I1532" s="16" t="str">
        <f>VLOOKUP(F1532,[1]完整分类结果!$E:$G,3,0)</f>
        <v>化学原料及化学制品制造业</v>
      </c>
      <c r="J1532" s="16">
        <f>VLOOKUP(I1532,[2]行业排放因子!$A:$B,2,0)</f>
        <v>82.521245753925498</v>
      </c>
      <c r="K1532" s="9" t="s">
        <v>756</v>
      </c>
    </row>
    <row r="1533" spans="1:11" ht="12.5" customHeight="1" x14ac:dyDescent="0.25">
      <c r="A1533" s="5" t="s">
        <v>5537</v>
      </c>
      <c r="B1533" s="6" t="s">
        <v>4563</v>
      </c>
      <c r="C1533" s="6" t="s">
        <v>5504</v>
      </c>
      <c r="D1533" s="6" t="s">
        <v>5505</v>
      </c>
      <c r="E1533" s="6" t="s">
        <v>5538</v>
      </c>
      <c r="F1533" s="6" t="s">
        <v>5539</v>
      </c>
      <c r="G1533" s="9" t="s">
        <v>5540</v>
      </c>
      <c r="H1533" s="9" t="s">
        <v>18</v>
      </c>
      <c r="I1533" s="16" t="str">
        <f>VLOOKUP(F1533,[1]完整分类结果!$E:$G,3,0)</f>
        <v>化学原料及化学制品制造业</v>
      </c>
      <c r="J1533" s="16">
        <f>VLOOKUP(I1533,[2]行业排放因子!$A:$B,2,0)</f>
        <v>82.521245753925498</v>
      </c>
      <c r="K1533" s="9" t="s">
        <v>756</v>
      </c>
    </row>
    <row r="1534" spans="1:11" ht="12.5" customHeight="1" x14ac:dyDescent="0.25">
      <c r="A1534" s="5" t="s">
        <v>5541</v>
      </c>
      <c r="B1534" s="6" t="s">
        <v>4563</v>
      </c>
      <c r="C1534" s="6" t="s">
        <v>5504</v>
      </c>
      <c r="D1534" s="6" t="s">
        <v>5505</v>
      </c>
      <c r="E1534" s="6" t="s">
        <v>5542</v>
      </c>
      <c r="F1534" s="6" t="s">
        <v>5543</v>
      </c>
      <c r="G1534" s="9" t="s">
        <v>5544</v>
      </c>
      <c r="H1534" s="9" t="s">
        <v>18</v>
      </c>
      <c r="I1534" s="16" t="str">
        <f>VLOOKUP(F1534,[1]完整分类结果!$E:$G,3,0)</f>
        <v>化学原料及化学制品制造业</v>
      </c>
      <c r="J1534" s="16">
        <f>VLOOKUP(I1534,[2]行业排放因子!$A:$B,2,0)</f>
        <v>82.521245753925498</v>
      </c>
      <c r="K1534" s="9" t="s">
        <v>756</v>
      </c>
    </row>
    <row r="1535" spans="1:11" ht="12.5" customHeight="1" x14ac:dyDescent="0.25">
      <c r="A1535" s="5" t="s">
        <v>5545</v>
      </c>
      <c r="B1535" s="6" t="s">
        <v>4563</v>
      </c>
      <c r="C1535" s="6" t="s">
        <v>5504</v>
      </c>
      <c r="D1535" s="6" t="s">
        <v>5505</v>
      </c>
      <c r="E1535" s="6" t="s">
        <v>5546</v>
      </c>
      <c r="F1535" s="6" t="s">
        <v>5547</v>
      </c>
      <c r="G1535" s="9" t="s">
        <v>5548</v>
      </c>
      <c r="H1535" s="9" t="s">
        <v>18</v>
      </c>
      <c r="I1535" s="16" t="str">
        <f>VLOOKUP(F1535,[1]完整分类结果!$E:$G,3,0)</f>
        <v>化学原料及化学制品制造业</v>
      </c>
      <c r="J1535" s="16">
        <f>VLOOKUP(I1535,[2]行业排放因子!$A:$B,2,0)</f>
        <v>82.521245753925498</v>
      </c>
      <c r="K1535" s="9" t="s">
        <v>756</v>
      </c>
    </row>
    <row r="1536" spans="1:11" ht="12.5" customHeight="1" x14ac:dyDescent="0.25">
      <c r="A1536" s="5" t="s">
        <v>5549</v>
      </c>
      <c r="B1536" s="6" t="s">
        <v>4563</v>
      </c>
      <c r="C1536" s="6" t="s">
        <v>5504</v>
      </c>
      <c r="D1536" s="6" t="s">
        <v>5505</v>
      </c>
      <c r="E1536" s="6" t="s">
        <v>5550</v>
      </c>
      <c r="F1536" s="6" t="s">
        <v>5551</v>
      </c>
      <c r="G1536" s="9" t="s">
        <v>5552</v>
      </c>
      <c r="H1536" s="9" t="s">
        <v>18</v>
      </c>
      <c r="I1536" s="16" t="str">
        <f>VLOOKUP(F1536,[1]完整分类结果!$E:$G,3,0)</f>
        <v>化学原料及化学制品制造业</v>
      </c>
      <c r="J1536" s="16">
        <f>VLOOKUP(I1536,[2]行业排放因子!$A:$B,2,0)</f>
        <v>82.521245753925498</v>
      </c>
      <c r="K1536" s="9" t="s">
        <v>756</v>
      </c>
    </row>
    <row r="1537" spans="1:11" ht="12.5" customHeight="1" x14ac:dyDescent="0.25">
      <c r="A1537" s="5" t="s">
        <v>5553</v>
      </c>
      <c r="B1537" s="6" t="s">
        <v>4563</v>
      </c>
      <c r="C1537" s="6" t="s">
        <v>5504</v>
      </c>
      <c r="D1537" s="6" t="s">
        <v>5505</v>
      </c>
      <c r="E1537" s="6" t="s">
        <v>5554</v>
      </c>
      <c r="F1537" s="6" t="s">
        <v>5555</v>
      </c>
      <c r="G1537" s="9" t="s">
        <v>5556</v>
      </c>
      <c r="H1537" s="9" t="s">
        <v>18</v>
      </c>
      <c r="I1537" s="16" t="str">
        <f>VLOOKUP(F1537,[1]完整分类结果!$E:$G,3,0)</f>
        <v>化学原料及化学制品制造业</v>
      </c>
      <c r="J1537" s="16">
        <f>VLOOKUP(I1537,[2]行业排放因子!$A:$B,2,0)</f>
        <v>82.521245753925498</v>
      </c>
      <c r="K1537" s="9" t="s">
        <v>756</v>
      </c>
    </row>
    <row r="1538" spans="1:11" ht="12.5" customHeight="1" x14ac:dyDescent="0.25">
      <c r="A1538" s="5" t="s">
        <v>5557</v>
      </c>
      <c r="B1538" s="6" t="s">
        <v>4563</v>
      </c>
      <c r="C1538" s="6" t="s">
        <v>5504</v>
      </c>
      <c r="D1538" s="6" t="s">
        <v>5505</v>
      </c>
      <c r="E1538" s="6" t="s">
        <v>5558</v>
      </c>
      <c r="F1538" s="6" t="s">
        <v>5559</v>
      </c>
      <c r="G1538" s="9" t="s">
        <v>5560</v>
      </c>
      <c r="H1538" s="9" t="s">
        <v>18</v>
      </c>
      <c r="I1538" s="16" t="str">
        <f>VLOOKUP(F1538,[1]完整分类结果!$E:$G,3,0)</f>
        <v>化学原料及化学制品制造业</v>
      </c>
      <c r="J1538" s="16">
        <f>VLOOKUP(I1538,[2]行业排放因子!$A:$B,2,0)</f>
        <v>82.521245753925498</v>
      </c>
      <c r="K1538" s="9" t="s">
        <v>756</v>
      </c>
    </row>
    <row r="1539" spans="1:11" ht="12.5" customHeight="1" x14ac:dyDescent="0.25">
      <c r="A1539" s="5" t="s">
        <v>5561</v>
      </c>
      <c r="B1539" s="6" t="s">
        <v>4563</v>
      </c>
      <c r="C1539" s="6" t="s">
        <v>5504</v>
      </c>
      <c r="D1539" s="6" t="s">
        <v>5505</v>
      </c>
      <c r="E1539" s="6" t="s">
        <v>5562</v>
      </c>
      <c r="F1539" s="6" t="s">
        <v>5563</v>
      </c>
      <c r="G1539" s="9" t="s">
        <v>5564</v>
      </c>
      <c r="H1539" s="9" t="s">
        <v>18</v>
      </c>
      <c r="I1539" s="16" t="str">
        <f>VLOOKUP(F1539,[1]完整分类结果!$E:$G,3,0)</f>
        <v>化学原料及化学制品制造业</v>
      </c>
      <c r="J1539" s="16">
        <f>VLOOKUP(I1539,[2]行业排放因子!$A:$B,2,0)</f>
        <v>82.521245753925498</v>
      </c>
      <c r="K1539" s="9" t="s">
        <v>756</v>
      </c>
    </row>
    <row r="1540" spans="1:11" ht="12.5" customHeight="1" x14ac:dyDescent="0.25">
      <c r="A1540" s="5" t="s">
        <v>5565</v>
      </c>
      <c r="B1540" s="6" t="s">
        <v>4563</v>
      </c>
      <c r="C1540" s="6" t="s">
        <v>5504</v>
      </c>
      <c r="D1540" s="6" t="s">
        <v>5505</v>
      </c>
      <c r="E1540" s="6" t="s">
        <v>5566</v>
      </c>
      <c r="F1540" s="6" t="s">
        <v>5567</v>
      </c>
      <c r="G1540" s="9" t="s">
        <v>5568</v>
      </c>
      <c r="H1540" s="9" t="s">
        <v>18</v>
      </c>
      <c r="I1540" s="16" t="str">
        <f>VLOOKUP(F1540,[1]完整分类结果!$E:$G,3,0)</f>
        <v>化学原料及化学制品制造业</v>
      </c>
      <c r="J1540" s="16">
        <f>VLOOKUP(I1540,[2]行业排放因子!$A:$B,2,0)</f>
        <v>82.521245753925498</v>
      </c>
      <c r="K1540" s="9" t="s">
        <v>756</v>
      </c>
    </row>
    <row r="1541" spans="1:11" ht="12.5" customHeight="1" x14ac:dyDescent="0.25">
      <c r="A1541" s="5" t="s">
        <v>5569</v>
      </c>
      <c r="B1541" s="6" t="s">
        <v>4563</v>
      </c>
      <c r="C1541" s="6" t="s">
        <v>5504</v>
      </c>
      <c r="D1541" s="6" t="s">
        <v>5505</v>
      </c>
      <c r="E1541" s="6" t="s">
        <v>5570</v>
      </c>
      <c r="F1541" s="6" t="s">
        <v>5571</v>
      </c>
      <c r="G1541" s="9" t="s">
        <v>5572</v>
      </c>
      <c r="H1541" s="9" t="s">
        <v>18</v>
      </c>
      <c r="I1541" s="16" t="str">
        <f>VLOOKUP(F1541,[1]完整分类结果!$E:$G,3,0)</f>
        <v>化学原料及化学制品制造业</v>
      </c>
      <c r="J1541" s="16">
        <f>VLOOKUP(I1541,[2]行业排放因子!$A:$B,2,0)</f>
        <v>82.521245753925498</v>
      </c>
      <c r="K1541" s="9" t="s">
        <v>756</v>
      </c>
    </row>
    <row r="1542" spans="1:11" ht="12.5" customHeight="1" x14ac:dyDescent="0.25">
      <c r="A1542" s="5" t="s">
        <v>5573</v>
      </c>
      <c r="B1542" s="6" t="s">
        <v>4563</v>
      </c>
      <c r="C1542" s="6" t="s">
        <v>5504</v>
      </c>
      <c r="D1542" s="6" t="s">
        <v>5505</v>
      </c>
      <c r="E1542" s="6" t="s">
        <v>5574</v>
      </c>
      <c r="F1542" s="6" t="s">
        <v>5575</v>
      </c>
      <c r="G1542" s="9" t="s">
        <v>5576</v>
      </c>
      <c r="H1542" s="9" t="s">
        <v>18</v>
      </c>
      <c r="I1542" s="16" t="str">
        <f>VLOOKUP(F1542,[1]完整分类结果!$E:$G,3,0)</f>
        <v>化学原料及化学制品制造业</v>
      </c>
      <c r="J1542" s="16">
        <f>VLOOKUP(I1542,[2]行业排放因子!$A:$B,2,0)</f>
        <v>82.521245753925498</v>
      </c>
      <c r="K1542" s="9" t="s">
        <v>756</v>
      </c>
    </row>
    <row r="1543" spans="1:11" ht="12.5" customHeight="1" x14ac:dyDescent="0.25">
      <c r="A1543" s="5" t="s">
        <v>5577</v>
      </c>
      <c r="B1543" s="6" t="s">
        <v>4563</v>
      </c>
      <c r="C1543" s="6" t="s">
        <v>5504</v>
      </c>
      <c r="D1543" s="6" t="s">
        <v>5505</v>
      </c>
      <c r="E1543" s="6" t="s">
        <v>5578</v>
      </c>
      <c r="F1543" s="6" t="s">
        <v>5579</v>
      </c>
      <c r="G1543" s="9" t="s">
        <v>5580</v>
      </c>
      <c r="H1543" s="9" t="s">
        <v>18</v>
      </c>
      <c r="I1543" s="16" t="str">
        <f>VLOOKUP(F1543,[1]完整分类结果!$E:$G,3,0)</f>
        <v>化学原料及化学制品制造业</v>
      </c>
      <c r="J1543" s="16">
        <f>VLOOKUP(I1543,[2]行业排放因子!$A:$B,2,0)</f>
        <v>82.521245753925498</v>
      </c>
      <c r="K1543" s="9" t="s">
        <v>756</v>
      </c>
    </row>
    <row r="1544" spans="1:11" ht="12.5" customHeight="1" x14ac:dyDescent="0.25">
      <c r="A1544" s="5" t="s">
        <v>5581</v>
      </c>
      <c r="B1544" s="6" t="s">
        <v>4563</v>
      </c>
      <c r="C1544" s="6" t="s">
        <v>5504</v>
      </c>
      <c r="D1544" s="6" t="s">
        <v>5505</v>
      </c>
      <c r="E1544" s="6" t="s">
        <v>5582</v>
      </c>
      <c r="F1544" s="6" t="s">
        <v>5583</v>
      </c>
      <c r="G1544" s="9" t="s">
        <v>5584</v>
      </c>
      <c r="H1544" s="9" t="s">
        <v>18</v>
      </c>
      <c r="I1544" s="16" t="str">
        <f>VLOOKUP(F1544,[1]完整分类结果!$E:$G,3,0)</f>
        <v>化学原料及化学制品制造业</v>
      </c>
      <c r="J1544" s="16">
        <f>VLOOKUP(I1544,[2]行业排放因子!$A:$B,2,0)</f>
        <v>82.521245753925498</v>
      </c>
      <c r="K1544" s="9" t="s">
        <v>756</v>
      </c>
    </row>
    <row r="1545" spans="1:11" ht="12.5" customHeight="1" x14ac:dyDescent="0.25">
      <c r="A1545" s="5" t="s">
        <v>5585</v>
      </c>
      <c r="B1545" s="6" t="s">
        <v>4563</v>
      </c>
      <c r="C1545" s="6" t="s">
        <v>5504</v>
      </c>
      <c r="D1545" s="6" t="s">
        <v>5586</v>
      </c>
      <c r="E1545" s="6" t="s">
        <v>5587</v>
      </c>
      <c r="F1545" s="6" t="s">
        <v>5588</v>
      </c>
      <c r="G1545" s="9" t="s">
        <v>5589</v>
      </c>
      <c r="H1545" s="9" t="s">
        <v>18</v>
      </c>
      <c r="I1545" s="16" t="str">
        <f>VLOOKUP(F1545,[1]完整分类结果!$E:$G,3,0)</f>
        <v>化学原料及化学制品制造业</v>
      </c>
      <c r="J1545" s="16">
        <f>VLOOKUP(I1545,[2]行业排放因子!$A:$B,2,0)</f>
        <v>82.521245753925498</v>
      </c>
      <c r="K1545" s="9" t="s">
        <v>756</v>
      </c>
    </row>
    <row r="1546" spans="1:11" ht="12.5" customHeight="1" x14ac:dyDescent="0.25">
      <c r="A1546" s="5" t="s">
        <v>5590</v>
      </c>
      <c r="B1546" s="6" t="s">
        <v>4563</v>
      </c>
      <c r="C1546" s="6" t="s">
        <v>5504</v>
      </c>
      <c r="D1546" s="6" t="s">
        <v>5586</v>
      </c>
      <c r="E1546" s="6" t="s">
        <v>5591</v>
      </c>
      <c r="F1546" s="6" t="s">
        <v>5592</v>
      </c>
      <c r="G1546" s="9" t="s">
        <v>5593</v>
      </c>
      <c r="H1546" s="9" t="s">
        <v>18</v>
      </c>
      <c r="I1546" s="16" t="str">
        <f>VLOOKUP(F1546,[1]完整分类结果!$E:$G,3,0)</f>
        <v>化学原料及化学制品制造业</v>
      </c>
      <c r="J1546" s="16">
        <f>VLOOKUP(I1546,[2]行业排放因子!$A:$B,2,0)</f>
        <v>82.521245753925498</v>
      </c>
      <c r="K1546" s="9" t="s">
        <v>756</v>
      </c>
    </row>
    <row r="1547" spans="1:11" ht="12.5" customHeight="1" x14ac:dyDescent="0.25">
      <c r="A1547" s="5" t="s">
        <v>5594</v>
      </c>
      <c r="B1547" s="6" t="s">
        <v>4563</v>
      </c>
      <c r="C1547" s="6" t="s">
        <v>5504</v>
      </c>
      <c r="D1547" s="6" t="s">
        <v>5586</v>
      </c>
      <c r="E1547" s="6" t="s">
        <v>5595</v>
      </c>
      <c r="F1547" s="6" t="s">
        <v>5596</v>
      </c>
      <c r="G1547" s="9" t="s">
        <v>5597</v>
      </c>
      <c r="H1547" s="9" t="s">
        <v>18</v>
      </c>
      <c r="I1547" s="16" t="str">
        <f>VLOOKUP(F1547,[1]完整分类结果!$E:$G,3,0)</f>
        <v>化学原料及化学制品制造业</v>
      </c>
      <c r="J1547" s="16">
        <f>VLOOKUP(I1547,[2]行业排放因子!$A:$B,2,0)</f>
        <v>82.521245753925498</v>
      </c>
      <c r="K1547" s="9" t="s">
        <v>756</v>
      </c>
    </row>
    <row r="1548" spans="1:11" ht="12.5" customHeight="1" x14ac:dyDescent="0.25">
      <c r="A1548" s="5" t="s">
        <v>5598</v>
      </c>
      <c r="B1548" s="6" t="s">
        <v>4563</v>
      </c>
      <c r="C1548" s="6" t="s">
        <v>5504</v>
      </c>
      <c r="D1548" s="6" t="s">
        <v>5586</v>
      </c>
      <c r="E1548" s="6" t="s">
        <v>5599</v>
      </c>
      <c r="F1548" s="6" t="s">
        <v>5600</v>
      </c>
      <c r="G1548" s="9" t="s">
        <v>5601</v>
      </c>
      <c r="H1548" s="9" t="s">
        <v>18</v>
      </c>
      <c r="I1548" s="16" t="str">
        <f>VLOOKUP(F1548,[1]完整分类结果!$E:$G,3,0)</f>
        <v>化学原料及化学制品制造业</v>
      </c>
      <c r="J1548" s="16">
        <f>VLOOKUP(I1548,[2]行业排放因子!$A:$B,2,0)</f>
        <v>82.521245753925498</v>
      </c>
      <c r="K1548" s="9" t="s">
        <v>756</v>
      </c>
    </row>
    <row r="1549" spans="1:11" ht="12.5" customHeight="1" x14ac:dyDescent="0.25">
      <c r="A1549" s="5" t="s">
        <v>5602</v>
      </c>
      <c r="B1549" s="6" t="s">
        <v>4563</v>
      </c>
      <c r="C1549" s="6" t="s">
        <v>5504</v>
      </c>
      <c r="D1549" s="6" t="s">
        <v>5586</v>
      </c>
      <c r="E1549" s="6" t="s">
        <v>5603</v>
      </c>
      <c r="F1549" s="6" t="s">
        <v>5604</v>
      </c>
      <c r="G1549" s="9" t="s">
        <v>5605</v>
      </c>
      <c r="H1549" s="9" t="s">
        <v>18</v>
      </c>
      <c r="I1549" s="16" t="str">
        <f>VLOOKUP(F1549,[1]完整分类结果!$E:$G,3,0)</f>
        <v>化学原料及化学制品制造业</v>
      </c>
      <c r="J1549" s="16">
        <f>VLOOKUP(I1549,[2]行业排放因子!$A:$B,2,0)</f>
        <v>82.521245753925498</v>
      </c>
      <c r="K1549" s="9" t="s">
        <v>756</v>
      </c>
    </row>
    <row r="1550" spans="1:11" ht="12.5" customHeight="1" x14ac:dyDescent="0.25">
      <c r="A1550" s="5" t="s">
        <v>5606</v>
      </c>
      <c r="B1550" s="6" t="s">
        <v>4563</v>
      </c>
      <c r="C1550" s="6" t="s">
        <v>5504</v>
      </c>
      <c r="D1550" s="6" t="s">
        <v>5586</v>
      </c>
      <c r="E1550" s="6" t="s">
        <v>5607</v>
      </c>
      <c r="F1550" s="6" t="s">
        <v>5608</v>
      </c>
      <c r="G1550" s="9" t="s">
        <v>5609</v>
      </c>
      <c r="H1550" s="9" t="s">
        <v>18</v>
      </c>
      <c r="I1550" s="16" t="str">
        <f>VLOOKUP(F1550,[1]完整分类结果!$E:$G,3,0)</f>
        <v>化学原料及化学制品制造业</v>
      </c>
      <c r="J1550" s="16">
        <f>VLOOKUP(I1550,[2]行业排放因子!$A:$B,2,0)</f>
        <v>82.521245753925498</v>
      </c>
      <c r="K1550" s="9" t="s">
        <v>756</v>
      </c>
    </row>
    <row r="1551" spans="1:11" ht="12.5" customHeight="1" x14ac:dyDescent="0.25">
      <c r="A1551" s="5" t="s">
        <v>5610</v>
      </c>
      <c r="B1551" s="6" t="s">
        <v>4563</v>
      </c>
      <c r="C1551" s="6" t="s">
        <v>5504</v>
      </c>
      <c r="D1551" s="6" t="s">
        <v>5586</v>
      </c>
      <c r="E1551" s="6" t="s">
        <v>5611</v>
      </c>
      <c r="F1551" s="6" t="s">
        <v>5612</v>
      </c>
      <c r="G1551" s="9" t="s">
        <v>5613</v>
      </c>
      <c r="H1551" s="9" t="s">
        <v>18</v>
      </c>
      <c r="I1551" s="16" t="str">
        <f>VLOOKUP(F1551,[1]完整分类结果!$E:$G,3,0)</f>
        <v>化学原料及化学制品制造业</v>
      </c>
      <c r="J1551" s="16">
        <f>VLOOKUP(I1551,[2]行业排放因子!$A:$B,2,0)</f>
        <v>82.521245753925498</v>
      </c>
      <c r="K1551" s="9" t="s">
        <v>756</v>
      </c>
    </row>
    <row r="1552" spans="1:11" ht="12.5" customHeight="1" x14ac:dyDescent="0.25">
      <c r="A1552" s="5" t="s">
        <v>5614</v>
      </c>
      <c r="B1552" s="6" t="s">
        <v>4563</v>
      </c>
      <c r="C1552" s="6" t="s">
        <v>5504</v>
      </c>
      <c r="D1552" s="6" t="s">
        <v>5586</v>
      </c>
      <c r="E1552" s="6" t="s">
        <v>5615</v>
      </c>
      <c r="F1552" s="6" t="s">
        <v>5616</v>
      </c>
      <c r="G1552" s="9" t="s">
        <v>5617</v>
      </c>
      <c r="H1552" s="9" t="s">
        <v>18</v>
      </c>
      <c r="I1552" s="16" t="str">
        <f>VLOOKUP(F1552,[1]完整分类结果!$E:$G,3,0)</f>
        <v>化学原料及化学制品制造业</v>
      </c>
      <c r="J1552" s="16">
        <f>VLOOKUP(I1552,[2]行业排放因子!$A:$B,2,0)</f>
        <v>82.521245753925498</v>
      </c>
      <c r="K1552" s="9" t="s">
        <v>756</v>
      </c>
    </row>
    <row r="1553" spans="1:11" ht="12.5" customHeight="1" x14ac:dyDescent="0.25">
      <c r="A1553" s="5" t="s">
        <v>5618</v>
      </c>
      <c r="B1553" s="6" t="s">
        <v>4563</v>
      </c>
      <c r="C1553" s="6" t="s">
        <v>5504</v>
      </c>
      <c r="D1553" s="6" t="s">
        <v>5586</v>
      </c>
      <c r="E1553" s="6" t="s">
        <v>5619</v>
      </c>
      <c r="F1553" s="6" t="s">
        <v>5620</v>
      </c>
      <c r="G1553" s="9" t="s">
        <v>5621</v>
      </c>
      <c r="H1553" s="9" t="s">
        <v>18</v>
      </c>
      <c r="I1553" s="16" t="str">
        <f>VLOOKUP(F1553,[1]完整分类结果!$E:$G,3,0)</f>
        <v>化学原料及化学制品制造业</v>
      </c>
      <c r="J1553" s="16">
        <f>VLOOKUP(I1553,[2]行业排放因子!$A:$B,2,0)</f>
        <v>82.521245753925498</v>
      </c>
      <c r="K1553" s="9" t="s">
        <v>756</v>
      </c>
    </row>
    <row r="1554" spans="1:11" ht="12.5" customHeight="1" x14ac:dyDescent="0.25">
      <c r="A1554" s="5" t="s">
        <v>5622</v>
      </c>
      <c r="B1554" s="6" t="s">
        <v>4563</v>
      </c>
      <c r="C1554" s="6" t="s">
        <v>5504</v>
      </c>
      <c r="D1554" s="6" t="s">
        <v>5586</v>
      </c>
      <c r="E1554" s="6" t="s">
        <v>5623</v>
      </c>
      <c r="F1554" s="6" t="s">
        <v>5624</v>
      </c>
      <c r="G1554" s="9" t="s">
        <v>5625</v>
      </c>
      <c r="H1554" s="9" t="s">
        <v>18</v>
      </c>
      <c r="I1554" s="16" t="str">
        <f>VLOOKUP(F1554,[1]完整分类结果!$E:$G,3,0)</f>
        <v>化学原料及化学制品制造业</v>
      </c>
      <c r="J1554" s="16">
        <f>VLOOKUP(I1554,[2]行业排放因子!$A:$B,2,0)</f>
        <v>82.521245753925498</v>
      </c>
      <c r="K1554" s="9" t="s">
        <v>756</v>
      </c>
    </row>
    <row r="1555" spans="1:11" ht="12.5" customHeight="1" x14ac:dyDescent="0.25">
      <c r="A1555" s="5" t="s">
        <v>5626</v>
      </c>
      <c r="B1555" s="6" t="s">
        <v>4563</v>
      </c>
      <c r="C1555" s="6" t="s">
        <v>5504</v>
      </c>
      <c r="D1555" s="6" t="s">
        <v>5586</v>
      </c>
      <c r="E1555" s="6" t="s">
        <v>5627</v>
      </c>
      <c r="F1555" s="6" t="s">
        <v>5628</v>
      </c>
      <c r="G1555" s="9" t="s">
        <v>5629</v>
      </c>
      <c r="H1555" s="9" t="s">
        <v>18</v>
      </c>
      <c r="I1555" s="16" t="str">
        <f>VLOOKUP(F1555,[1]完整分类结果!$E:$G,3,0)</f>
        <v>化学原料及化学制品制造业</v>
      </c>
      <c r="J1555" s="16">
        <f>VLOOKUP(I1555,[2]行业排放因子!$A:$B,2,0)</f>
        <v>82.521245753925498</v>
      </c>
      <c r="K1555" s="9" t="s">
        <v>756</v>
      </c>
    </row>
    <row r="1556" spans="1:11" ht="12.5" customHeight="1" x14ac:dyDescent="0.25">
      <c r="A1556" s="5" t="s">
        <v>5630</v>
      </c>
      <c r="B1556" s="6" t="s">
        <v>4563</v>
      </c>
      <c r="C1556" s="6" t="s">
        <v>5504</v>
      </c>
      <c r="D1556" s="6" t="s">
        <v>5586</v>
      </c>
      <c r="E1556" s="6" t="s">
        <v>5631</v>
      </c>
      <c r="F1556" s="6" t="s">
        <v>5632</v>
      </c>
      <c r="G1556" s="9" t="s">
        <v>5633</v>
      </c>
      <c r="H1556" s="9" t="s">
        <v>18</v>
      </c>
      <c r="I1556" s="16" t="str">
        <f>VLOOKUP(F1556,[1]完整分类结果!$E:$G,3,0)</f>
        <v>化学原料及化学制品制造业</v>
      </c>
      <c r="J1556" s="16">
        <f>VLOOKUP(I1556,[2]行业排放因子!$A:$B,2,0)</f>
        <v>82.521245753925498</v>
      </c>
      <c r="K1556" s="9" t="s">
        <v>756</v>
      </c>
    </row>
    <row r="1557" spans="1:11" ht="12.5" customHeight="1" x14ac:dyDescent="0.25">
      <c r="A1557" s="5" t="s">
        <v>5634</v>
      </c>
      <c r="B1557" s="6" t="s">
        <v>4563</v>
      </c>
      <c r="C1557" s="6" t="s">
        <v>5504</v>
      </c>
      <c r="D1557" s="6" t="s">
        <v>5586</v>
      </c>
      <c r="E1557" s="6" t="s">
        <v>5635</v>
      </c>
      <c r="F1557" s="6" t="s">
        <v>5636</v>
      </c>
      <c r="G1557" s="9" t="s">
        <v>5637</v>
      </c>
      <c r="H1557" s="9" t="s">
        <v>18</v>
      </c>
      <c r="I1557" s="16" t="str">
        <f>VLOOKUP(F1557,[1]完整分类结果!$E:$G,3,0)</f>
        <v>化学原料及化学制品制造业</v>
      </c>
      <c r="J1557" s="16">
        <f>VLOOKUP(I1557,[2]行业排放因子!$A:$B,2,0)</f>
        <v>82.521245753925498</v>
      </c>
      <c r="K1557" s="9" t="s">
        <v>756</v>
      </c>
    </row>
    <row r="1558" spans="1:11" ht="12.5" customHeight="1" x14ac:dyDescent="0.25">
      <c r="A1558" s="5" t="s">
        <v>5638</v>
      </c>
      <c r="B1558" s="6" t="s">
        <v>4563</v>
      </c>
      <c r="C1558" s="6" t="s">
        <v>5504</v>
      </c>
      <c r="D1558" s="6" t="s">
        <v>5586</v>
      </c>
      <c r="E1558" s="6" t="s">
        <v>5639</v>
      </c>
      <c r="F1558" s="6" t="s">
        <v>5640</v>
      </c>
      <c r="G1558" s="9" t="s">
        <v>5641</v>
      </c>
      <c r="H1558" s="9" t="s">
        <v>18</v>
      </c>
      <c r="I1558" s="16" t="str">
        <f>VLOOKUP(F1558,[1]完整分类结果!$E:$G,3,0)</f>
        <v>化学原料及化学制品制造业</v>
      </c>
      <c r="J1558" s="16">
        <f>VLOOKUP(I1558,[2]行业排放因子!$A:$B,2,0)</f>
        <v>82.521245753925498</v>
      </c>
      <c r="K1558" s="9" t="s">
        <v>756</v>
      </c>
    </row>
    <row r="1559" spans="1:11" ht="12.5" customHeight="1" x14ac:dyDescent="0.25">
      <c r="A1559" s="5" t="s">
        <v>5642</v>
      </c>
      <c r="B1559" s="6" t="s">
        <v>4563</v>
      </c>
      <c r="C1559" s="6" t="s">
        <v>5504</v>
      </c>
      <c r="D1559" s="6" t="s">
        <v>5586</v>
      </c>
      <c r="E1559" s="6" t="s">
        <v>5643</v>
      </c>
      <c r="F1559" s="6" t="s">
        <v>5644</v>
      </c>
      <c r="G1559" s="9" t="s">
        <v>5645</v>
      </c>
      <c r="H1559" s="9" t="s">
        <v>18</v>
      </c>
      <c r="I1559" s="16" t="str">
        <f>VLOOKUP(F1559,[1]完整分类结果!$E:$G,3,0)</f>
        <v>化学原料及化学制品制造业</v>
      </c>
      <c r="J1559" s="16">
        <f>VLOOKUP(I1559,[2]行业排放因子!$A:$B,2,0)</f>
        <v>82.521245753925498</v>
      </c>
      <c r="K1559" s="9" t="s">
        <v>756</v>
      </c>
    </row>
    <row r="1560" spans="1:11" ht="12.5" customHeight="1" x14ac:dyDescent="0.25">
      <c r="A1560" s="5" t="s">
        <v>5646</v>
      </c>
      <c r="B1560" s="6" t="s">
        <v>4563</v>
      </c>
      <c r="C1560" s="6" t="s">
        <v>5504</v>
      </c>
      <c r="D1560" s="6" t="s">
        <v>5586</v>
      </c>
      <c r="E1560" s="6" t="s">
        <v>5647</v>
      </c>
      <c r="F1560" s="6" t="s">
        <v>5648</v>
      </c>
      <c r="G1560" s="9"/>
      <c r="H1560" s="9" t="s">
        <v>18</v>
      </c>
      <c r="I1560" s="16" t="str">
        <f>VLOOKUP(F1560,[1]完整分类结果!$E:$G,3,0)</f>
        <v>医药制造业</v>
      </c>
      <c r="J1560" s="16">
        <f>VLOOKUP(I1560,[2]行业排放因子!$A:$B,2,0)</f>
        <v>1.8175069540650799</v>
      </c>
      <c r="K1560" s="9" t="s">
        <v>756</v>
      </c>
    </row>
    <row r="1561" spans="1:11" ht="12.5" customHeight="1" x14ac:dyDescent="0.25">
      <c r="A1561" s="5" t="s">
        <v>5649</v>
      </c>
      <c r="B1561" s="6" t="s">
        <v>4563</v>
      </c>
      <c r="C1561" s="6" t="s">
        <v>5504</v>
      </c>
      <c r="D1561" s="6" t="s">
        <v>5650</v>
      </c>
      <c r="E1561" s="6" t="s">
        <v>5651</v>
      </c>
      <c r="F1561" s="6" t="s">
        <v>5652</v>
      </c>
      <c r="G1561" s="9" t="s">
        <v>5653</v>
      </c>
      <c r="H1561" s="9" t="s">
        <v>18</v>
      </c>
      <c r="I1561" s="16" t="str">
        <f>VLOOKUP(F1561,[1]完整分类结果!$E:$G,3,0)</f>
        <v>化学原料及化学制品制造业</v>
      </c>
      <c r="J1561" s="16">
        <f>VLOOKUP(I1561,[2]行业排放因子!$A:$B,2,0)</f>
        <v>82.521245753925498</v>
      </c>
      <c r="K1561" s="9" t="s">
        <v>756</v>
      </c>
    </row>
    <row r="1562" spans="1:11" ht="12.5" customHeight="1" x14ac:dyDescent="0.25">
      <c r="A1562" s="5" t="s">
        <v>5654</v>
      </c>
      <c r="B1562" s="6" t="s">
        <v>4563</v>
      </c>
      <c r="C1562" s="6" t="s">
        <v>5504</v>
      </c>
      <c r="D1562" s="6" t="s">
        <v>5650</v>
      </c>
      <c r="E1562" s="6" t="s">
        <v>5655</v>
      </c>
      <c r="F1562" s="6" t="s">
        <v>5656</v>
      </c>
      <c r="G1562" s="9" t="s">
        <v>5657</v>
      </c>
      <c r="H1562" s="9" t="s">
        <v>18</v>
      </c>
      <c r="I1562" s="16" t="str">
        <f>VLOOKUP(F1562,[1]完整分类结果!$E:$G,3,0)</f>
        <v>化学原料及化学制品制造业</v>
      </c>
      <c r="J1562" s="16">
        <f>VLOOKUP(I1562,[2]行业排放因子!$A:$B,2,0)</f>
        <v>82.521245753925498</v>
      </c>
      <c r="K1562" s="9" t="s">
        <v>756</v>
      </c>
    </row>
    <row r="1563" spans="1:11" ht="12.5" customHeight="1" x14ac:dyDescent="0.25">
      <c r="A1563" s="5" t="s">
        <v>5658</v>
      </c>
      <c r="B1563" s="6" t="s">
        <v>4563</v>
      </c>
      <c r="C1563" s="6" t="s">
        <v>5504</v>
      </c>
      <c r="D1563" s="6" t="s">
        <v>5650</v>
      </c>
      <c r="E1563" s="6" t="s">
        <v>5659</v>
      </c>
      <c r="F1563" s="6" t="s">
        <v>5660</v>
      </c>
      <c r="G1563" s="9" t="s">
        <v>5661</v>
      </c>
      <c r="H1563" s="9" t="s">
        <v>18</v>
      </c>
      <c r="I1563" s="16" t="str">
        <f>VLOOKUP(F1563,[1]完整分类结果!$E:$G,3,0)</f>
        <v>化学原料及化学制品制造业</v>
      </c>
      <c r="J1563" s="16">
        <f>VLOOKUP(I1563,[2]行业排放因子!$A:$B,2,0)</f>
        <v>82.521245753925498</v>
      </c>
      <c r="K1563" s="9" t="s">
        <v>756</v>
      </c>
    </row>
    <row r="1564" spans="1:11" ht="12.5" customHeight="1" x14ac:dyDescent="0.25">
      <c r="A1564" s="5" t="s">
        <v>5662</v>
      </c>
      <c r="B1564" s="6" t="s">
        <v>4563</v>
      </c>
      <c r="C1564" s="6" t="s">
        <v>5504</v>
      </c>
      <c r="D1564" s="6" t="s">
        <v>5650</v>
      </c>
      <c r="E1564" s="6" t="s">
        <v>5663</v>
      </c>
      <c r="F1564" s="6" t="s">
        <v>5664</v>
      </c>
      <c r="G1564" s="9"/>
      <c r="H1564" s="9" t="s">
        <v>18</v>
      </c>
      <c r="I1564" s="16" t="str">
        <f>VLOOKUP(F1564,[1]完整分类结果!$E:$G,3,0)</f>
        <v>化学原料及化学制品制造业</v>
      </c>
      <c r="J1564" s="16">
        <f>VLOOKUP(I1564,[2]行业排放因子!$A:$B,2,0)</f>
        <v>82.521245753925498</v>
      </c>
      <c r="K1564" s="9" t="s">
        <v>756</v>
      </c>
    </row>
    <row r="1565" spans="1:11" ht="12.5" customHeight="1" x14ac:dyDescent="0.25">
      <c r="A1565" s="5" t="s">
        <v>5665</v>
      </c>
      <c r="B1565" s="6" t="s">
        <v>4563</v>
      </c>
      <c r="C1565" s="6" t="s">
        <v>5504</v>
      </c>
      <c r="D1565" s="6" t="s">
        <v>5666</v>
      </c>
      <c r="E1565" s="6" t="s">
        <v>5667</v>
      </c>
      <c r="F1565" s="6" t="s">
        <v>5668</v>
      </c>
      <c r="G1565" s="9" t="s">
        <v>5669</v>
      </c>
      <c r="H1565" s="9" t="s">
        <v>18</v>
      </c>
      <c r="I1565" s="16" t="str">
        <f>VLOOKUP(F1565,[1]完整分类结果!$E:$G,3,0)</f>
        <v>化学原料及化学制品制造业</v>
      </c>
      <c r="J1565" s="16">
        <f>VLOOKUP(I1565,[2]行业排放因子!$A:$B,2,0)</f>
        <v>82.521245753925498</v>
      </c>
      <c r="K1565" s="9" t="s">
        <v>756</v>
      </c>
    </row>
    <row r="1566" spans="1:11" ht="12.5" customHeight="1" x14ac:dyDescent="0.25">
      <c r="A1566" s="5" t="s">
        <v>5670</v>
      </c>
      <c r="B1566" s="6" t="s">
        <v>4563</v>
      </c>
      <c r="C1566" s="6" t="s">
        <v>5504</v>
      </c>
      <c r="D1566" s="6" t="s">
        <v>5666</v>
      </c>
      <c r="E1566" s="6" t="s">
        <v>5671</v>
      </c>
      <c r="F1566" s="6" t="s">
        <v>5672</v>
      </c>
      <c r="G1566" s="9" t="s">
        <v>5673</v>
      </c>
      <c r="H1566" s="9" t="s">
        <v>18</v>
      </c>
      <c r="I1566" s="16" t="str">
        <f>VLOOKUP(F1566,[1]完整分类结果!$E:$G,3,0)</f>
        <v>化学原料及化学制品制造业</v>
      </c>
      <c r="J1566" s="16">
        <f>VLOOKUP(I1566,[2]行业排放因子!$A:$B,2,0)</f>
        <v>82.521245753925498</v>
      </c>
      <c r="K1566" s="9" t="s">
        <v>756</v>
      </c>
    </row>
    <row r="1567" spans="1:11" ht="12.5" customHeight="1" x14ac:dyDescent="0.25">
      <c r="A1567" s="5" t="s">
        <v>5674</v>
      </c>
      <c r="B1567" s="6" t="s">
        <v>4563</v>
      </c>
      <c r="C1567" s="6" t="s">
        <v>5504</v>
      </c>
      <c r="D1567" s="6" t="s">
        <v>5666</v>
      </c>
      <c r="E1567" s="6" t="s">
        <v>5675</v>
      </c>
      <c r="F1567" s="6" t="s">
        <v>5676</v>
      </c>
      <c r="G1567" s="9" t="s">
        <v>5677</v>
      </c>
      <c r="H1567" s="9" t="s">
        <v>18</v>
      </c>
      <c r="I1567" s="16" t="str">
        <f>VLOOKUP(F1567,[1]完整分类结果!$E:$G,3,0)</f>
        <v>化学原料及化学制品制造业</v>
      </c>
      <c r="J1567" s="16">
        <f>VLOOKUP(I1567,[2]行业排放因子!$A:$B,2,0)</f>
        <v>82.521245753925498</v>
      </c>
      <c r="K1567" s="9" t="s">
        <v>756</v>
      </c>
    </row>
    <row r="1568" spans="1:11" ht="12.5" customHeight="1" x14ac:dyDescent="0.25">
      <c r="A1568" s="5" t="s">
        <v>5678</v>
      </c>
      <c r="B1568" s="6" t="s">
        <v>4563</v>
      </c>
      <c r="C1568" s="6" t="s">
        <v>5504</v>
      </c>
      <c r="D1568" s="6" t="s">
        <v>5666</v>
      </c>
      <c r="E1568" s="6" t="s">
        <v>5679</v>
      </c>
      <c r="F1568" s="6" t="s">
        <v>5680</v>
      </c>
      <c r="G1568" s="9" t="s">
        <v>5681</v>
      </c>
      <c r="H1568" s="9" t="s">
        <v>18</v>
      </c>
      <c r="I1568" s="16" t="str">
        <f>VLOOKUP(F1568,[1]完整分类结果!$E:$G,3,0)</f>
        <v>化学原料及化学制品制造业</v>
      </c>
      <c r="J1568" s="16">
        <f>VLOOKUP(I1568,[2]行业排放因子!$A:$B,2,0)</f>
        <v>82.521245753925498</v>
      </c>
      <c r="K1568" s="9" t="s">
        <v>756</v>
      </c>
    </row>
    <row r="1569" spans="1:11" ht="12.5" customHeight="1" x14ac:dyDescent="0.25">
      <c r="A1569" s="5" t="s">
        <v>5682</v>
      </c>
      <c r="B1569" s="6" t="s">
        <v>4563</v>
      </c>
      <c r="C1569" s="6" t="s">
        <v>5504</v>
      </c>
      <c r="D1569" s="6" t="s">
        <v>5666</v>
      </c>
      <c r="E1569" s="6" t="s">
        <v>5683</v>
      </c>
      <c r="F1569" s="6" t="s">
        <v>5684</v>
      </c>
      <c r="G1569" s="9" t="s">
        <v>5685</v>
      </c>
      <c r="H1569" s="9" t="s">
        <v>18</v>
      </c>
      <c r="I1569" s="16" t="str">
        <f>VLOOKUP(F1569,[1]完整分类结果!$E:$G,3,0)</f>
        <v>化学原料及化学制品制造业</v>
      </c>
      <c r="J1569" s="16">
        <f>VLOOKUP(I1569,[2]行业排放因子!$A:$B,2,0)</f>
        <v>82.521245753925498</v>
      </c>
      <c r="K1569" s="9" t="s">
        <v>756</v>
      </c>
    </row>
    <row r="1570" spans="1:11" ht="12.5" customHeight="1" x14ac:dyDescent="0.25">
      <c r="A1570" s="5" t="s">
        <v>5686</v>
      </c>
      <c r="B1570" s="6" t="s">
        <v>4563</v>
      </c>
      <c r="C1570" s="6" t="s">
        <v>5504</v>
      </c>
      <c r="D1570" s="6" t="s">
        <v>5666</v>
      </c>
      <c r="E1570" s="6" t="s">
        <v>5687</v>
      </c>
      <c r="F1570" s="6" t="s">
        <v>5688</v>
      </c>
      <c r="G1570" s="9" t="s">
        <v>5689</v>
      </c>
      <c r="H1570" s="9" t="s">
        <v>18</v>
      </c>
      <c r="I1570" s="16" t="str">
        <f>VLOOKUP(F1570,[1]完整分类结果!$E:$G,3,0)</f>
        <v>化学原料及化学制品制造业</v>
      </c>
      <c r="J1570" s="16">
        <f>VLOOKUP(I1570,[2]行业排放因子!$A:$B,2,0)</f>
        <v>82.521245753925498</v>
      </c>
      <c r="K1570" s="9" t="s">
        <v>756</v>
      </c>
    </row>
    <row r="1571" spans="1:11" ht="12.5" customHeight="1" x14ac:dyDescent="0.25">
      <c r="A1571" s="5" t="s">
        <v>5690</v>
      </c>
      <c r="B1571" s="6" t="s">
        <v>4563</v>
      </c>
      <c r="C1571" s="6" t="s">
        <v>5504</v>
      </c>
      <c r="D1571" s="6" t="s">
        <v>5666</v>
      </c>
      <c r="E1571" s="6" t="s">
        <v>5691</v>
      </c>
      <c r="F1571" s="6" t="s">
        <v>5692</v>
      </c>
      <c r="G1571" s="9" t="s">
        <v>5693</v>
      </c>
      <c r="H1571" s="9" t="s">
        <v>18</v>
      </c>
      <c r="I1571" s="16" t="str">
        <f>VLOOKUP(F1571,[1]完整分类结果!$E:$G,3,0)</f>
        <v>化学原料及化学制品制造业</v>
      </c>
      <c r="J1571" s="16">
        <f>VLOOKUP(I1571,[2]行业排放因子!$A:$B,2,0)</f>
        <v>82.521245753925498</v>
      </c>
      <c r="K1571" s="9" t="s">
        <v>756</v>
      </c>
    </row>
    <row r="1572" spans="1:11" ht="12.5" customHeight="1" x14ac:dyDescent="0.25">
      <c r="A1572" s="5" t="s">
        <v>5694</v>
      </c>
      <c r="B1572" s="6" t="s">
        <v>4563</v>
      </c>
      <c r="C1572" s="6" t="s">
        <v>5504</v>
      </c>
      <c r="D1572" s="6" t="s">
        <v>5666</v>
      </c>
      <c r="E1572" s="6" t="s">
        <v>5695</v>
      </c>
      <c r="F1572" s="6" t="s">
        <v>5696</v>
      </c>
      <c r="G1572" s="9" t="s">
        <v>5697</v>
      </c>
      <c r="H1572" s="9" t="s">
        <v>18</v>
      </c>
      <c r="I1572" s="16" t="str">
        <f>VLOOKUP(F1572,[1]完整分类结果!$E:$G,3,0)</f>
        <v>化学原料及化学制品制造业</v>
      </c>
      <c r="J1572" s="16">
        <f>VLOOKUP(I1572,[2]行业排放因子!$A:$B,2,0)</f>
        <v>82.521245753925498</v>
      </c>
      <c r="K1572" s="9" t="s">
        <v>756</v>
      </c>
    </row>
    <row r="1573" spans="1:11" ht="12.5" customHeight="1" x14ac:dyDescent="0.25">
      <c r="A1573" s="5" t="s">
        <v>5698</v>
      </c>
      <c r="B1573" s="6" t="s">
        <v>4563</v>
      </c>
      <c r="C1573" s="6" t="s">
        <v>5504</v>
      </c>
      <c r="D1573" s="6" t="s">
        <v>5666</v>
      </c>
      <c r="E1573" s="6" t="s">
        <v>5699</v>
      </c>
      <c r="F1573" s="6" t="s">
        <v>5700</v>
      </c>
      <c r="G1573" s="9" t="s">
        <v>5701</v>
      </c>
      <c r="H1573" s="9" t="s">
        <v>18</v>
      </c>
      <c r="I1573" s="16" t="str">
        <f>VLOOKUP(F1573,[1]完整分类结果!$E:$G,3,0)</f>
        <v>化学原料及化学制品制造业</v>
      </c>
      <c r="J1573" s="16">
        <f>VLOOKUP(I1573,[2]行业排放因子!$A:$B,2,0)</f>
        <v>82.521245753925498</v>
      </c>
      <c r="K1573" s="9" t="s">
        <v>756</v>
      </c>
    </row>
    <row r="1574" spans="1:11" ht="12.5" customHeight="1" x14ac:dyDescent="0.25">
      <c r="A1574" s="5" t="s">
        <v>5702</v>
      </c>
      <c r="B1574" s="6" t="s">
        <v>4563</v>
      </c>
      <c r="C1574" s="6" t="s">
        <v>5504</v>
      </c>
      <c r="D1574" s="6" t="s">
        <v>5666</v>
      </c>
      <c r="E1574" s="6" t="s">
        <v>5703</v>
      </c>
      <c r="F1574" s="6" t="s">
        <v>5704</v>
      </c>
      <c r="G1574" s="9" t="s">
        <v>5705</v>
      </c>
      <c r="H1574" s="9" t="s">
        <v>18</v>
      </c>
      <c r="I1574" s="16" t="str">
        <f>VLOOKUP(F1574,[1]完整分类结果!$E:$G,3,0)</f>
        <v>化学原料及化学制品制造业</v>
      </c>
      <c r="J1574" s="16">
        <f>VLOOKUP(I1574,[2]行业排放因子!$A:$B,2,0)</f>
        <v>82.521245753925498</v>
      </c>
      <c r="K1574" s="9" t="s">
        <v>756</v>
      </c>
    </row>
    <row r="1575" spans="1:11" ht="12.5" customHeight="1" x14ac:dyDescent="0.25">
      <c r="A1575" s="5" t="s">
        <v>5706</v>
      </c>
      <c r="B1575" s="6" t="s">
        <v>4563</v>
      </c>
      <c r="C1575" s="6" t="s">
        <v>5504</v>
      </c>
      <c r="D1575" s="6" t="s">
        <v>5666</v>
      </c>
      <c r="E1575" s="6" t="s">
        <v>5707</v>
      </c>
      <c r="F1575" s="6" t="s">
        <v>5708</v>
      </c>
      <c r="G1575" s="9" t="s">
        <v>5709</v>
      </c>
      <c r="H1575" s="9" t="s">
        <v>18</v>
      </c>
      <c r="I1575" s="16" t="str">
        <f>VLOOKUP(F1575,[1]完整分类结果!$E:$G,3,0)</f>
        <v>化学原料及化学制品制造业</v>
      </c>
      <c r="J1575" s="16">
        <f>VLOOKUP(I1575,[2]行业排放因子!$A:$B,2,0)</f>
        <v>82.521245753925498</v>
      </c>
      <c r="K1575" s="9" t="s">
        <v>756</v>
      </c>
    </row>
    <row r="1576" spans="1:11" ht="12.5" customHeight="1" x14ac:dyDescent="0.25">
      <c r="A1576" s="5" t="s">
        <v>5710</v>
      </c>
      <c r="B1576" s="6" t="s">
        <v>4563</v>
      </c>
      <c r="C1576" s="6" t="s">
        <v>5504</v>
      </c>
      <c r="D1576" s="6" t="s">
        <v>5666</v>
      </c>
      <c r="E1576" s="6" t="s">
        <v>5711</v>
      </c>
      <c r="F1576" s="6" t="s">
        <v>5712</v>
      </c>
      <c r="G1576" s="9" t="s">
        <v>5713</v>
      </c>
      <c r="H1576" s="9" t="s">
        <v>18</v>
      </c>
      <c r="I1576" s="16" t="str">
        <f>VLOOKUP(F1576,[1]完整分类结果!$E:$G,3,0)</f>
        <v>化学原料及化学制品制造业</v>
      </c>
      <c r="J1576" s="16">
        <f>VLOOKUP(I1576,[2]行业排放因子!$A:$B,2,0)</f>
        <v>82.521245753925498</v>
      </c>
      <c r="K1576" s="9" t="s">
        <v>756</v>
      </c>
    </row>
    <row r="1577" spans="1:11" ht="12.5" customHeight="1" x14ac:dyDescent="0.25">
      <c r="A1577" s="5" t="s">
        <v>5714</v>
      </c>
      <c r="B1577" s="6" t="s">
        <v>4563</v>
      </c>
      <c r="C1577" s="6" t="s">
        <v>5504</v>
      </c>
      <c r="D1577" s="6" t="s">
        <v>5666</v>
      </c>
      <c r="E1577" s="6" t="s">
        <v>5715</v>
      </c>
      <c r="F1577" s="6" t="s">
        <v>5716</v>
      </c>
      <c r="G1577" s="9"/>
      <c r="H1577" s="9" t="s">
        <v>18</v>
      </c>
      <c r="I1577" s="16" t="str">
        <f>VLOOKUP(F1577,[1]完整分类结果!$E:$G,3,0)</f>
        <v>化学原料及化学制品制造业</v>
      </c>
      <c r="J1577" s="16">
        <f>VLOOKUP(I1577,[2]行业排放因子!$A:$B,2,0)</f>
        <v>82.521245753925498</v>
      </c>
      <c r="K1577" s="9" t="s">
        <v>756</v>
      </c>
    </row>
    <row r="1578" spans="1:11" ht="12.5" customHeight="1" x14ac:dyDescent="0.25">
      <c r="A1578" s="5" t="s">
        <v>5717</v>
      </c>
      <c r="B1578" s="6" t="s">
        <v>4563</v>
      </c>
      <c r="C1578" s="6" t="s">
        <v>5504</v>
      </c>
      <c r="D1578" s="6" t="s">
        <v>5718</v>
      </c>
      <c r="E1578" s="6" t="s">
        <v>5719</v>
      </c>
      <c r="F1578" s="6" t="s">
        <v>5720</v>
      </c>
      <c r="G1578" s="9" t="s">
        <v>5721</v>
      </c>
      <c r="H1578" s="9" t="s">
        <v>18</v>
      </c>
      <c r="I1578" s="16" t="str">
        <f>VLOOKUP(F1578,[1]完整分类结果!$E:$G,3,0)</f>
        <v>医药制造业</v>
      </c>
      <c r="J1578" s="16">
        <f>VLOOKUP(I1578,[2]行业排放因子!$A:$B,2,0)</f>
        <v>1.8175069540650799</v>
      </c>
      <c r="K1578" s="9" t="s">
        <v>756</v>
      </c>
    </row>
    <row r="1579" spans="1:11" ht="12.5" customHeight="1" x14ac:dyDescent="0.25">
      <c r="A1579" s="5" t="s">
        <v>5722</v>
      </c>
      <c r="B1579" s="6" t="s">
        <v>4563</v>
      </c>
      <c r="C1579" s="6" t="s">
        <v>5504</v>
      </c>
      <c r="D1579" s="6" t="s">
        <v>5718</v>
      </c>
      <c r="E1579" s="6" t="s">
        <v>5723</v>
      </c>
      <c r="F1579" s="6" t="s">
        <v>5724</v>
      </c>
      <c r="G1579" s="9" t="s">
        <v>5725</v>
      </c>
      <c r="H1579" s="9" t="s">
        <v>18</v>
      </c>
      <c r="I1579" s="16" t="str">
        <f>VLOOKUP(F1579,[1]完整分类结果!$E:$G,3,0)</f>
        <v>化学原料及化学制品制造业</v>
      </c>
      <c r="J1579" s="16">
        <f>VLOOKUP(I1579,[2]行业排放因子!$A:$B,2,0)</f>
        <v>82.521245753925498</v>
      </c>
      <c r="K1579" s="9" t="s">
        <v>756</v>
      </c>
    </row>
    <row r="1580" spans="1:11" ht="12.5" customHeight="1" x14ac:dyDescent="0.25">
      <c r="A1580" s="5" t="s">
        <v>5726</v>
      </c>
      <c r="B1580" s="6" t="s">
        <v>4563</v>
      </c>
      <c r="C1580" s="6" t="s">
        <v>5504</v>
      </c>
      <c r="D1580" s="6" t="s">
        <v>5718</v>
      </c>
      <c r="E1580" s="6" t="s">
        <v>5727</v>
      </c>
      <c r="F1580" s="6" t="s">
        <v>5728</v>
      </c>
      <c r="G1580" s="9" t="s">
        <v>5729</v>
      </c>
      <c r="H1580" s="9" t="s">
        <v>18</v>
      </c>
      <c r="I1580" s="16" t="str">
        <f>VLOOKUP(F1580,[1]完整分类结果!$E:$G,3,0)</f>
        <v>化学原料及化学制品制造业</v>
      </c>
      <c r="J1580" s="16">
        <f>VLOOKUP(I1580,[2]行业排放因子!$A:$B,2,0)</f>
        <v>82.521245753925498</v>
      </c>
      <c r="K1580" s="9" t="s">
        <v>756</v>
      </c>
    </row>
    <row r="1581" spans="1:11" ht="12.5" customHeight="1" x14ac:dyDescent="0.25">
      <c r="A1581" s="5" t="s">
        <v>5730</v>
      </c>
      <c r="B1581" s="6" t="s">
        <v>4563</v>
      </c>
      <c r="C1581" s="6" t="s">
        <v>5504</v>
      </c>
      <c r="D1581" s="6" t="s">
        <v>5731</v>
      </c>
      <c r="E1581" s="6" t="s">
        <v>5732</v>
      </c>
      <c r="F1581" s="6" t="s">
        <v>5733</v>
      </c>
      <c r="G1581" s="9" t="s">
        <v>5734</v>
      </c>
      <c r="H1581" s="9" t="s">
        <v>18</v>
      </c>
      <c r="I1581" s="16" t="str">
        <f>VLOOKUP(F1581,[1]完整分类结果!$E:$G,3,0)</f>
        <v>化学原料及化学制品制造业</v>
      </c>
      <c r="J1581" s="16">
        <f>VLOOKUP(I1581,[2]行业排放因子!$A:$B,2,0)</f>
        <v>82.521245753925498</v>
      </c>
      <c r="K1581" s="9" t="s">
        <v>756</v>
      </c>
    </row>
    <row r="1582" spans="1:11" ht="12.5" customHeight="1" x14ac:dyDescent="0.25">
      <c r="A1582" s="5" t="s">
        <v>5735</v>
      </c>
      <c r="B1582" s="6" t="s">
        <v>4563</v>
      </c>
      <c r="C1582" s="6" t="s">
        <v>5504</v>
      </c>
      <c r="D1582" s="6" t="s">
        <v>5731</v>
      </c>
      <c r="E1582" s="6" t="s">
        <v>5736</v>
      </c>
      <c r="F1582" s="6" t="s">
        <v>5737</v>
      </c>
      <c r="G1582" s="9" t="s">
        <v>5738</v>
      </c>
      <c r="H1582" s="9" t="s">
        <v>18</v>
      </c>
      <c r="I1582" s="16" t="str">
        <f>VLOOKUP(F1582,[1]完整分类结果!$E:$G,3,0)</f>
        <v>化学原料及化学制品制造业</v>
      </c>
      <c r="J1582" s="16">
        <f>VLOOKUP(I1582,[2]行业排放因子!$A:$B,2,0)</f>
        <v>82.521245753925498</v>
      </c>
      <c r="K1582" s="9" t="s">
        <v>756</v>
      </c>
    </row>
    <row r="1583" spans="1:11" ht="12.5" customHeight="1" x14ac:dyDescent="0.25">
      <c r="A1583" s="5" t="s">
        <v>5739</v>
      </c>
      <c r="B1583" s="6" t="s">
        <v>4563</v>
      </c>
      <c r="C1583" s="6" t="s">
        <v>5504</v>
      </c>
      <c r="D1583" s="6" t="s">
        <v>5731</v>
      </c>
      <c r="E1583" s="6" t="s">
        <v>5740</v>
      </c>
      <c r="F1583" s="6" t="s">
        <v>5741</v>
      </c>
      <c r="G1583" s="9" t="s">
        <v>5742</v>
      </c>
      <c r="H1583" s="9" t="s">
        <v>18</v>
      </c>
      <c r="I1583" s="16" t="str">
        <f>VLOOKUP(F1583,[1]完整分类结果!$E:$G,3,0)</f>
        <v>化学原料及化学制品制造业</v>
      </c>
      <c r="J1583" s="16">
        <f>VLOOKUP(I1583,[2]行业排放因子!$A:$B,2,0)</f>
        <v>82.521245753925498</v>
      </c>
      <c r="K1583" s="9" t="s">
        <v>756</v>
      </c>
    </row>
    <row r="1584" spans="1:11" ht="12.5" customHeight="1" x14ac:dyDescent="0.25">
      <c r="A1584" s="5" t="s">
        <v>5743</v>
      </c>
      <c r="B1584" s="6" t="s">
        <v>4563</v>
      </c>
      <c r="C1584" s="6" t="s">
        <v>5504</v>
      </c>
      <c r="D1584" s="6" t="s">
        <v>5731</v>
      </c>
      <c r="E1584" s="6" t="s">
        <v>5744</v>
      </c>
      <c r="F1584" s="6" t="s">
        <v>5745</v>
      </c>
      <c r="G1584" s="9" t="s">
        <v>5746</v>
      </c>
      <c r="H1584" s="9" t="s">
        <v>18</v>
      </c>
      <c r="I1584" s="16" t="str">
        <f>VLOOKUP(F1584,[1]完整分类结果!$E:$G,3,0)</f>
        <v>化学原料及化学制品制造业</v>
      </c>
      <c r="J1584" s="16">
        <f>VLOOKUP(I1584,[2]行业排放因子!$A:$B,2,0)</f>
        <v>82.521245753925498</v>
      </c>
      <c r="K1584" s="9" t="s">
        <v>756</v>
      </c>
    </row>
    <row r="1585" spans="1:11" ht="12.5" customHeight="1" x14ac:dyDescent="0.25">
      <c r="A1585" s="5" t="s">
        <v>5747</v>
      </c>
      <c r="B1585" s="6" t="s">
        <v>4563</v>
      </c>
      <c r="C1585" s="6" t="s">
        <v>5504</v>
      </c>
      <c r="D1585" s="6" t="s">
        <v>5731</v>
      </c>
      <c r="E1585" s="6" t="s">
        <v>5748</v>
      </c>
      <c r="F1585" s="6" t="s">
        <v>5749</v>
      </c>
      <c r="G1585" s="9"/>
      <c r="H1585" s="9" t="s">
        <v>18</v>
      </c>
      <c r="I1585" s="16" t="str">
        <f>VLOOKUP(F1585,[1]完整分类结果!$E:$G,3,0)</f>
        <v>医药制造业</v>
      </c>
      <c r="J1585" s="16">
        <f>VLOOKUP(I1585,[2]行业排放因子!$A:$B,2,0)</f>
        <v>1.8175069540650799</v>
      </c>
      <c r="K1585" s="9" t="s">
        <v>756</v>
      </c>
    </row>
    <row r="1586" spans="1:11" ht="12.5" customHeight="1" x14ac:dyDescent="0.25">
      <c r="A1586" s="5" t="s">
        <v>5750</v>
      </c>
      <c r="B1586" s="6" t="s">
        <v>4563</v>
      </c>
      <c r="C1586" s="6" t="s">
        <v>5504</v>
      </c>
      <c r="D1586" s="6" t="s">
        <v>5751</v>
      </c>
      <c r="E1586" s="6" t="s">
        <v>5752</v>
      </c>
      <c r="F1586" s="6" t="s">
        <v>5753</v>
      </c>
      <c r="G1586" s="9" t="s">
        <v>5754</v>
      </c>
      <c r="H1586" s="9" t="s">
        <v>18</v>
      </c>
      <c r="I1586" s="16" t="str">
        <f>VLOOKUP(F1586,[1]完整分类结果!$E:$G,3,0)</f>
        <v>化学原料及化学制品制造业</v>
      </c>
      <c r="J1586" s="16">
        <f>VLOOKUP(I1586,[2]行业排放因子!$A:$B,2,0)</f>
        <v>82.521245753925498</v>
      </c>
      <c r="K1586" s="9" t="s">
        <v>756</v>
      </c>
    </row>
    <row r="1587" spans="1:11" ht="12.5" customHeight="1" x14ac:dyDescent="0.25">
      <c r="A1587" s="5" t="s">
        <v>5755</v>
      </c>
      <c r="B1587" s="6" t="s">
        <v>4563</v>
      </c>
      <c r="C1587" s="6" t="s">
        <v>5504</v>
      </c>
      <c r="D1587" s="6" t="s">
        <v>5751</v>
      </c>
      <c r="E1587" s="6" t="s">
        <v>5756</v>
      </c>
      <c r="F1587" s="6" t="s">
        <v>5757</v>
      </c>
      <c r="G1587" s="9" t="s">
        <v>5758</v>
      </c>
      <c r="H1587" s="9" t="s">
        <v>18</v>
      </c>
      <c r="I1587" s="16" t="str">
        <f>VLOOKUP(F1587,[1]完整分类结果!$E:$G,3,0)</f>
        <v>化学原料及化学制品制造业</v>
      </c>
      <c r="J1587" s="16">
        <f>VLOOKUP(I1587,[2]行业排放因子!$A:$B,2,0)</f>
        <v>82.521245753925498</v>
      </c>
      <c r="K1587" s="9" t="s">
        <v>756</v>
      </c>
    </row>
    <row r="1588" spans="1:11" ht="12.5" customHeight="1" x14ac:dyDescent="0.25">
      <c r="A1588" s="5" t="s">
        <v>5759</v>
      </c>
      <c r="B1588" s="6" t="s">
        <v>4563</v>
      </c>
      <c r="C1588" s="6" t="s">
        <v>5504</v>
      </c>
      <c r="D1588" s="6" t="s">
        <v>5751</v>
      </c>
      <c r="E1588" s="6" t="s">
        <v>5760</v>
      </c>
      <c r="F1588" s="6" t="s">
        <v>5761</v>
      </c>
      <c r="G1588" s="9" t="s">
        <v>5762</v>
      </c>
      <c r="H1588" s="9" t="s">
        <v>18</v>
      </c>
      <c r="I1588" s="16" t="str">
        <f>VLOOKUP(F1588,[1]完整分类结果!$E:$G,3,0)</f>
        <v>化学原料及化学制品制造业</v>
      </c>
      <c r="J1588" s="16">
        <f>VLOOKUP(I1588,[2]行业排放因子!$A:$B,2,0)</f>
        <v>82.521245753925498</v>
      </c>
      <c r="K1588" s="9" t="s">
        <v>756</v>
      </c>
    </row>
    <row r="1589" spans="1:11" ht="12.5" customHeight="1" x14ac:dyDescent="0.25">
      <c r="A1589" s="5" t="s">
        <v>5763</v>
      </c>
      <c r="B1589" s="6" t="s">
        <v>4563</v>
      </c>
      <c r="C1589" s="6" t="s">
        <v>5504</v>
      </c>
      <c r="D1589" s="6" t="s">
        <v>5751</v>
      </c>
      <c r="E1589" s="6" t="s">
        <v>5764</v>
      </c>
      <c r="F1589" s="6" t="s">
        <v>5765</v>
      </c>
      <c r="G1589" s="9" t="s">
        <v>5766</v>
      </c>
      <c r="H1589" s="9" t="s">
        <v>18</v>
      </c>
      <c r="I1589" s="16" t="str">
        <f>VLOOKUP(F1589,[1]完整分类结果!$E:$G,3,0)</f>
        <v>化学原料及化学制品制造业</v>
      </c>
      <c r="J1589" s="16">
        <f>VLOOKUP(I1589,[2]行业排放因子!$A:$B,2,0)</f>
        <v>82.521245753925498</v>
      </c>
      <c r="K1589" s="9" t="s">
        <v>756</v>
      </c>
    </row>
    <row r="1590" spans="1:11" ht="12.5" customHeight="1" x14ac:dyDescent="0.25">
      <c r="A1590" s="5" t="s">
        <v>5767</v>
      </c>
      <c r="B1590" s="6" t="s">
        <v>4563</v>
      </c>
      <c r="C1590" s="6" t="s">
        <v>5504</v>
      </c>
      <c r="D1590" s="6" t="s">
        <v>5751</v>
      </c>
      <c r="E1590" s="6" t="s">
        <v>5768</v>
      </c>
      <c r="F1590" s="6" t="s">
        <v>5769</v>
      </c>
      <c r="G1590" s="9" t="s">
        <v>5770</v>
      </c>
      <c r="H1590" s="9" t="s">
        <v>18</v>
      </c>
      <c r="I1590" s="16" t="str">
        <f>VLOOKUP(F1590,[1]完整分类结果!$E:$G,3,0)</f>
        <v>化学原料及化学制品制造业</v>
      </c>
      <c r="J1590" s="16">
        <f>VLOOKUP(I1590,[2]行业排放因子!$A:$B,2,0)</f>
        <v>82.521245753925498</v>
      </c>
      <c r="K1590" s="9" t="s">
        <v>756</v>
      </c>
    </row>
    <row r="1591" spans="1:11" ht="12.5" customHeight="1" x14ac:dyDescent="0.25">
      <c r="A1591" s="5" t="s">
        <v>5771</v>
      </c>
      <c r="B1591" s="6" t="s">
        <v>4563</v>
      </c>
      <c r="C1591" s="6" t="s">
        <v>5504</v>
      </c>
      <c r="D1591" s="6" t="s">
        <v>5751</v>
      </c>
      <c r="E1591" s="6" t="s">
        <v>5772</v>
      </c>
      <c r="F1591" s="6" t="s">
        <v>5773</v>
      </c>
      <c r="G1591" s="9" t="s">
        <v>5774</v>
      </c>
      <c r="H1591" s="9" t="s">
        <v>18</v>
      </c>
      <c r="I1591" s="16" t="str">
        <f>VLOOKUP(F1591,[1]完整分类结果!$E:$G,3,0)</f>
        <v>化学原料及化学制品制造业</v>
      </c>
      <c r="J1591" s="16">
        <f>VLOOKUP(I1591,[2]行业排放因子!$A:$B,2,0)</f>
        <v>82.521245753925498</v>
      </c>
      <c r="K1591" s="9" t="s">
        <v>756</v>
      </c>
    </row>
    <row r="1592" spans="1:11" ht="12.5" customHeight="1" x14ac:dyDescent="0.25">
      <c r="A1592" s="5" t="s">
        <v>5775</v>
      </c>
      <c r="B1592" s="6" t="s">
        <v>4563</v>
      </c>
      <c r="C1592" s="6" t="s">
        <v>5504</v>
      </c>
      <c r="D1592" s="6" t="s">
        <v>5751</v>
      </c>
      <c r="E1592" s="6" t="s">
        <v>5776</v>
      </c>
      <c r="F1592" s="6" t="s">
        <v>5777</v>
      </c>
      <c r="G1592" s="9" t="s">
        <v>5778</v>
      </c>
      <c r="H1592" s="9" t="s">
        <v>18</v>
      </c>
      <c r="I1592" s="16" t="str">
        <f>VLOOKUP(F1592,[1]完整分类结果!$E:$G,3,0)</f>
        <v>化学原料及化学制品制造业</v>
      </c>
      <c r="J1592" s="16">
        <f>VLOOKUP(I1592,[2]行业排放因子!$A:$B,2,0)</f>
        <v>82.521245753925498</v>
      </c>
      <c r="K1592" s="9" t="s">
        <v>756</v>
      </c>
    </row>
    <row r="1593" spans="1:11" ht="12.5" customHeight="1" x14ac:dyDescent="0.25">
      <c r="A1593" s="5" t="s">
        <v>5779</v>
      </c>
      <c r="B1593" s="6" t="s">
        <v>4563</v>
      </c>
      <c r="C1593" s="6" t="s">
        <v>5504</v>
      </c>
      <c r="D1593" s="6" t="s">
        <v>5751</v>
      </c>
      <c r="E1593" s="6" t="s">
        <v>5780</v>
      </c>
      <c r="F1593" s="6" t="s">
        <v>5781</v>
      </c>
      <c r="G1593" s="9"/>
      <c r="H1593" s="9" t="s">
        <v>18</v>
      </c>
      <c r="I1593" s="16" t="str">
        <f>VLOOKUP(F1593,[1]完整分类结果!$E:$G,3,0)</f>
        <v>化学原料及化学制品制造业</v>
      </c>
      <c r="J1593" s="16">
        <f>VLOOKUP(I1593,[2]行业排放因子!$A:$B,2,0)</f>
        <v>82.521245753925498</v>
      </c>
      <c r="K1593" s="9" t="s">
        <v>756</v>
      </c>
    </row>
    <row r="1594" spans="1:11" ht="12.5" customHeight="1" x14ac:dyDescent="0.25">
      <c r="A1594" s="5" t="s">
        <v>5782</v>
      </c>
      <c r="B1594" s="6" t="s">
        <v>4563</v>
      </c>
      <c r="C1594" s="6" t="s">
        <v>5504</v>
      </c>
      <c r="D1594" s="6" t="s">
        <v>5751</v>
      </c>
      <c r="E1594" s="6" t="s">
        <v>5783</v>
      </c>
      <c r="F1594" s="6" t="s">
        <v>5784</v>
      </c>
      <c r="G1594" s="9" t="s">
        <v>5785</v>
      </c>
      <c r="H1594" s="9" t="s">
        <v>18</v>
      </c>
      <c r="I1594" s="16" t="str">
        <f>VLOOKUP(F1594,[1]完整分类结果!$E:$G,3,0)</f>
        <v>化学原料及化学制品制造业</v>
      </c>
      <c r="J1594" s="16">
        <f>VLOOKUP(I1594,[2]行业排放因子!$A:$B,2,0)</f>
        <v>82.521245753925498</v>
      </c>
      <c r="K1594" s="9" t="s">
        <v>756</v>
      </c>
    </row>
    <row r="1595" spans="1:11" ht="12.5" customHeight="1" x14ac:dyDescent="0.25">
      <c r="A1595" s="5" t="s">
        <v>5786</v>
      </c>
      <c r="B1595" s="6" t="s">
        <v>4563</v>
      </c>
      <c r="C1595" s="6" t="s">
        <v>5504</v>
      </c>
      <c r="D1595" s="6" t="s">
        <v>5751</v>
      </c>
      <c r="E1595" s="6" t="s">
        <v>5787</v>
      </c>
      <c r="F1595" s="6" t="s">
        <v>5788</v>
      </c>
      <c r="G1595" s="9" t="s">
        <v>5789</v>
      </c>
      <c r="H1595" s="9" t="s">
        <v>18</v>
      </c>
      <c r="I1595" s="16" t="str">
        <f>VLOOKUP(F1595,[1]完整分类结果!$E:$G,3,0)</f>
        <v>化学原料及化学制品制造业</v>
      </c>
      <c r="J1595" s="16">
        <f>VLOOKUP(I1595,[2]行业排放因子!$A:$B,2,0)</f>
        <v>82.521245753925498</v>
      </c>
      <c r="K1595" s="9" t="s">
        <v>756</v>
      </c>
    </row>
    <row r="1596" spans="1:11" ht="12.5" customHeight="1" x14ac:dyDescent="0.25">
      <c r="A1596" s="5" t="s">
        <v>5790</v>
      </c>
      <c r="B1596" s="6" t="s">
        <v>4563</v>
      </c>
      <c r="C1596" s="6" t="s">
        <v>5504</v>
      </c>
      <c r="D1596" s="6" t="s">
        <v>5751</v>
      </c>
      <c r="E1596" s="6" t="s">
        <v>5791</v>
      </c>
      <c r="F1596" s="6" t="s">
        <v>5792</v>
      </c>
      <c r="G1596" s="9" t="s">
        <v>5793</v>
      </c>
      <c r="H1596" s="9" t="s">
        <v>18</v>
      </c>
      <c r="I1596" s="16" t="str">
        <f>VLOOKUP(F1596,[1]完整分类结果!$E:$G,3,0)</f>
        <v>化学原料及化学制品制造业</v>
      </c>
      <c r="J1596" s="16">
        <f>VLOOKUP(I1596,[2]行业排放因子!$A:$B,2,0)</f>
        <v>82.521245753925498</v>
      </c>
      <c r="K1596" s="9" t="s">
        <v>756</v>
      </c>
    </row>
    <row r="1597" spans="1:11" ht="12.5" customHeight="1" x14ac:dyDescent="0.25">
      <c r="A1597" s="5" t="s">
        <v>5794</v>
      </c>
      <c r="B1597" s="6" t="s">
        <v>4563</v>
      </c>
      <c r="C1597" s="6" t="s">
        <v>5504</v>
      </c>
      <c r="D1597" s="6" t="s">
        <v>5504</v>
      </c>
      <c r="E1597" s="6" t="s">
        <v>5795</v>
      </c>
      <c r="F1597" s="6" t="s">
        <v>5796</v>
      </c>
      <c r="G1597" s="9" t="s">
        <v>5797</v>
      </c>
      <c r="H1597" s="9" t="s">
        <v>18</v>
      </c>
      <c r="I1597" s="16" t="str">
        <f>VLOOKUP(F1597,[1]完整分类结果!$E:$G,3,0)</f>
        <v>医药制造业</v>
      </c>
      <c r="J1597" s="16">
        <f>VLOOKUP(I1597,[2]行业排放因子!$A:$B,2,0)</f>
        <v>1.8175069540650799</v>
      </c>
      <c r="K1597" s="9" t="s">
        <v>756</v>
      </c>
    </row>
    <row r="1598" spans="1:11" ht="12.5" customHeight="1" x14ac:dyDescent="0.25">
      <c r="A1598" s="5" t="s">
        <v>5798</v>
      </c>
      <c r="B1598" s="6" t="s">
        <v>4563</v>
      </c>
      <c r="C1598" s="6" t="s">
        <v>5504</v>
      </c>
      <c r="D1598" s="6" t="s">
        <v>5504</v>
      </c>
      <c r="E1598" s="6" t="s">
        <v>5799</v>
      </c>
      <c r="F1598" s="6" t="s">
        <v>5800</v>
      </c>
      <c r="G1598" s="9" t="s">
        <v>5801</v>
      </c>
      <c r="H1598" s="9" t="s">
        <v>18</v>
      </c>
      <c r="I1598" s="16" t="str">
        <f>VLOOKUP(F1598,[1]完整分类结果!$E:$G,3,0)</f>
        <v>医药制造业</v>
      </c>
      <c r="J1598" s="16">
        <f>VLOOKUP(I1598,[2]行业排放因子!$A:$B,2,0)</f>
        <v>1.8175069540650799</v>
      </c>
      <c r="K1598" s="9" t="s">
        <v>756</v>
      </c>
    </row>
    <row r="1599" spans="1:11" ht="12.5" customHeight="1" x14ac:dyDescent="0.25">
      <c r="A1599" s="5" t="s">
        <v>5802</v>
      </c>
      <c r="B1599" s="6" t="s">
        <v>4563</v>
      </c>
      <c r="C1599" s="6" t="s">
        <v>5504</v>
      </c>
      <c r="D1599" s="6" t="s">
        <v>5504</v>
      </c>
      <c r="E1599" s="6" t="s">
        <v>5803</v>
      </c>
      <c r="F1599" s="6" t="s">
        <v>5804</v>
      </c>
      <c r="G1599" s="9" t="s">
        <v>5805</v>
      </c>
      <c r="H1599" s="9" t="s">
        <v>18</v>
      </c>
      <c r="I1599" s="16" t="str">
        <f>VLOOKUP(F1599,[1]完整分类结果!$E:$G,3,0)</f>
        <v>医药制造业</v>
      </c>
      <c r="J1599" s="16">
        <f>VLOOKUP(I1599,[2]行业排放因子!$A:$B,2,0)</f>
        <v>1.8175069540650799</v>
      </c>
      <c r="K1599" s="9" t="s">
        <v>756</v>
      </c>
    </row>
    <row r="1600" spans="1:11" ht="12.5" customHeight="1" x14ac:dyDescent="0.25">
      <c r="A1600" s="5" t="s">
        <v>5806</v>
      </c>
      <c r="B1600" s="6" t="s">
        <v>4563</v>
      </c>
      <c r="C1600" s="6" t="s">
        <v>5504</v>
      </c>
      <c r="D1600" s="6" t="s">
        <v>5504</v>
      </c>
      <c r="E1600" s="6" t="s">
        <v>5807</v>
      </c>
      <c r="F1600" s="6" t="s">
        <v>5808</v>
      </c>
      <c r="G1600" s="9" t="s">
        <v>5809</v>
      </c>
      <c r="H1600" s="9" t="s">
        <v>18</v>
      </c>
      <c r="I1600" s="16" t="str">
        <f>VLOOKUP(F1600,[1]完整分类结果!$E:$G,3,0)</f>
        <v>医药制造业</v>
      </c>
      <c r="J1600" s="16">
        <f>VLOOKUP(I1600,[2]行业排放因子!$A:$B,2,0)</f>
        <v>1.8175069540650799</v>
      </c>
      <c r="K1600" s="9" t="s">
        <v>756</v>
      </c>
    </row>
    <row r="1601" spans="1:11" ht="12.5" customHeight="1" x14ac:dyDescent="0.25">
      <c r="A1601" s="5" t="s">
        <v>5810</v>
      </c>
      <c r="B1601" s="6" t="s">
        <v>4563</v>
      </c>
      <c r="C1601" s="6" t="s">
        <v>5504</v>
      </c>
      <c r="D1601" s="6" t="s">
        <v>5504</v>
      </c>
      <c r="E1601" s="6" t="s">
        <v>5811</v>
      </c>
      <c r="F1601" s="6" t="s">
        <v>5812</v>
      </c>
      <c r="G1601" s="9" t="s">
        <v>5813</v>
      </c>
      <c r="H1601" s="9" t="s">
        <v>18</v>
      </c>
      <c r="I1601" s="16" t="str">
        <f>VLOOKUP(F1601,[1]完整分类结果!$E:$G,3,0)</f>
        <v>医药制造业</v>
      </c>
      <c r="J1601" s="16">
        <f>VLOOKUP(I1601,[2]行业排放因子!$A:$B,2,0)</f>
        <v>1.8175069540650799</v>
      </c>
      <c r="K1601" s="9" t="s">
        <v>756</v>
      </c>
    </row>
    <row r="1602" spans="1:11" ht="12.5" customHeight="1" x14ac:dyDescent="0.25">
      <c r="A1602" s="5" t="s">
        <v>5814</v>
      </c>
      <c r="B1602" s="6" t="s">
        <v>4563</v>
      </c>
      <c r="C1602" s="6" t="s">
        <v>5815</v>
      </c>
      <c r="D1602" s="6" t="s">
        <v>5815</v>
      </c>
      <c r="E1602" s="6" t="s">
        <v>5816</v>
      </c>
      <c r="F1602" s="6" t="s">
        <v>5817</v>
      </c>
      <c r="G1602" s="9" t="s">
        <v>5818</v>
      </c>
      <c r="H1602" s="9" t="s">
        <v>18</v>
      </c>
      <c r="I1602" s="16" t="str">
        <f>VLOOKUP(F1602,[1]完整分类结果!$E:$G,3,0)</f>
        <v>化学原料及化学制品制造业</v>
      </c>
      <c r="J1602" s="16">
        <f>VLOOKUP(I1602,[2]行业排放因子!$A:$B,2,0)</f>
        <v>82.521245753925498</v>
      </c>
      <c r="K1602" s="9" t="s">
        <v>756</v>
      </c>
    </row>
    <row r="1603" spans="1:11" ht="12.5" customHeight="1" x14ac:dyDescent="0.25">
      <c r="A1603" s="5" t="s">
        <v>5819</v>
      </c>
      <c r="B1603" s="6" t="s">
        <v>4563</v>
      </c>
      <c r="C1603" s="6" t="s">
        <v>5815</v>
      </c>
      <c r="D1603" s="6" t="s">
        <v>5815</v>
      </c>
      <c r="E1603" s="6" t="s">
        <v>5820</v>
      </c>
      <c r="F1603" s="6" t="s">
        <v>5821</v>
      </c>
      <c r="G1603" s="9" t="s">
        <v>5822</v>
      </c>
      <c r="H1603" s="9" t="s">
        <v>18</v>
      </c>
      <c r="I1603" s="16" t="str">
        <f>VLOOKUP(F1603,[1]完整分类结果!$E:$G,3,0)</f>
        <v>化学原料及化学制品制造业</v>
      </c>
      <c r="J1603" s="16">
        <f>VLOOKUP(I1603,[2]行业排放因子!$A:$B,2,0)</f>
        <v>82.521245753925498</v>
      </c>
      <c r="K1603" s="9" t="s">
        <v>756</v>
      </c>
    </row>
    <row r="1604" spans="1:11" ht="12.5" customHeight="1" x14ac:dyDescent="0.25">
      <c r="A1604" s="5" t="s">
        <v>5823</v>
      </c>
      <c r="B1604" s="6" t="s">
        <v>4563</v>
      </c>
      <c r="C1604" s="6" t="s">
        <v>5815</v>
      </c>
      <c r="D1604" s="6" t="s">
        <v>5815</v>
      </c>
      <c r="E1604" s="6" t="s">
        <v>5824</v>
      </c>
      <c r="F1604" s="6" t="s">
        <v>5825</v>
      </c>
      <c r="G1604" s="9" t="s">
        <v>5826</v>
      </c>
      <c r="H1604" s="9" t="s">
        <v>18</v>
      </c>
      <c r="I1604" s="16" t="str">
        <f>VLOOKUP(F1604,[1]完整分类结果!$E:$G,3,0)</f>
        <v>化学原料及化学制品制造业</v>
      </c>
      <c r="J1604" s="16">
        <f>VLOOKUP(I1604,[2]行业排放因子!$A:$B,2,0)</f>
        <v>82.521245753925498</v>
      </c>
      <c r="K1604" s="9" t="s">
        <v>756</v>
      </c>
    </row>
    <row r="1605" spans="1:11" ht="12.5" customHeight="1" x14ac:dyDescent="0.25">
      <c r="A1605" s="5" t="s">
        <v>5827</v>
      </c>
      <c r="B1605" s="6" t="s">
        <v>4563</v>
      </c>
      <c r="C1605" s="6" t="s">
        <v>5815</v>
      </c>
      <c r="D1605" s="6" t="s">
        <v>5815</v>
      </c>
      <c r="E1605" s="6" t="s">
        <v>5828</v>
      </c>
      <c r="F1605" s="6" t="s">
        <v>5829</v>
      </c>
      <c r="G1605" s="9" t="s">
        <v>5830</v>
      </c>
      <c r="H1605" s="9" t="s">
        <v>18</v>
      </c>
      <c r="I1605" s="16" t="str">
        <f>VLOOKUP(F1605,[1]完整分类结果!$E:$G,3,0)</f>
        <v>化学纤维制造业</v>
      </c>
      <c r="J1605" s="16">
        <f>VLOOKUP(I1605,[2]行业排放因子!$A:$B,2,0)</f>
        <v>0.54144355265712596</v>
      </c>
      <c r="K1605" s="9" t="s">
        <v>756</v>
      </c>
    </row>
    <row r="1606" spans="1:11" ht="12.5" customHeight="1" x14ac:dyDescent="0.25">
      <c r="A1606" s="5" t="s">
        <v>5831</v>
      </c>
      <c r="B1606" s="6" t="s">
        <v>4563</v>
      </c>
      <c r="C1606" s="6" t="s">
        <v>5815</v>
      </c>
      <c r="D1606" s="6" t="s">
        <v>5815</v>
      </c>
      <c r="E1606" s="6" t="s">
        <v>5832</v>
      </c>
      <c r="F1606" s="6" t="s">
        <v>5833</v>
      </c>
      <c r="G1606" s="9" t="s">
        <v>5834</v>
      </c>
      <c r="H1606" s="9" t="s">
        <v>18</v>
      </c>
      <c r="I1606" s="16" t="str">
        <f>VLOOKUP(F1606,[1]完整分类结果!$E:$G,3,0)</f>
        <v>化学原料及化学制品制造业</v>
      </c>
      <c r="J1606" s="16">
        <f>VLOOKUP(I1606,[2]行业排放因子!$A:$B,2,0)</f>
        <v>82.521245753925498</v>
      </c>
      <c r="K1606" s="9" t="s">
        <v>756</v>
      </c>
    </row>
    <row r="1607" spans="1:11" ht="12.5" customHeight="1" x14ac:dyDescent="0.25">
      <c r="A1607" s="5" t="s">
        <v>5835</v>
      </c>
      <c r="B1607" s="6" t="s">
        <v>4563</v>
      </c>
      <c r="C1607" s="6" t="s">
        <v>5815</v>
      </c>
      <c r="D1607" s="6" t="s">
        <v>5815</v>
      </c>
      <c r="E1607" s="6" t="s">
        <v>5836</v>
      </c>
      <c r="F1607" s="6" t="s">
        <v>5837</v>
      </c>
      <c r="G1607" s="9" t="s">
        <v>5838</v>
      </c>
      <c r="H1607" s="9" t="s">
        <v>18</v>
      </c>
      <c r="I1607" s="16" t="str">
        <f>VLOOKUP(F1607,[1]完整分类结果!$E:$G,3,0)</f>
        <v>化学原料及化学制品制造业</v>
      </c>
      <c r="J1607" s="16">
        <f>VLOOKUP(I1607,[2]行业排放因子!$A:$B,2,0)</f>
        <v>82.521245753925498</v>
      </c>
      <c r="K1607" s="9" t="s">
        <v>756</v>
      </c>
    </row>
    <row r="1608" spans="1:11" ht="12.5" customHeight="1" x14ac:dyDescent="0.25">
      <c r="A1608" s="5" t="s">
        <v>5839</v>
      </c>
      <c r="B1608" s="6" t="s">
        <v>4563</v>
      </c>
      <c r="C1608" s="6" t="s">
        <v>5815</v>
      </c>
      <c r="D1608" s="6" t="s">
        <v>5815</v>
      </c>
      <c r="E1608" s="6" t="s">
        <v>5840</v>
      </c>
      <c r="F1608" s="6" t="s">
        <v>5841</v>
      </c>
      <c r="G1608" s="9" t="s">
        <v>5842</v>
      </c>
      <c r="H1608" s="9" t="s">
        <v>18</v>
      </c>
      <c r="I1608" s="16" t="str">
        <f>VLOOKUP(F1608,[1]完整分类结果!$E:$G,3,0)</f>
        <v>化学原料及化学制品制造业</v>
      </c>
      <c r="J1608" s="16">
        <f>VLOOKUP(I1608,[2]行业排放因子!$A:$B,2,0)</f>
        <v>82.521245753925498</v>
      </c>
      <c r="K1608" s="9" t="s">
        <v>756</v>
      </c>
    </row>
    <row r="1609" spans="1:11" ht="12.5" customHeight="1" x14ac:dyDescent="0.25">
      <c r="A1609" s="5" t="s">
        <v>5843</v>
      </c>
      <c r="B1609" s="6" t="s">
        <v>4563</v>
      </c>
      <c r="C1609" s="6" t="s">
        <v>5815</v>
      </c>
      <c r="D1609" s="6" t="s">
        <v>5815</v>
      </c>
      <c r="E1609" s="6" t="s">
        <v>5844</v>
      </c>
      <c r="F1609" s="6" t="s">
        <v>5845</v>
      </c>
      <c r="G1609" s="9" t="s">
        <v>5846</v>
      </c>
      <c r="H1609" s="9" t="s">
        <v>18</v>
      </c>
      <c r="I1609" s="16" t="str">
        <f>VLOOKUP(F1609,[1]完整分类结果!$E:$G,3,0)</f>
        <v>化学原料及化学制品制造业</v>
      </c>
      <c r="J1609" s="16">
        <f>VLOOKUP(I1609,[2]行业排放因子!$A:$B,2,0)</f>
        <v>82.521245753925498</v>
      </c>
      <c r="K1609" s="9" t="s">
        <v>756</v>
      </c>
    </row>
    <row r="1610" spans="1:11" ht="12.5" customHeight="1" x14ac:dyDescent="0.25">
      <c r="A1610" s="5" t="s">
        <v>5847</v>
      </c>
      <c r="B1610" s="6" t="s">
        <v>4563</v>
      </c>
      <c r="C1610" s="6" t="s">
        <v>5815</v>
      </c>
      <c r="D1610" s="6" t="s">
        <v>5815</v>
      </c>
      <c r="E1610" s="6" t="s">
        <v>5848</v>
      </c>
      <c r="F1610" s="6" t="s">
        <v>5849</v>
      </c>
      <c r="G1610" s="9" t="s">
        <v>5850</v>
      </c>
      <c r="H1610" s="9" t="s">
        <v>18</v>
      </c>
      <c r="I1610" s="16" t="str">
        <f>VLOOKUP(F1610,[1]完整分类结果!$E:$G,3,0)</f>
        <v>化学原料及化学制品制造业</v>
      </c>
      <c r="J1610" s="16">
        <f>VLOOKUP(I1610,[2]行业排放因子!$A:$B,2,0)</f>
        <v>82.521245753925498</v>
      </c>
      <c r="K1610" s="9" t="s">
        <v>756</v>
      </c>
    </row>
    <row r="1611" spans="1:11" ht="12.5" customHeight="1" x14ac:dyDescent="0.25">
      <c r="A1611" s="5" t="s">
        <v>5851</v>
      </c>
      <c r="B1611" s="6" t="s">
        <v>4563</v>
      </c>
      <c r="C1611" s="6" t="s">
        <v>5815</v>
      </c>
      <c r="D1611" s="6" t="s">
        <v>5815</v>
      </c>
      <c r="E1611" s="6" t="s">
        <v>5852</v>
      </c>
      <c r="F1611" s="6" t="s">
        <v>5853</v>
      </c>
      <c r="G1611" s="9" t="s">
        <v>5854</v>
      </c>
      <c r="H1611" s="9" t="s">
        <v>18</v>
      </c>
      <c r="I1611" s="16" t="str">
        <f>VLOOKUP(F1611,[1]完整分类结果!$E:$G,3,0)</f>
        <v>化学原料及化学制品制造业</v>
      </c>
      <c r="J1611" s="16">
        <f>VLOOKUP(I1611,[2]行业排放因子!$A:$B,2,0)</f>
        <v>82.521245753925498</v>
      </c>
      <c r="K1611" s="9" t="s">
        <v>756</v>
      </c>
    </row>
    <row r="1612" spans="1:11" ht="12.5" customHeight="1" x14ac:dyDescent="0.25">
      <c r="A1612" s="5" t="s">
        <v>5855</v>
      </c>
      <c r="B1612" s="6" t="s">
        <v>4563</v>
      </c>
      <c r="C1612" s="6" t="s">
        <v>5815</v>
      </c>
      <c r="D1612" s="6" t="s">
        <v>5815</v>
      </c>
      <c r="E1612" s="6" t="s">
        <v>5856</v>
      </c>
      <c r="F1612" s="6" t="s">
        <v>5857</v>
      </c>
      <c r="G1612" s="9" t="s">
        <v>5858</v>
      </c>
      <c r="H1612" s="9" t="s">
        <v>18</v>
      </c>
      <c r="I1612" s="16" t="str">
        <f>VLOOKUP(F1612,[1]完整分类结果!$E:$G,3,0)</f>
        <v>化学原料及化学制品制造业</v>
      </c>
      <c r="J1612" s="16">
        <f>VLOOKUP(I1612,[2]行业排放因子!$A:$B,2,0)</f>
        <v>82.521245753925498</v>
      </c>
      <c r="K1612" s="9" t="s">
        <v>756</v>
      </c>
    </row>
    <row r="1613" spans="1:11" ht="12.5" customHeight="1" x14ac:dyDescent="0.25">
      <c r="A1613" s="5" t="s">
        <v>5859</v>
      </c>
      <c r="B1613" s="6" t="s">
        <v>4563</v>
      </c>
      <c r="C1613" s="6" t="s">
        <v>5815</v>
      </c>
      <c r="D1613" s="6" t="s">
        <v>5815</v>
      </c>
      <c r="E1613" s="6" t="s">
        <v>5860</v>
      </c>
      <c r="F1613" s="6" t="s">
        <v>5861</v>
      </c>
      <c r="G1613" s="9" t="s">
        <v>5862</v>
      </c>
      <c r="H1613" s="9" t="s">
        <v>18</v>
      </c>
      <c r="I1613" s="16" t="str">
        <f>VLOOKUP(F1613,[1]完整分类结果!$E:$G,3,0)</f>
        <v>化学原料及化学制品制造业</v>
      </c>
      <c r="J1613" s="16">
        <f>VLOOKUP(I1613,[2]行业排放因子!$A:$B,2,0)</f>
        <v>82.521245753925498</v>
      </c>
      <c r="K1613" s="9" t="s">
        <v>756</v>
      </c>
    </row>
    <row r="1614" spans="1:11" ht="12.5" customHeight="1" x14ac:dyDescent="0.25">
      <c r="A1614" s="5" t="s">
        <v>5863</v>
      </c>
      <c r="B1614" s="6" t="s">
        <v>4563</v>
      </c>
      <c r="C1614" s="6" t="s">
        <v>5815</v>
      </c>
      <c r="D1614" s="6" t="s">
        <v>5815</v>
      </c>
      <c r="E1614" s="6" t="s">
        <v>5864</v>
      </c>
      <c r="F1614" s="6" t="s">
        <v>5865</v>
      </c>
      <c r="G1614" s="9" t="s">
        <v>5866</v>
      </c>
      <c r="H1614" s="9" t="s">
        <v>18</v>
      </c>
      <c r="I1614" s="16" t="str">
        <f>VLOOKUP(F1614,[1]完整分类结果!$E:$G,3,0)</f>
        <v>化学原料及化学制品制造业</v>
      </c>
      <c r="J1614" s="16">
        <f>VLOOKUP(I1614,[2]行业排放因子!$A:$B,2,0)</f>
        <v>82.521245753925498</v>
      </c>
      <c r="K1614" s="9" t="s">
        <v>756</v>
      </c>
    </row>
    <row r="1615" spans="1:11" ht="12.5" customHeight="1" x14ac:dyDescent="0.25">
      <c r="A1615" s="5" t="s">
        <v>5867</v>
      </c>
      <c r="B1615" s="6" t="s">
        <v>4563</v>
      </c>
      <c r="C1615" s="6" t="s">
        <v>5815</v>
      </c>
      <c r="D1615" s="6" t="s">
        <v>5815</v>
      </c>
      <c r="E1615" s="6" t="s">
        <v>5868</v>
      </c>
      <c r="F1615" s="6" t="s">
        <v>5869</v>
      </c>
      <c r="G1615" s="9" t="s">
        <v>5870</v>
      </c>
      <c r="H1615" s="9" t="s">
        <v>18</v>
      </c>
      <c r="I1615" s="16" t="str">
        <f>VLOOKUP(F1615,[1]完整分类结果!$E:$G,3,0)</f>
        <v>化学原料及化学制品制造业</v>
      </c>
      <c r="J1615" s="16">
        <f>VLOOKUP(I1615,[2]行业排放因子!$A:$B,2,0)</f>
        <v>82.521245753925498</v>
      </c>
      <c r="K1615" s="9" t="s">
        <v>756</v>
      </c>
    </row>
    <row r="1616" spans="1:11" ht="12.5" customHeight="1" x14ac:dyDescent="0.25">
      <c r="A1616" s="5" t="s">
        <v>5871</v>
      </c>
      <c r="B1616" s="6" t="s">
        <v>4563</v>
      </c>
      <c r="C1616" s="6" t="s">
        <v>5815</v>
      </c>
      <c r="D1616" s="6" t="s">
        <v>5815</v>
      </c>
      <c r="E1616" s="6" t="s">
        <v>5872</v>
      </c>
      <c r="F1616" s="6" t="s">
        <v>5873</v>
      </c>
      <c r="G1616" s="9" t="s">
        <v>5874</v>
      </c>
      <c r="H1616" s="9" t="s">
        <v>18</v>
      </c>
      <c r="I1616" s="16" t="str">
        <f>VLOOKUP(F1616,[1]完整分类结果!$E:$G,3,0)</f>
        <v>化学原料及化学制品制造业</v>
      </c>
      <c r="J1616" s="16">
        <f>VLOOKUP(I1616,[2]行业排放因子!$A:$B,2,0)</f>
        <v>82.521245753925498</v>
      </c>
      <c r="K1616" s="9" t="s">
        <v>756</v>
      </c>
    </row>
    <row r="1617" spans="1:11" ht="12.5" customHeight="1" x14ac:dyDescent="0.25">
      <c r="A1617" s="5" t="s">
        <v>5875</v>
      </c>
      <c r="B1617" s="6" t="s">
        <v>4563</v>
      </c>
      <c r="C1617" s="6" t="s">
        <v>5815</v>
      </c>
      <c r="D1617" s="6" t="s">
        <v>5815</v>
      </c>
      <c r="E1617" s="6" t="s">
        <v>5876</v>
      </c>
      <c r="F1617" s="6" t="s">
        <v>5877</v>
      </c>
      <c r="G1617" s="9"/>
      <c r="H1617" s="9" t="s">
        <v>18</v>
      </c>
      <c r="I1617" s="16" t="str">
        <f>VLOOKUP(F1617,[1]完整分类结果!$E:$G,3,0)</f>
        <v>化学原料及化学制品制造业</v>
      </c>
      <c r="J1617" s="16">
        <f>VLOOKUP(I1617,[2]行业排放因子!$A:$B,2,0)</f>
        <v>82.521245753925498</v>
      </c>
      <c r="K1617" s="9" t="s">
        <v>756</v>
      </c>
    </row>
    <row r="1618" spans="1:11" ht="12.5" customHeight="1" x14ac:dyDescent="0.25">
      <c r="A1618" s="5" t="s">
        <v>5878</v>
      </c>
      <c r="B1618" s="6" t="s">
        <v>4563</v>
      </c>
      <c r="C1618" s="6" t="s">
        <v>5815</v>
      </c>
      <c r="D1618" s="6" t="s">
        <v>5815</v>
      </c>
      <c r="E1618" s="6" t="s">
        <v>5879</v>
      </c>
      <c r="F1618" s="6" t="s">
        <v>5880</v>
      </c>
      <c r="G1618" s="9" t="s">
        <v>5881</v>
      </c>
      <c r="H1618" s="9" t="s">
        <v>18</v>
      </c>
      <c r="I1618" s="16" t="str">
        <f>VLOOKUP(F1618,[1]完整分类结果!$E:$G,3,0)</f>
        <v>化学原料及化学制品制造业</v>
      </c>
      <c r="J1618" s="16">
        <f>VLOOKUP(I1618,[2]行业排放因子!$A:$B,2,0)</f>
        <v>82.521245753925498</v>
      </c>
      <c r="K1618" s="9" t="s">
        <v>756</v>
      </c>
    </row>
    <row r="1619" spans="1:11" ht="12.5" customHeight="1" x14ac:dyDescent="0.25">
      <c r="A1619" s="5" t="s">
        <v>5882</v>
      </c>
      <c r="B1619" s="6" t="s">
        <v>4563</v>
      </c>
      <c r="C1619" s="6" t="s">
        <v>5815</v>
      </c>
      <c r="D1619" s="6" t="s">
        <v>5815</v>
      </c>
      <c r="E1619" s="6" t="s">
        <v>5883</v>
      </c>
      <c r="F1619" s="6" t="s">
        <v>5884</v>
      </c>
      <c r="G1619" s="9" t="s">
        <v>5885</v>
      </c>
      <c r="H1619" s="9" t="s">
        <v>18</v>
      </c>
      <c r="I1619" s="16" t="str">
        <f>VLOOKUP(F1619,[1]完整分类结果!$E:$G,3,0)</f>
        <v>化学原料及化学制品制造业</v>
      </c>
      <c r="J1619" s="16">
        <f>VLOOKUP(I1619,[2]行业排放因子!$A:$B,2,0)</f>
        <v>82.521245753925498</v>
      </c>
      <c r="K1619" s="9" t="s">
        <v>756</v>
      </c>
    </row>
    <row r="1620" spans="1:11" ht="12.5" customHeight="1" x14ac:dyDescent="0.25">
      <c r="A1620" s="5" t="s">
        <v>5886</v>
      </c>
      <c r="B1620" s="6" t="s">
        <v>4563</v>
      </c>
      <c r="C1620" s="6" t="s">
        <v>5815</v>
      </c>
      <c r="D1620" s="6" t="s">
        <v>5815</v>
      </c>
      <c r="E1620" s="6" t="s">
        <v>5887</v>
      </c>
      <c r="F1620" s="6" t="s">
        <v>5888</v>
      </c>
      <c r="G1620" s="9" t="s">
        <v>5889</v>
      </c>
      <c r="H1620" s="9" t="s">
        <v>18</v>
      </c>
      <c r="I1620" s="16" t="str">
        <f>VLOOKUP(F1620,[1]完整分类结果!$E:$G,3,0)</f>
        <v>化学原料及化学制品制造业</v>
      </c>
      <c r="J1620" s="16">
        <f>VLOOKUP(I1620,[2]行业排放因子!$A:$B,2,0)</f>
        <v>82.521245753925498</v>
      </c>
      <c r="K1620" s="9" t="s">
        <v>756</v>
      </c>
    </row>
    <row r="1621" spans="1:11" ht="12.5" customHeight="1" x14ac:dyDescent="0.25">
      <c r="A1621" s="5" t="s">
        <v>5890</v>
      </c>
      <c r="B1621" s="6" t="s">
        <v>4563</v>
      </c>
      <c r="C1621" s="6" t="s">
        <v>5815</v>
      </c>
      <c r="D1621" s="6" t="s">
        <v>5815</v>
      </c>
      <c r="E1621" s="6" t="s">
        <v>5891</v>
      </c>
      <c r="F1621" s="6" t="s">
        <v>5892</v>
      </c>
      <c r="G1621" s="9" t="s">
        <v>5893</v>
      </c>
      <c r="H1621" s="9" t="s">
        <v>18</v>
      </c>
      <c r="I1621" s="16" t="str">
        <f>VLOOKUP(F1621,[1]完整分类结果!$E:$G,3,0)</f>
        <v>化学原料及化学制品制造业</v>
      </c>
      <c r="J1621" s="16">
        <f>VLOOKUP(I1621,[2]行业排放因子!$A:$B,2,0)</f>
        <v>82.521245753925498</v>
      </c>
      <c r="K1621" s="9" t="s">
        <v>756</v>
      </c>
    </row>
    <row r="1622" spans="1:11" ht="12.5" customHeight="1" x14ac:dyDescent="0.25">
      <c r="A1622" s="5" t="s">
        <v>5894</v>
      </c>
      <c r="B1622" s="6" t="s">
        <v>4563</v>
      </c>
      <c r="C1622" s="6" t="s">
        <v>5815</v>
      </c>
      <c r="D1622" s="6" t="s">
        <v>5815</v>
      </c>
      <c r="E1622" s="6" t="s">
        <v>5895</v>
      </c>
      <c r="F1622" s="6" t="s">
        <v>5896</v>
      </c>
      <c r="G1622" s="9" t="s">
        <v>5897</v>
      </c>
      <c r="H1622" s="9" t="s">
        <v>18</v>
      </c>
      <c r="I1622" s="16" t="str">
        <f>VLOOKUP(F1622,[1]完整分类结果!$E:$G,3,0)</f>
        <v>化学原料及化学制品制造业</v>
      </c>
      <c r="J1622" s="16">
        <f>VLOOKUP(I1622,[2]行业排放因子!$A:$B,2,0)</f>
        <v>82.521245753925498</v>
      </c>
      <c r="K1622" s="9" t="s">
        <v>756</v>
      </c>
    </row>
    <row r="1623" spans="1:11" ht="12.5" customHeight="1" x14ac:dyDescent="0.25">
      <c r="A1623" s="5" t="s">
        <v>5898</v>
      </c>
      <c r="B1623" s="6" t="s">
        <v>4563</v>
      </c>
      <c r="C1623" s="6" t="s">
        <v>5815</v>
      </c>
      <c r="D1623" s="6" t="s">
        <v>5815</v>
      </c>
      <c r="E1623" s="6" t="s">
        <v>5899</v>
      </c>
      <c r="F1623" s="6" t="s">
        <v>5900</v>
      </c>
      <c r="G1623" s="9"/>
      <c r="H1623" s="9" t="s">
        <v>18</v>
      </c>
      <c r="I1623" s="16" t="str">
        <f>VLOOKUP(F1623,[1]完整分类结果!$E:$G,3,0)</f>
        <v>化学纤维制造业</v>
      </c>
      <c r="J1623" s="16">
        <f>VLOOKUP(I1623,[2]行业排放因子!$A:$B,2,0)</f>
        <v>0.54144355265712596</v>
      </c>
      <c r="K1623" s="9" t="s">
        <v>756</v>
      </c>
    </row>
    <row r="1624" spans="1:11" ht="12.5" customHeight="1" x14ac:dyDescent="0.25">
      <c r="A1624" s="5" t="s">
        <v>5901</v>
      </c>
      <c r="B1624" s="6" t="s">
        <v>4563</v>
      </c>
      <c r="C1624" s="6" t="s">
        <v>5902</v>
      </c>
      <c r="D1624" s="6" t="s">
        <v>5902</v>
      </c>
      <c r="E1624" s="6" t="s">
        <v>5903</v>
      </c>
      <c r="F1624" s="6" t="s">
        <v>5904</v>
      </c>
      <c r="G1624" s="9" t="s">
        <v>5905</v>
      </c>
      <c r="H1624" s="9" t="s">
        <v>18</v>
      </c>
      <c r="I1624" s="16" t="str">
        <f>VLOOKUP(F1624,[1]完整分类结果!$E:$G,3,0)</f>
        <v>橡胶制品业</v>
      </c>
      <c r="J1624" s="16">
        <f>VLOOKUP(I1624,[2]行业排放因子!$A:$B,2,0)</f>
        <v>1.0941039674442099</v>
      </c>
      <c r="K1624" s="9" t="s">
        <v>756</v>
      </c>
    </row>
    <row r="1625" spans="1:11" ht="12.5" customHeight="1" x14ac:dyDescent="0.25">
      <c r="A1625" s="5" t="s">
        <v>5906</v>
      </c>
      <c r="B1625" s="6" t="s">
        <v>4563</v>
      </c>
      <c r="C1625" s="6" t="s">
        <v>5902</v>
      </c>
      <c r="D1625" s="6" t="s">
        <v>5902</v>
      </c>
      <c r="E1625" s="6" t="s">
        <v>5907</v>
      </c>
      <c r="F1625" s="6" t="s">
        <v>5908</v>
      </c>
      <c r="G1625" s="9" t="s">
        <v>5909</v>
      </c>
      <c r="H1625" s="9" t="s">
        <v>18</v>
      </c>
      <c r="I1625" s="16" t="str">
        <f>VLOOKUP(F1625,[1]完整分类结果!$E:$G,3,0)</f>
        <v>橡胶制品业</v>
      </c>
      <c r="J1625" s="16">
        <f>VLOOKUP(I1625,[2]行业排放因子!$A:$B,2,0)</f>
        <v>1.0941039674442099</v>
      </c>
      <c r="K1625" s="9" t="s">
        <v>756</v>
      </c>
    </row>
    <row r="1626" spans="1:11" ht="12.5" customHeight="1" x14ac:dyDescent="0.25">
      <c r="A1626" s="5" t="s">
        <v>5910</v>
      </c>
      <c r="B1626" s="6" t="s">
        <v>4563</v>
      </c>
      <c r="C1626" s="6" t="s">
        <v>5902</v>
      </c>
      <c r="D1626" s="6" t="s">
        <v>5902</v>
      </c>
      <c r="E1626" s="6" t="s">
        <v>5911</v>
      </c>
      <c r="F1626" s="6" t="s">
        <v>5912</v>
      </c>
      <c r="G1626" s="9" t="s">
        <v>5913</v>
      </c>
      <c r="H1626" s="9" t="s">
        <v>18</v>
      </c>
      <c r="I1626" s="16" t="str">
        <f>VLOOKUP(F1626,[1]完整分类结果!$E:$G,3,0)</f>
        <v>橡胶制品业</v>
      </c>
      <c r="J1626" s="16">
        <f>VLOOKUP(I1626,[2]行业排放因子!$A:$B,2,0)</f>
        <v>1.0941039674442099</v>
      </c>
      <c r="K1626" s="9" t="s">
        <v>756</v>
      </c>
    </row>
    <row r="1627" spans="1:11" ht="12.5" customHeight="1" x14ac:dyDescent="0.25">
      <c r="A1627" s="5" t="s">
        <v>5914</v>
      </c>
      <c r="B1627" s="6" t="s">
        <v>4563</v>
      </c>
      <c r="C1627" s="6" t="s">
        <v>5902</v>
      </c>
      <c r="D1627" s="6" t="s">
        <v>5902</v>
      </c>
      <c r="E1627" s="6" t="s">
        <v>5915</v>
      </c>
      <c r="F1627" s="6" t="s">
        <v>5916</v>
      </c>
      <c r="G1627" s="9" t="s">
        <v>5917</v>
      </c>
      <c r="H1627" s="9" t="s">
        <v>18</v>
      </c>
      <c r="I1627" s="16" t="str">
        <f>VLOOKUP(F1627,[1]完整分类结果!$E:$G,3,0)</f>
        <v>橡胶制品业</v>
      </c>
      <c r="J1627" s="16">
        <f>VLOOKUP(I1627,[2]行业排放因子!$A:$B,2,0)</f>
        <v>1.0941039674442099</v>
      </c>
      <c r="K1627" s="9" t="s">
        <v>756</v>
      </c>
    </row>
    <row r="1628" spans="1:11" ht="12.5" customHeight="1" x14ac:dyDescent="0.25">
      <c r="A1628" s="5" t="s">
        <v>5918</v>
      </c>
      <c r="B1628" s="6" t="s">
        <v>4563</v>
      </c>
      <c r="C1628" s="6" t="s">
        <v>5902</v>
      </c>
      <c r="D1628" s="6" t="s">
        <v>5902</v>
      </c>
      <c r="E1628" s="6" t="s">
        <v>5919</v>
      </c>
      <c r="F1628" s="6" t="s">
        <v>5920</v>
      </c>
      <c r="G1628" s="9" t="s">
        <v>5921</v>
      </c>
      <c r="H1628" s="9" t="s">
        <v>18</v>
      </c>
      <c r="I1628" s="16" t="str">
        <f>VLOOKUP(F1628,[1]完整分类结果!$E:$G,3,0)</f>
        <v>橡胶制品业</v>
      </c>
      <c r="J1628" s="16">
        <f>VLOOKUP(I1628,[2]行业排放因子!$A:$B,2,0)</f>
        <v>1.0941039674442099</v>
      </c>
      <c r="K1628" s="9" t="s">
        <v>756</v>
      </c>
    </row>
    <row r="1629" spans="1:11" ht="12.5" customHeight="1" x14ac:dyDescent="0.25">
      <c r="A1629" s="5" t="s">
        <v>5922</v>
      </c>
      <c r="B1629" s="6" t="s">
        <v>4563</v>
      </c>
      <c r="C1629" s="6" t="s">
        <v>5902</v>
      </c>
      <c r="D1629" s="6" t="s">
        <v>5902</v>
      </c>
      <c r="E1629" s="6" t="s">
        <v>5923</v>
      </c>
      <c r="F1629" s="6" t="s">
        <v>5924</v>
      </c>
      <c r="G1629" s="9" t="s">
        <v>5925</v>
      </c>
      <c r="H1629" s="9" t="s">
        <v>18</v>
      </c>
      <c r="I1629" s="16" t="str">
        <f>VLOOKUP(F1629,[1]完整分类结果!$E:$G,3,0)</f>
        <v>橡胶制品业</v>
      </c>
      <c r="J1629" s="16">
        <f>VLOOKUP(I1629,[2]行业排放因子!$A:$B,2,0)</f>
        <v>1.0941039674442099</v>
      </c>
      <c r="K1629" s="9" t="s">
        <v>756</v>
      </c>
    </row>
    <row r="1630" spans="1:11" ht="12.5" customHeight="1" x14ac:dyDescent="0.25">
      <c r="A1630" s="5" t="s">
        <v>5926</v>
      </c>
      <c r="B1630" s="6" t="s">
        <v>4563</v>
      </c>
      <c r="C1630" s="6" t="s">
        <v>5902</v>
      </c>
      <c r="D1630" s="6" t="s">
        <v>5902</v>
      </c>
      <c r="E1630" s="6" t="s">
        <v>5927</v>
      </c>
      <c r="F1630" s="6" t="s">
        <v>5928</v>
      </c>
      <c r="G1630" s="9" t="s">
        <v>5929</v>
      </c>
      <c r="H1630" s="9" t="s">
        <v>18</v>
      </c>
      <c r="I1630" s="16" t="str">
        <f>VLOOKUP(F1630,[1]完整分类结果!$E:$G,3,0)</f>
        <v>橡胶制品业</v>
      </c>
      <c r="J1630" s="16">
        <f>VLOOKUP(I1630,[2]行业排放因子!$A:$B,2,0)</f>
        <v>1.0941039674442099</v>
      </c>
      <c r="K1630" s="9" t="s">
        <v>756</v>
      </c>
    </row>
    <row r="1631" spans="1:11" ht="12.5" customHeight="1" x14ac:dyDescent="0.25">
      <c r="A1631" s="5" t="s">
        <v>5930</v>
      </c>
      <c r="B1631" s="6" t="s">
        <v>4563</v>
      </c>
      <c r="C1631" s="6" t="s">
        <v>5902</v>
      </c>
      <c r="D1631" s="6" t="s">
        <v>5902</v>
      </c>
      <c r="E1631" s="6" t="s">
        <v>5931</v>
      </c>
      <c r="F1631" s="6" t="s">
        <v>5932</v>
      </c>
      <c r="G1631" s="9" t="s">
        <v>5933</v>
      </c>
      <c r="H1631" s="9" t="s">
        <v>18</v>
      </c>
      <c r="I1631" s="16" t="str">
        <f>VLOOKUP(F1631,[1]完整分类结果!$E:$G,3,0)</f>
        <v>橡胶制品业</v>
      </c>
      <c r="J1631" s="16">
        <f>VLOOKUP(I1631,[2]行业排放因子!$A:$B,2,0)</f>
        <v>1.0941039674442099</v>
      </c>
      <c r="K1631" s="9" t="s">
        <v>756</v>
      </c>
    </row>
    <row r="1632" spans="1:11" ht="12.5" customHeight="1" x14ac:dyDescent="0.25">
      <c r="A1632" s="5" t="s">
        <v>5934</v>
      </c>
      <c r="B1632" s="6" t="s">
        <v>4563</v>
      </c>
      <c r="C1632" s="6" t="s">
        <v>5902</v>
      </c>
      <c r="D1632" s="6" t="s">
        <v>5902</v>
      </c>
      <c r="E1632" s="6" t="s">
        <v>5935</v>
      </c>
      <c r="F1632" s="6" t="s">
        <v>5936</v>
      </c>
      <c r="G1632" s="9" t="s">
        <v>5937</v>
      </c>
      <c r="H1632" s="9" t="s">
        <v>18</v>
      </c>
      <c r="I1632" s="16" t="str">
        <f>VLOOKUP(F1632,[1]完整分类结果!$E:$G,3,0)</f>
        <v>橡胶制品业</v>
      </c>
      <c r="J1632" s="16">
        <f>VLOOKUP(I1632,[2]行业排放因子!$A:$B,2,0)</f>
        <v>1.0941039674442099</v>
      </c>
      <c r="K1632" s="9" t="s">
        <v>756</v>
      </c>
    </row>
    <row r="1633" spans="1:11" ht="12.5" customHeight="1" x14ac:dyDescent="0.25">
      <c r="A1633" s="5" t="s">
        <v>5938</v>
      </c>
      <c r="B1633" s="6" t="s">
        <v>4563</v>
      </c>
      <c r="C1633" s="6" t="s">
        <v>5902</v>
      </c>
      <c r="D1633" s="6" t="s">
        <v>5902</v>
      </c>
      <c r="E1633" s="6" t="s">
        <v>5939</v>
      </c>
      <c r="F1633" s="6" t="s">
        <v>5940</v>
      </c>
      <c r="G1633" s="9" t="s">
        <v>5941</v>
      </c>
      <c r="H1633" s="9" t="s">
        <v>18</v>
      </c>
      <c r="I1633" s="16" t="str">
        <f>VLOOKUP(F1633,[1]完整分类结果!$E:$G,3,0)</f>
        <v>橡胶制品业</v>
      </c>
      <c r="J1633" s="16">
        <f>VLOOKUP(I1633,[2]行业排放因子!$A:$B,2,0)</f>
        <v>1.0941039674442099</v>
      </c>
      <c r="K1633" s="9" t="s">
        <v>756</v>
      </c>
    </row>
    <row r="1634" spans="1:11" ht="12.5" customHeight="1" x14ac:dyDescent="0.25">
      <c r="A1634" s="5" t="s">
        <v>5942</v>
      </c>
      <c r="B1634" s="6" t="s">
        <v>4563</v>
      </c>
      <c r="C1634" s="6" t="s">
        <v>5902</v>
      </c>
      <c r="D1634" s="6" t="s">
        <v>5902</v>
      </c>
      <c r="E1634" s="6" t="s">
        <v>5943</v>
      </c>
      <c r="F1634" s="6" t="s">
        <v>5944</v>
      </c>
      <c r="G1634" s="9" t="s">
        <v>5945</v>
      </c>
      <c r="H1634" s="9" t="s">
        <v>18</v>
      </c>
      <c r="I1634" s="16" t="str">
        <f>VLOOKUP(F1634,[1]完整分类结果!$E:$G,3,0)</f>
        <v>橡胶制品业</v>
      </c>
      <c r="J1634" s="16">
        <f>VLOOKUP(I1634,[2]行业排放因子!$A:$B,2,0)</f>
        <v>1.0941039674442099</v>
      </c>
      <c r="K1634" s="9" t="s">
        <v>756</v>
      </c>
    </row>
    <row r="1635" spans="1:11" ht="12.5" customHeight="1" x14ac:dyDescent="0.25">
      <c r="A1635" s="5" t="s">
        <v>5946</v>
      </c>
      <c r="B1635" s="6" t="s">
        <v>4563</v>
      </c>
      <c r="C1635" s="6" t="s">
        <v>5902</v>
      </c>
      <c r="D1635" s="6" t="s">
        <v>5902</v>
      </c>
      <c r="E1635" s="6" t="s">
        <v>5947</v>
      </c>
      <c r="F1635" s="6" t="s">
        <v>5948</v>
      </c>
      <c r="G1635" s="9" t="s">
        <v>5949</v>
      </c>
      <c r="H1635" s="9" t="s">
        <v>18</v>
      </c>
      <c r="I1635" s="16" t="str">
        <f>VLOOKUP(F1635,[1]完整分类结果!$E:$G,3,0)</f>
        <v>橡胶制品业</v>
      </c>
      <c r="J1635" s="16">
        <f>VLOOKUP(I1635,[2]行业排放因子!$A:$B,2,0)</f>
        <v>1.0941039674442099</v>
      </c>
      <c r="K1635" s="9" t="s">
        <v>756</v>
      </c>
    </row>
    <row r="1636" spans="1:11" ht="12.5" customHeight="1" x14ac:dyDescent="0.25">
      <c r="A1636" s="5" t="s">
        <v>5950</v>
      </c>
      <c r="B1636" s="6" t="s">
        <v>4563</v>
      </c>
      <c r="C1636" s="6" t="s">
        <v>5902</v>
      </c>
      <c r="D1636" s="6" t="s">
        <v>5902</v>
      </c>
      <c r="E1636" s="6" t="s">
        <v>5951</v>
      </c>
      <c r="F1636" s="6" t="s">
        <v>5952</v>
      </c>
      <c r="G1636" s="9" t="s">
        <v>5953</v>
      </c>
      <c r="H1636" s="9" t="s">
        <v>18</v>
      </c>
      <c r="I1636" s="16" t="str">
        <f>VLOOKUP(F1636,[1]完整分类结果!$E:$G,3,0)</f>
        <v>橡胶制品业</v>
      </c>
      <c r="J1636" s="16">
        <f>VLOOKUP(I1636,[2]行业排放因子!$A:$B,2,0)</f>
        <v>1.0941039674442099</v>
      </c>
      <c r="K1636" s="9" t="s">
        <v>756</v>
      </c>
    </row>
    <row r="1637" spans="1:11" ht="12.5" customHeight="1" x14ac:dyDescent="0.25">
      <c r="A1637" s="5" t="s">
        <v>5954</v>
      </c>
      <c r="B1637" s="6" t="s">
        <v>4563</v>
      </c>
      <c r="C1637" s="6" t="s">
        <v>5902</v>
      </c>
      <c r="D1637" s="6" t="s">
        <v>5902</v>
      </c>
      <c r="E1637" s="6" t="s">
        <v>5955</v>
      </c>
      <c r="F1637" s="6" t="s">
        <v>5956</v>
      </c>
      <c r="G1637" s="9" t="s">
        <v>5957</v>
      </c>
      <c r="H1637" s="9" t="s">
        <v>18</v>
      </c>
      <c r="I1637" s="16" t="str">
        <f>VLOOKUP(F1637,[1]完整分类结果!$E:$G,3,0)</f>
        <v>橡胶制品业</v>
      </c>
      <c r="J1637" s="16">
        <f>VLOOKUP(I1637,[2]行业排放因子!$A:$B,2,0)</f>
        <v>1.0941039674442099</v>
      </c>
      <c r="K1637" s="9" t="s">
        <v>756</v>
      </c>
    </row>
    <row r="1638" spans="1:11" ht="12.5" customHeight="1" x14ac:dyDescent="0.25">
      <c r="A1638" s="5" t="s">
        <v>5958</v>
      </c>
      <c r="B1638" s="6" t="s">
        <v>4563</v>
      </c>
      <c r="C1638" s="6" t="s">
        <v>5902</v>
      </c>
      <c r="D1638" s="6" t="s">
        <v>5902</v>
      </c>
      <c r="E1638" s="6" t="s">
        <v>5959</v>
      </c>
      <c r="F1638" s="6" t="s">
        <v>5960</v>
      </c>
      <c r="G1638" s="9" t="s">
        <v>5961</v>
      </c>
      <c r="H1638" s="9" t="s">
        <v>18</v>
      </c>
      <c r="I1638" s="16" t="str">
        <f>VLOOKUP(F1638,[1]完整分类结果!$E:$G,3,0)</f>
        <v>橡胶制品业</v>
      </c>
      <c r="J1638" s="16">
        <f>VLOOKUP(I1638,[2]行业排放因子!$A:$B,2,0)</f>
        <v>1.0941039674442099</v>
      </c>
      <c r="K1638" s="9" t="s">
        <v>756</v>
      </c>
    </row>
    <row r="1639" spans="1:11" ht="12.5" customHeight="1" x14ac:dyDescent="0.25">
      <c r="A1639" s="5" t="s">
        <v>5962</v>
      </c>
      <c r="B1639" s="6" t="s">
        <v>4563</v>
      </c>
      <c r="C1639" s="6" t="s">
        <v>5902</v>
      </c>
      <c r="D1639" s="6" t="s">
        <v>5902</v>
      </c>
      <c r="E1639" s="6" t="s">
        <v>5963</v>
      </c>
      <c r="F1639" s="6" t="s">
        <v>5964</v>
      </c>
      <c r="G1639" s="9" t="s">
        <v>5965</v>
      </c>
      <c r="H1639" s="9" t="s">
        <v>18</v>
      </c>
      <c r="I1639" s="16" t="str">
        <f>VLOOKUP(F1639,[1]完整分类结果!$E:$G,3,0)</f>
        <v>橡胶制品业</v>
      </c>
      <c r="J1639" s="16">
        <f>VLOOKUP(I1639,[2]行业排放因子!$A:$B,2,0)</f>
        <v>1.0941039674442099</v>
      </c>
      <c r="K1639" s="9" t="s">
        <v>756</v>
      </c>
    </row>
    <row r="1640" spans="1:11" ht="12.5" customHeight="1" x14ac:dyDescent="0.25">
      <c r="A1640" s="5" t="s">
        <v>5966</v>
      </c>
      <c r="B1640" s="6" t="s">
        <v>4563</v>
      </c>
      <c r="C1640" s="6" t="s">
        <v>5902</v>
      </c>
      <c r="D1640" s="6" t="s">
        <v>5902</v>
      </c>
      <c r="E1640" s="6" t="s">
        <v>5967</v>
      </c>
      <c r="F1640" s="6" t="s">
        <v>5968</v>
      </c>
      <c r="G1640" s="9" t="s">
        <v>5969</v>
      </c>
      <c r="H1640" s="9" t="s">
        <v>18</v>
      </c>
      <c r="I1640" s="16" t="str">
        <f>VLOOKUP(F1640,[1]完整分类结果!$E:$G,3,0)</f>
        <v>橡胶制品业</v>
      </c>
      <c r="J1640" s="16">
        <f>VLOOKUP(I1640,[2]行业排放因子!$A:$B,2,0)</f>
        <v>1.0941039674442099</v>
      </c>
      <c r="K1640" s="9" t="s">
        <v>756</v>
      </c>
    </row>
    <row r="1641" spans="1:11" ht="12.5" customHeight="1" x14ac:dyDescent="0.25">
      <c r="A1641" s="5" t="s">
        <v>5970</v>
      </c>
      <c r="B1641" s="6" t="s">
        <v>4563</v>
      </c>
      <c r="C1641" s="6" t="s">
        <v>5902</v>
      </c>
      <c r="D1641" s="6" t="s">
        <v>5902</v>
      </c>
      <c r="E1641" s="6" t="s">
        <v>5971</v>
      </c>
      <c r="F1641" s="6" t="s">
        <v>5972</v>
      </c>
      <c r="G1641" s="9" t="s">
        <v>5973</v>
      </c>
      <c r="H1641" s="9" t="s">
        <v>18</v>
      </c>
      <c r="I1641" s="16" t="str">
        <f>VLOOKUP(F1641,[1]完整分类结果!$E:$G,3,0)</f>
        <v>橡胶制品业</v>
      </c>
      <c r="J1641" s="16">
        <f>VLOOKUP(I1641,[2]行业排放因子!$A:$B,2,0)</f>
        <v>1.0941039674442099</v>
      </c>
      <c r="K1641" s="9" t="s">
        <v>756</v>
      </c>
    </row>
    <row r="1642" spans="1:11" ht="12.5" customHeight="1" x14ac:dyDescent="0.25">
      <c r="A1642" s="5" t="s">
        <v>5974</v>
      </c>
      <c r="B1642" s="6" t="s">
        <v>4563</v>
      </c>
      <c r="C1642" s="6" t="s">
        <v>5902</v>
      </c>
      <c r="D1642" s="6" t="s">
        <v>5902</v>
      </c>
      <c r="E1642" s="6" t="s">
        <v>5975</v>
      </c>
      <c r="F1642" s="6" t="s">
        <v>5976</v>
      </c>
      <c r="G1642" s="9" t="s">
        <v>5977</v>
      </c>
      <c r="H1642" s="9" t="s">
        <v>18</v>
      </c>
      <c r="I1642" s="16" t="str">
        <f>VLOOKUP(F1642,[1]完整分类结果!$E:$G,3,0)</f>
        <v>橡胶制品业</v>
      </c>
      <c r="J1642" s="16">
        <f>VLOOKUP(I1642,[2]行业排放因子!$A:$B,2,0)</f>
        <v>1.0941039674442099</v>
      </c>
      <c r="K1642" s="9" t="s">
        <v>756</v>
      </c>
    </row>
    <row r="1643" spans="1:11" ht="12.5" customHeight="1" x14ac:dyDescent="0.25">
      <c r="A1643" s="5" t="s">
        <v>5978</v>
      </c>
      <c r="B1643" s="6" t="s">
        <v>4563</v>
      </c>
      <c r="C1643" s="6" t="s">
        <v>5902</v>
      </c>
      <c r="D1643" s="6" t="s">
        <v>5902</v>
      </c>
      <c r="E1643" s="6" t="s">
        <v>5979</v>
      </c>
      <c r="F1643" s="6" t="s">
        <v>5980</v>
      </c>
      <c r="G1643" s="9" t="s">
        <v>5981</v>
      </c>
      <c r="H1643" s="9" t="s">
        <v>18</v>
      </c>
      <c r="I1643" s="16" t="str">
        <f>VLOOKUP(F1643,[1]完整分类结果!$E:$G,3,0)</f>
        <v>橡胶制品业</v>
      </c>
      <c r="J1643" s="16">
        <f>VLOOKUP(I1643,[2]行业排放因子!$A:$B,2,0)</f>
        <v>1.0941039674442099</v>
      </c>
      <c r="K1643" s="9" t="s">
        <v>756</v>
      </c>
    </row>
    <row r="1644" spans="1:11" ht="12.5" customHeight="1" x14ac:dyDescent="0.25">
      <c r="A1644" s="5" t="s">
        <v>5982</v>
      </c>
      <c r="B1644" s="6" t="s">
        <v>4563</v>
      </c>
      <c r="C1644" s="6" t="s">
        <v>5902</v>
      </c>
      <c r="D1644" s="6" t="s">
        <v>5902</v>
      </c>
      <c r="E1644" s="6" t="s">
        <v>5983</v>
      </c>
      <c r="F1644" s="6" t="s">
        <v>5984</v>
      </c>
      <c r="G1644" s="9" t="s">
        <v>5985</v>
      </c>
      <c r="H1644" s="9" t="s">
        <v>18</v>
      </c>
      <c r="I1644" s="16" t="str">
        <f>VLOOKUP(F1644,[1]完整分类结果!$E:$G,3,0)</f>
        <v>橡胶制品业</v>
      </c>
      <c r="J1644" s="16">
        <f>VLOOKUP(I1644,[2]行业排放因子!$A:$B,2,0)</f>
        <v>1.0941039674442099</v>
      </c>
      <c r="K1644" s="9" t="s">
        <v>756</v>
      </c>
    </row>
    <row r="1645" spans="1:11" ht="12.5" customHeight="1" x14ac:dyDescent="0.25">
      <c r="A1645" s="5" t="s">
        <v>5986</v>
      </c>
      <c r="B1645" s="6" t="s">
        <v>4563</v>
      </c>
      <c r="C1645" s="6" t="s">
        <v>5902</v>
      </c>
      <c r="D1645" s="6" t="s">
        <v>5902</v>
      </c>
      <c r="E1645" s="6" t="s">
        <v>5987</v>
      </c>
      <c r="F1645" s="6" t="s">
        <v>5988</v>
      </c>
      <c r="G1645" s="9" t="s">
        <v>5989</v>
      </c>
      <c r="H1645" s="9" t="s">
        <v>18</v>
      </c>
      <c r="I1645" s="16" t="str">
        <f>VLOOKUP(F1645,[1]完整分类结果!$E:$G,3,0)</f>
        <v>橡胶制品业</v>
      </c>
      <c r="J1645" s="16">
        <f>VLOOKUP(I1645,[2]行业排放因子!$A:$B,2,0)</f>
        <v>1.0941039674442099</v>
      </c>
      <c r="K1645" s="9" t="s">
        <v>756</v>
      </c>
    </row>
    <row r="1646" spans="1:11" ht="12.5" customHeight="1" x14ac:dyDescent="0.25">
      <c r="A1646" s="5" t="s">
        <v>5990</v>
      </c>
      <c r="B1646" s="6" t="s">
        <v>4563</v>
      </c>
      <c r="C1646" s="6" t="s">
        <v>5902</v>
      </c>
      <c r="D1646" s="6" t="s">
        <v>5902</v>
      </c>
      <c r="E1646" s="6" t="s">
        <v>5991</v>
      </c>
      <c r="F1646" s="6" t="s">
        <v>5992</v>
      </c>
      <c r="G1646" s="9" t="s">
        <v>5993</v>
      </c>
      <c r="H1646" s="9" t="s">
        <v>18</v>
      </c>
      <c r="I1646" s="16" t="str">
        <f>VLOOKUP(F1646,[1]完整分类结果!$E:$G,3,0)</f>
        <v>橡胶制品业</v>
      </c>
      <c r="J1646" s="16">
        <f>VLOOKUP(I1646,[2]行业排放因子!$A:$B,2,0)</f>
        <v>1.0941039674442099</v>
      </c>
      <c r="K1646" s="9" t="s">
        <v>756</v>
      </c>
    </row>
    <row r="1647" spans="1:11" ht="12.5" customHeight="1" x14ac:dyDescent="0.25">
      <c r="A1647" s="5" t="s">
        <v>5994</v>
      </c>
      <c r="B1647" s="6" t="s">
        <v>4563</v>
      </c>
      <c r="C1647" s="6" t="s">
        <v>5902</v>
      </c>
      <c r="D1647" s="6" t="s">
        <v>5902</v>
      </c>
      <c r="E1647" s="6" t="s">
        <v>5995</v>
      </c>
      <c r="F1647" s="6" t="s">
        <v>5996</v>
      </c>
      <c r="G1647" s="9" t="s">
        <v>5997</v>
      </c>
      <c r="H1647" s="9" t="s">
        <v>18</v>
      </c>
      <c r="I1647" s="16" t="str">
        <f>VLOOKUP(F1647,[1]完整分类结果!$E:$G,3,0)</f>
        <v>橡胶制品业</v>
      </c>
      <c r="J1647" s="16">
        <f>VLOOKUP(I1647,[2]行业排放因子!$A:$B,2,0)</f>
        <v>1.0941039674442099</v>
      </c>
      <c r="K1647" s="9" t="s">
        <v>756</v>
      </c>
    </row>
    <row r="1648" spans="1:11" ht="12.5" customHeight="1" x14ac:dyDescent="0.25">
      <c r="A1648" s="5" t="s">
        <v>5998</v>
      </c>
      <c r="B1648" s="6" t="s">
        <v>4563</v>
      </c>
      <c r="C1648" s="6" t="s">
        <v>5902</v>
      </c>
      <c r="D1648" s="6" t="s">
        <v>5902</v>
      </c>
      <c r="E1648" s="6" t="s">
        <v>5999</v>
      </c>
      <c r="F1648" s="6" t="s">
        <v>6000</v>
      </c>
      <c r="G1648" s="9" t="s">
        <v>6001</v>
      </c>
      <c r="H1648" s="9" t="s">
        <v>18</v>
      </c>
      <c r="I1648" s="16" t="str">
        <f>VLOOKUP(F1648,[1]完整分类结果!$E:$G,3,0)</f>
        <v>橡胶制品业</v>
      </c>
      <c r="J1648" s="16">
        <f>VLOOKUP(I1648,[2]行业排放因子!$A:$B,2,0)</f>
        <v>1.0941039674442099</v>
      </c>
      <c r="K1648" s="9" t="s">
        <v>756</v>
      </c>
    </row>
    <row r="1649" spans="1:11" ht="12.5" customHeight="1" x14ac:dyDescent="0.25">
      <c r="A1649" s="5" t="s">
        <v>6002</v>
      </c>
      <c r="B1649" s="6" t="s">
        <v>4563</v>
      </c>
      <c r="C1649" s="6" t="s">
        <v>5902</v>
      </c>
      <c r="D1649" s="6" t="s">
        <v>5902</v>
      </c>
      <c r="E1649" s="6" t="s">
        <v>6003</v>
      </c>
      <c r="F1649" s="6" t="s">
        <v>6004</v>
      </c>
      <c r="G1649" s="9"/>
      <c r="H1649" s="9" t="s">
        <v>18</v>
      </c>
      <c r="I1649" s="16" t="str">
        <f>VLOOKUP(F1649,[1]完整分类结果!$E:$G,3,0)</f>
        <v>橡胶制品业</v>
      </c>
      <c r="J1649" s="16">
        <f>VLOOKUP(I1649,[2]行业排放因子!$A:$B,2,0)</f>
        <v>1.0941039674442099</v>
      </c>
      <c r="K1649" s="9" t="s">
        <v>756</v>
      </c>
    </row>
    <row r="1650" spans="1:11" ht="12.5" customHeight="1" x14ac:dyDescent="0.25">
      <c r="A1650" s="5" t="s">
        <v>6005</v>
      </c>
      <c r="B1650" s="6" t="s">
        <v>4563</v>
      </c>
      <c r="C1650" s="6" t="s">
        <v>6006</v>
      </c>
      <c r="D1650" s="6" t="s">
        <v>6007</v>
      </c>
      <c r="E1650" s="6" t="s">
        <v>6008</v>
      </c>
      <c r="F1650" s="6" t="s">
        <v>6009</v>
      </c>
      <c r="G1650" s="9" t="s">
        <v>6010</v>
      </c>
      <c r="H1650" s="9" t="s">
        <v>18</v>
      </c>
      <c r="I1650" s="16" t="str">
        <f>VLOOKUP(F1650,[1]完整分类结果!$E:$G,3,0)</f>
        <v>塑料制品业</v>
      </c>
      <c r="J1650" s="16">
        <f>VLOOKUP(I1650,[2]行业排放因子!$A:$B,2,0)</f>
        <v>1.0941039674442099</v>
      </c>
      <c r="K1650" s="9" t="s">
        <v>756</v>
      </c>
    </row>
    <row r="1651" spans="1:11" ht="12.5" customHeight="1" x14ac:dyDescent="0.25">
      <c r="A1651" s="5" t="s">
        <v>6011</v>
      </c>
      <c r="B1651" s="6" t="s">
        <v>4563</v>
      </c>
      <c r="C1651" s="6" t="s">
        <v>6006</v>
      </c>
      <c r="D1651" s="6" t="s">
        <v>6007</v>
      </c>
      <c r="E1651" s="6" t="s">
        <v>6012</v>
      </c>
      <c r="F1651" s="6" t="s">
        <v>6013</v>
      </c>
      <c r="G1651" s="9"/>
      <c r="H1651" s="9" t="s">
        <v>18</v>
      </c>
      <c r="I1651" s="16" t="str">
        <f>VLOOKUP(F1651,[1]完整分类结果!$E:$G,3,0)</f>
        <v>塑料制品业</v>
      </c>
      <c r="J1651" s="16">
        <f>VLOOKUP(I1651,[2]行业排放因子!$A:$B,2,0)</f>
        <v>1.0941039674442099</v>
      </c>
      <c r="K1651" s="9" t="s">
        <v>756</v>
      </c>
    </row>
    <row r="1652" spans="1:11" ht="12.5" customHeight="1" x14ac:dyDescent="0.25">
      <c r="A1652" s="5" t="s">
        <v>6014</v>
      </c>
      <c r="B1652" s="6" t="s">
        <v>4563</v>
      </c>
      <c r="C1652" s="6" t="s">
        <v>6006</v>
      </c>
      <c r="D1652" s="6" t="s">
        <v>6007</v>
      </c>
      <c r="E1652" s="6" t="s">
        <v>6015</v>
      </c>
      <c r="F1652" s="6" t="s">
        <v>6016</v>
      </c>
      <c r="G1652" s="9" t="s">
        <v>6017</v>
      </c>
      <c r="H1652" s="9" t="s">
        <v>18</v>
      </c>
      <c r="I1652" s="16" t="str">
        <f>VLOOKUP(F1652,[1]完整分类结果!$E:$G,3,0)</f>
        <v>塑料制品业</v>
      </c>
      <c r="J1652" s="16">
        <f>VLOOKUP(I1652,[2]行业排放因子!$A:$B,2,0)</f>
        <v>1.0941039674442099</v>
      </c>
      <c r="K1652" s="9" t="s">
        <v>756</v>
      </c>
    </row>
    <row r="1653" spans="1:11" ht="12.5" customHeight="1" x14ac:dyDescent="0.25">
      <c r="A1653" s="5" t="s">
        <v>6018</v>
      </c>
      <c r="B1653" s="6" t="s">
        <v>4563</v>
      </c>
      <c r="C1653" s="6" t="s">
        <v>6006</v>
      </c>
      <c r="D1653" s="6" t="s">
        <v>6007</v>
      </c>
      <c r="E1653" s="6" t="s">
        <v>6019</v>
      </c>
      <c r="F1653" s="6" t="s">
        <v>6020</v>
      </c>
      <c r="G1653" s="9" t="s">
        <v>6021</v>
      </c>
      <c r="H1653" s="9" t="s">
        <v>18</v>
      </c>
      <c r="I1653" s="16" t="str">
        <f>VLOOKUP(F1653,[1]完整分类结果!$E:$G,3,0)</f>
        <v>塑料制品业</v>
      </c>
      <c r="J1653" s="16">
        <f>VLOOKUP(I1653,[2]行业排放因子!$A:$B,2,0)</f>
        <v>1.0941039674442099</v>
      </c>
      <c r="K1653" s="9" t="s">
        <v>756</v>
      </c>
    </row>
    <row r="1654" spans="1:11" ht="12.5" customHeight="1" x14ac:dyDescent="0.25">
      <c r="A1654" s="5" t="s">
        <v>6022</v>
      </c>
      <c r="B1654" s="6" t="s">
        <v>4563</v>
      </c>
      <c r="C1654" s="6" t="s">
        <v>6006</v>
      </c>
      <c r="D1654" s="6" t="s">
        <v>6007</v>
      </c>
      <c r="E1654" s="6" t="s">
        <v>6023</v>
      </c>
      <c r="F1654" s="6" t="s">
        <v>6024</v>
      </c>
      <c r="G1654" s="9" t="s">
        <v>6025</v>
      </c>
      <c r="H1654" s="9" t="s">
        <v>18</v>
      </c>
      <c r="I1654" s="16" t="str">
        <f>VLOOKUP(F1654,[1]完整分类结果!$E:$G,3,0)</f>
        <v>塑料制品业</v>
      </c>
      <c r="J1654" s="16">
        <f>VLOOKUP(I1654,[2]行业排放因子!$A:$B,2,0)</f>
        <v>1.0941039674442099</v>
      </c>
      <c r="K1654" s="9" t="s">
        <v>756</v>
      </c>
    </row>
    <row r="1655" spans="1:11" ht="12.5" customHeight="1" x14ac:dyDescent="0.25">
      <c r="A1655" s="5" t="s">
        <v>6026</v>
      </c>
      <c r="B1655" s="6" t="s">
        <v>4563</v>
      </c>
      <c r="C1655" s="6" t="s">
        <v>6006</v>
      </c>
      <c r="D1655" s="6" t="s">
        <v>6007</v>
      </c>
      <c r="E1655" s="6" t="s">
        <v>6027</v>
      </c>
      <c r="F1655" s="6" t="s">
        <v>6028</v>
      </c>
      <c r="G1655" s="9" t="s">
        <v>6029</v>
      </c>
      <c r="H1655" s="9" t="s">
        <v>18</v>
      </c>
      <c r="I1655" s="16" t="str">
        <f>VLOOKUP(F1655,[1]完整分类结果!$E:$G,3,0)</f>
        <v>塑料制品业</v>
      </c>
      <c r="J1655" s="16">
        <f>VLOOKUP(I1655,[2]行业排放因子!$A:$B,2,0)</f>
        <v>1.0941039674442099</v>
      </c>
      <c r="K1655" s="9" t="s">
        <v>756</v>
      </c>
    </row>
    <row r="1656" spans="1:11" ht="12.5" customHeight="1" x14ac:dyDescent="0.25">
      <c r="A1656" s="5" t="s">
        <v>6030</v>
      </c>
      <c r="B1656" s="6" t="s">
        <v>4563</v>
      </c>
      <c r="C1656" s="6" t="s">
        <v>6006</v>
      </c>
      <c r="D1656" s="6" t="s">
        <v>6007</v>
      </c>
      <c r="E1656" s="6" t="s">
        <v>6031</v>
      </c>
      <c r="F1656" s="6" t="s">
        <v>6032</v>
      </c>
      <c r="G1656" s="9" t="s">
        <v>6033</v>
      </c>
      <c r="H1656" s="9" t="s">
        <v>18</v>
      </c>
      <c r="I1656" s="16" t="str">
        <f>VLOOKUP(F1656,[1]完整分类结果!$E:$G,3,0)</f>
        <v>塑料制品业</v>
      </c>
      <c r="J1656" s="16">
        <f>VLOOKUP(I1656,[2]行业排放因子!$A:$B,2,0)</f>
        <v>1.0941039674442099</v>
      </c>
      <c r="K1656" s="9" t="s">
        <v>756</v>
      </c>
    </row>
    <row r="1657" spans="1:11" ht="12.5" customHeight="1" x14ac:dyDescent="0.25">
      <c r="A1657" s="5" t="s">
        <v>6034</v>
      </c>
      <c r="B1657" s="6" t="s">
        <v>4563</v>
      </c>
      <c r="C1657" s="6" t="s">
        <v>6006</v>
      </c>
      <c r="D1657" s="6" t="s">
        <v>6007</v>
      </c>
      <c r="E1657" s="6" t="s">
        <v>6035</v>
      </c>
      <c r="F1657" s="6" t="s">
        <v>6036</v>
      </c>
      <c r="G1657" s="9" t="s">
        <v>6037</v>
      </c>
      <c r="H1657" s="9" t="s">
        <v>18</v>
      </c>
      <c r="I1657" s="16" t="str">
        <f>VLOOKUP(F1657,[1]完整分类结果!$E:$G,3,0)</f>
        <v>塑料制品业</v>
      </c>
      <c r="J1657" s="16">
        <f>VLOOKUP(I1657,[2]行业排放因子!$A:$B,2,0)</f>
        <v>1.0941039674442099</v>
      </c>
      <c r="K1657" s="9" t="s">
        <v>756</v>
      </c>
    </row>
    <row r="1658" spans="1:11" ht="12.5" customHeight="1" x14ac:dyDescent="0.25">
      <c r="A1658" s="5" t="s">
        <v>6038</v>
      </c>
      <c r="B1658" s="6" t="s">
        <v>4563</v>
      </c>
      <c r="C1658" s="6" t="s">
        <v>6006</v>
      </c>
      <c r="D1658" s="6" t="s">
        <v>6007</v>
      </c>
      <c r="E1658" s="6" t="s">
        <v>6039</v>
      </c>
      <c r="F1658" s="6" t="s">
        <v>6040</v>
      </c>
      <c r="G1658" s="9" t="s">
        <v>6041</v>
      </c>
      <c r="H1658" s="9" t="s">
        <v>18</v>
      </c>
      <c r="I1658" s="16" t="str">
        <f>VLOOKUP(F1658,[1]完整分类结果!$E:$G,3,0)</f>
        <v>塑料制品业</v>
      </c>
      <c r="J1658" s="16">
        <f>VLOOKUP(I1658,[2]行业排放因子!$A:$B,2,0)</f>
        <v>1.0941039674442099</v>
      </c>
      <c r="K1658" s="9" t="s">
        <v>756</v>
      </c>
    </row>
    <row r="1659" spans="1:11" ht="12.5" customHeight="1" x14ac:dyDescent="0.25">
      <c r="A1659" s="5" t="s">
        <v>6042</v>
      </c>
      <c r="B1659" s="6" t="s">
        <v>4563</v>
      </c>
      <c r="C1659" s="6" t="s">
        <v>6006</v>
      </c>
      <c r="D1659" s="6" t="s">
        <v>6007</v>
      </c>
      <c r="E1659" s="6" t="s">
        <v>6043</v>
      </c>
      <c r="F1659" s="6" t="s">
        <v>6044</v>
      </c>
      <c r="G1659" s="9" t="s">
        <v>6045</v>
      </c>
      <c r="H1659" s="9" t="s">
        <v>18</v>
      </c>
      <c r="I1659" s="16" t="str">
        <f>VLOOKUP(F1659,[1]完整分类结果!$E:$G,3,0)</f>
        <v>塑料制品业</v>
      </c>
      <c r="J1659" s="16">
        <f>VLOOKUP(I1659,[2]行业排放因子!$A:$B,2,0)</f>
        <v>1.0941039674442099</v>
      </c>
      <c r="K1659" s="9" t="s">
        <v>756</v>
      </c>
    </row>
    <row r="1660" spans="1:11" ht="12.5" customHeight="1" x14ac:dyDescent="0.25">
      <c r="A1660" s="5" t="s">
        <v>6046</v>
      </c>
      <c r="B1660" s="6" t="s">
        <v>4563</v>
      </c>
      <c r="C1660" s="6" t="s">
        <v>6006</v>
      </c>
      <c r="D1660" s="6" t="s">
        <v>6007</v>
      </c>
      <c r="E1660" s="6" t="s">
        <v>6047</v>
      </c>
      <c r="F1660" s="6" t="s">
        <v>6048</v>
      </c>
      <c r="G1660" s="9" t="s">
        <v>6049</v>
      </c>
      <c r="H1660" s="9" t="s">
        <v>18</v>
      </c>
      <c r="I1660" s="16" t="str">
        <f>VLOOKUP(F1660,[1]完整分类结果!$E:$G,3,0)</f>
        <v>塑料制品业</v>
      </c>
      <c r="J1660" s="16">
        <f>VLOOKUP(I1660,[2]行业排放因子!$A:$B,2,0)</f>
        <v>1.0941039674442099</v>
      </c>
      <c r="K1660" s="9" t="s">
        <v>756</v>
      </c>
    </row>
    <row r="1661" spans="1:11" ht="12.5" customHeight="1" x14ac:dyDescent="0.25">
      <c r="A1661" s="5" t="s">
        <v>6050</v>
      </c>
      <c r="B1661" s="6" t="s">
        <v>4563</v>
      </c>
      <c r="C1661" s="6" t="s">
        <v>6006</v>
      </c>
      <c r="D1661" s="6" t="s">
        <v>6007</v>
      </c>
      <c r="E1661" s="6" t="s">
        <v>6051</v>
      </c>
      <c r="F1661" s="6" t="s">
        <v>6052</v>
      </c>
      <c r="G1661" s="9" t="s">
        <v>6053</v>
      </c>
      <c r="H1661" s="9" t="s">
        <v>18</v>
      </c>
      <c r="I1661" s="16" t="str">
        <f>VLOOKUP(F1661,[1]完整分类结果!$E:$G,3,0)</f>
        <v>塑料制品业</v>
      </c>
      <c r="J1661" s="16">
        <f>VLOOKUP(I1661,[2]行业排放因子!$A:$B,2,0)</f>
        <v>1.0941039674442099</v>
      </c>
      <c r="K1661" s="9" t="s">
        <v>756</v>
      </c>
    </row>
    <row r="1662" spans="1:11" ht="12.5" customHeight="1" x14ac:dyDescent="0.25">
      <c r="A1662" s="5" t="s">
        <v>6054</v>
      </c>
      <c r="B1662" s="6" t="s">
        <v>4563</v>
      </c>
      <c r="C1662" s="6" t="s">
        <v>6006</v>
      </c>
      <c r="D1662" s="6" t="s">
        <v>6007</v>
      </c>
      <c r="E1662" s="6" t="s">
        <v>6055</v>
      </c>
      <c r="F1662" s="6" t="s">
        <v>6056</v>
      </c>
      <c r="G1662" s="9" t="s">
        <v>6057</v>
      </c>
      <c r="H1662" s="9" t="s">
        <v>18</v>
      </c>
      <c r="I1662" s="16" t="str">
        <f>VLOOKUP(F1662,[1]完整分类结果!$E:$G,3,0)</f>
        <v>塑料制品业</v>
      </c>
      <c r="J1662" s="16">
        <f>VLOOKUP(I1662,[2]行业排放因子!$A:$B,2,0)</f>
        <v>1.0941039674442099</v>
      </c>
      <c r="K1662" s="9" t="s">
        <v>756</v>
      </c>
    </row>
    <row r="1663" spans="1:11" ht="12.5" customHeight="1" x14ac:dyDescent="0.25">
      <c r="A1663" s="5" t="s">
        <v>6058</v>
      </c>
      <c r="B1663" s="6" t="s">
        <v>4563</v>
      </c>
      <c r="C1663" s="6" t="s">
        <v>6006</v>
      </c>
      <c r="D1663" s="6" t="s">
        <v>6007</v>
      </c>
      <c r="E1663" s="6" t="s">
        <v>6059</v>
      </c>
      <c r="F1663" s="6" t="s">
        <v>6060</v>
      </c>
      <c r="G1663" s="9" t="s">
        <v>6061</v>
      </c>
      <c r="H1663" s="9" t="s">
        <v>18</v>
      </c>
      <c r="I1663" s="16" t="str">
        <f>VLOOKUP(F1663,[1]完整分类结果!$E:$G,3,0)</f>
        <v>塑料制品业</v>
      </c>
      <c r="J1663" s="16">
        <f>VLOOKUP(I1663,[2]行业排放因子!$A:$B,2,0)</f>
        <v>1.0941039674442099</v>
      </c>
      <c r="K1663" s="9" t="s">
        <v>756</v>
      </c>
    </row>
    <row r="1664" spans="1:11" ht="12.5" customHeight="1" x14ac:dyDescent="0.25">
      <c r="A1664" s="5" t="s">
        <v>6062</v>
      </c>
      <c r="B1664" s="6" t="s">
        <v>4563</v>
      </c>
      <c r="C1664" s="6" t="s">
        <v>6006</v>
      </c>
      <c r="D1664" s="6" t="s">
        <v>6007</v>
      </c>
      <c r="E1664" s="6" t="s">
        <v>6063</v>
      </c>
      <c r="F1664" s="6" t="s">
        <v>6064</v>
      </c>
      <c r="G1664" s="9" t="s">
        <v>6065</v>
      </c>
      <c r="H1664" s="9" t="s">
        <v>18</v>
      </c>
      <c r="I1664" s="16" t="str">
        <f>VLOOKUP(F1664,[1]完整分类结果!$E:$G,3,0)</f>
        <v>塑料制品业</v>
      </c>
      <c r="J1664" s="16">
        <f>VLOOKUP(I1664,[2]行业排放因子!$A:$B,2,0)</f>
        <v>1.0941039674442099</v>
      </c>
      <c r="K1664" s="9" t="s">
        <v>756</v>
      </c>
    </row>
    <row r="1665" spans="1:11" ht="12.5" customHeight="1" x14ac:dyDescent="0.25">
      <c r="A1665" s="5" t="s">
        <v>6066</v>
      </c>
      <c r="B1665" s="6" t="s">
        <v>4563</v>
      </c>
      <c r="C1665" s="6" t="s">
        <v>6006</v>
      </c>
      <c r="D1665" s="6" t="s">
        <v>6007</v>
      </c>
      <c r="E1665" s="6" t="s">
        <v>6067</v>
      </c>
      <c r="F1665" s="6" t="s">
        <v>6068</v>
      </c>
      <c r="G1665" s="9" t="s">
        <v>6069</v>
      </c>
      <c r="H1665" s="9" t="s">
        <v>18</v>
      </c>
      <c r="I1665" s="16" t="str">
        <f>VLOOKUP(F1665,[1]完整分类结果!$E:$G,3,0)</f>
        <v>塑料制品业</v>
      </c>
      <c r="J1665" s="16">
        <f>VLOOKUP(I1665,[2]行业排放因子!$A:$B,2,0)</f>
        <v>1.0941039674442099</v>
      </c>
      <c r="K1665" s="9" t="s">
        <v>756</v>
      </c>
    </row>
    <row r="1666" spans="1:11" ht="12.5" customHeight="1" x14ac:dyDescent="0.25">
      <c r="A1666" s="5" t="s">
        <v>6070</v>
      </c>
      <c r="B1666" s="6" t="s">
        <v>4563</v>
      </c>
      <c r="C1666" s="6" t="s">
        <v>6006</v>
      </c>
      <c r="D1666" s="6" t="s">
        <v>6007</v>
      </c>
      <c r="E1666" s="6" t="s">
        <v>6071</v>
      </c>
      <c r="F1666" s="6" t="s">
        <v>6072</v>
      </c>
      <c r="G1666" s="9" t="s">
        <v>6073</v>
      </c>
      <c r="H1666" s="9" t="s">
        <v>18</v>
      </c>
      <c r="I1666" s="16" t="str">
        <f>VLOOKUP(F1666,[1]完整分类结果!$E:$G,3,0)</f>
        <v>塑料制品业</v>
      </c>
      <c r="J1666" s="16">
        <f>VLOOKUP(I1666,[2]行业排放因子!$A:$B,2,0)</f>
        <v>1.0941039674442099</v>
      </c>
      <c r="K1666" s="9" t="s">
        <v>756</v>
      </c>
    </row>
    <row r="1667" spans="1:11" ht="12.5" customHeight="1" x14ac:dyDescent="0.25">
      <c r="A1667" s="5" t="s">
        <v>6074</v>
      </c>
      <c r="B1667" s="6" t="s">
        <v>4563</v>
      </c>
      <c r="C1667" s="6" t="s">
        <v>6006</v>
      </c>
      <c r="D1667" s="6" t="s">
        <v>6007</v>
      </c>
      <c r="E1667" s="6" t="s">
        <v>6075</v>
      </c>
      <c r="F1667" s="6" t="s">
        <v>6076</v>
      </c>
      <c r="G1667" s="9" t="s">
        <v>6077</v>
      </c>
      <c r="H1667" s="9" t="s">
        <v>18</v>
      </c>
      <c r="I1667" s="16" t="str">
        <f>VLOOKUP(F1667,[1]完整分类结果!$E:$G,3,0)</f>
        <v>塑料制品业</v>
      </c>
      <c r="J1667" s="16">
        <f>VLOOKUP(I1667,[2]行业排放因子!$A:$B,2,0)</f>
        <v>1.0941039674442099</v>
      </c>
      <c r="K1667" s="9" t="s">
        <v>756</v>
      </c>
    </row>
    <row r="1668" spans="1:11" ht="12.5" customHeight="1" x14ac:dyDescent="0.25">
      <c r="A1668" s="5" t="s">
        <v>6078</v>
      </c>
      <c r="B1668" s="6" t="s">
        <v>4563</v>
      </c>
      <c r="C1668" s="6" t="s">
        <v>6006</v>
      </c>
      <c r="D1668" s="6" t="s">
        <v>6007</v>
      </c>
      <c r="E1668" s="6" t="s">
        <v>6079</v>
      </c>
      <c r="F1668" s="6" t="s">
        <v>6080</v>
      </c>
      <c r="G1668" s="9"/>
      <c r="H1668" s="9" t="s">
        <v>18</v>
      </c>
      <c r="I1668" s="16" t="str">
        <f>VLOOKUP(F1668,[1]完整分类结果!$E:$G,3,0)</f>
        <v>塑料制品业</v>
      </c>
      <c r="J1668" s="16">
        <f>VLOOKUP(I1668,[2]行业排放因子!$A:$B,2,0)</f>
        <v>1.0941039674442099</v>
      </c>
      <c r="K1668" s="9" t="s">
        <v>756</v>
      </c>
    </row>
    <row r="1669" spans="1:11" ht="12.5" customHeight="1" x14ac:dyDescent="0.25">
      <c r="A1669" s="5" t="s">
        <v>6081</v>
      </c>
      <c r="B1669" s="6" t="s">
        <v>4563</v>
      </c>
      <c r="C1669" s="6" t="s">
        <v>6006</v>
      </c>
      <c r="D1669" s="6" t="s">
        <v>6007</v>
      </c>
      <c r="E1669" s="6" t="s">
        <v>6082</v>
      </c>
      <c r="F1669" s="6" t="s">
        <v>6083</v>
      </c>
      <c r="G1669" s="9" t="s">
        <v>6084</v>
      </c>
      <c r="H1669" s="9" t="s">
        <v>18</v>
      </c>
      <c r="I1669" s="16" t="str">
        <f>VLOOKUP(F1669,[1]完整分类结果!$E:$G,3,0)</f>
        <v>塑料制品业</v>
      </c>
      <c r="J1669" s="16">
        <f>VLOOKUP(I1669,[2]行业排放因子!$A:$B,2,0)</f>
        <v>1.0941039674442099</v>
      </c>
      <c r="K1669" s="9" t="s">
        <v>756</v>
      </c>
    </row>
    <row r="1670" spans="1:11" ht="12.5" customHeight="1" x14ac:dyDescent="0.25">
      <c r="A1670" s="5" t="s">
        <v>6085</v>
      </c>
      <c r="B1670" s="6" t="s">
        <v>4563</v>
      </c>
      <c r="C1670" s="6" t="s">
        <v>6006</v>
      </c>
      <c r="D1670" s="6" t="s">
        <v>6007</v>
      </c>
      <c r="E1670" s="6" t="s">
        <v>6086</v>
      </c>
      <c r="F1670" s="6" t="s">
        <v>6087</v>
      </c>
      <c r="G1670" s="9" t="s">
        <v>6088</v>
      </c>
      <c r="H1670" s="9" t="s">
        <v>18</v>
      </c>
      <c r="I1670" s="16" t="str">
        <f>VLOOKUP(F1670,[1]完整分类结果!$E:$G,3,0)</f>
        <v>塑料制品业</v>
      </c>
      <c r="J1670" s="16">
        <f>VLOOKUP(I1670,[2]行业排放因子!$A:$B,2,0)</f>
        <v>1.0941039674442099</v>
      </c>
      <c r="K1670" s="9" t="s">
        <v>756</v>
      </c>
    </row>
    <row r="1671" spans="1:11" ht="12.5" customHeight="1" x14ac:dyDescent="0.25">
      <c r="A1671" s="5" t="s">
        <v>6089</v>
      </c>
      <c r="B1671" s="6" t="s">
        <v>4563</v>
      </c>
      <c r="C1671" s="6" t="s">
        <v>6006</v>
      </c>
      <c r="D1671" s="6" t="s">
        <v>6007</v>
      </c>
      <c r="E1671" s="6" t="s">
        <v>6090</v>
      </c>
      <c r="F1671" s="6" t="s">
        <v>6091</v>
      </c>
      <c r="G1671" s="9" t="s">
        <v>6092</v>
      </c>
      <c r="H1671" s="9" t="s">
        <v>18</v>
      </c>
      <c r="I1671" s="16" t="str">
        <f>VLOOKUP(F1671,[1]完整分类结果!$E:$G,3,0)</f>
        <v>塑料制品业</v>
      </c>
      <c r="J1671" s="16">
        <f>VLOOKUP(I1671,[2]行业排放因子!$A:$B,2,0)</f>
        <v>1.0941039674442099</v>
      </c>
      <c r="K1671" s="9" t="s">
        <v>756</v>
      </c>
    </row>
    <row r="1672" spans="1:11" ht="12.5" customHeight="1" x14ac:dyDescent="0.25">
      <c r="A1672" s="5" t="s">
        <v>6093</v>
      </c>
      <c r="B1672" s="6" t="s">
        <v>4563</v>
      </c>
      <c r="C1672" s="6" t="s">
        <v>6006</v>
      </c>
      <c r="D1672" s="6" t="s">
        <v>6007</v>
      </c>
      <c r="E1672" s="6" t="s">
        <v>6094</v>
      </c>
      <c r="F1672" s="6" t="s">
        <v>6095</v>
      </c>
      <c r="G1672" s="9" t="s">
        <v>6096</v>
      </c>
      <c r="H1672" s="9" t="s">
        <v>18</v>
      </c>
      <c r="I1672" s="16" t="str">
        <f>VLOOKUP(F1672,[1]完整分类结果!$E:$G,3,0)</f>
        <v>塑料制品业</v>
      </c>
      <c r="J1672" s="16">
        <f>VLOOKUP(I1672,[2]行业排放因子!$A:$B,2,0)</f>
        <v>1.0941039674442099</v>
      </c>
      <c r="K1672" s="9" t="s">
        <v>756</v>
      </c>
    </row>
    <row r="1673" spans="1:11" ht="12.5" customHeight="1" x14ac:dyDescent="0.25">
      <c r="A1673" s="5" t="s">
        <v>6097</v>
      </c>
      <c r="B1673" s="6" t="s">
        <v>4563</v>
      </c>
      <c r="C1673" s="6" t="s">
        <v>6006</v>
      </c>
      <c r="D1673" s="6" t="s">
        <v>6007</v>
      </c>
      <c r="E1673" s="6" t="s">
        <v>6098</v>
      </c>
      <c r="F1673" s="6" t="s">
        <v>6099</v>
      </c>
      <c r="G1673" s="9" t="s">
        <v>6100</v>
      </c>
      <c r="H1673" s="9" t="s">
        <v>18</v>
      </c>
      <c r="I1673" s="16" t="str">
        <f>VLOOKUP(F1673,[1]完整分类结果!$E:$G,3,0)</f>
        <v>塑料制品业</v>
      </c>
      <c r="J1673" s="16">
        <f>VLOOKUP(I1673,[2]行业排放因子!$A:$B,2,0)</f>
        <v>1.0941039674442099</v>
      </c>
      <c r="K1673" s="9" t="s">
        <v>756</v>
      </c>
    </row>
    <row r="1674" spans="1:11" ht="12.5" customHeight="1" x14ac:dyDescent="0.25">
      <c r="A1674" s="5" t="s">
        <v>6101</v>
      </c>
      <c r="B1674" s="6" t="s">
        <v>4563</v>
      </c>
      <c r="C1674" s="6" t="s">
        <v>6006</v>
      </c>
      <c r="D1674" s="6" t="s">
        <v>6007</v>
      </c>
      <c r="E1674" s="6" t="s">
        <v>6102</v>
      </c>
      <c r="F1674" s="6" t="s">
        <v>6103</v>
      </c>
      <c r="G1674" s="9" t="s">
        <v>6104</v>
      </c>
      <c r="H1674" s="9" t="s">
        <v>18</v>
      </c>
      <c r="I1674" s="16" t="str">
        <f>VLOOKUP(F1674,[1]完整分类结果!$E:$G,3,0)</f>
        <v>塑料制品业</v>
      </c>
      <c r="J1674" s="16">
        <f>VLOOKUP(I1674,[2]行业排放因子!$A:$B,2,0)</f>
        <v>1.0941039674442099</v>
      </c>
      <c r="K1674" s="9" t="s">
        <v>756</v>
      </c>
    </row>
    <row r="1675" spans="1:11" ht="12.5" customHeight="1" x14ac:dyDescent="0.25">
      <c r="A1675" s="5" t="s">
        <v>6105</v>
      </c>
      <c r="B1675" s="6" t="s">
        <v>4563</v>
      </c>
      <c r="C1675" s="6" t="s">
        <v>6006</v>
      </c>
      <c r="D1675" s="6" t="s">
        <v>6007</v>
      </c>
      <c r="E1675" s="6" t="s">
        <v>6106</v>
      </c>
      <c r="F1675" s="6" t="s">
        <v>6107</v>
      </c>
      <c r="G1675" s="9" t="s">
        <v>6108</v>
      </c>
      <c r="H1675" s="9" t="s">
        <v>18</v>
      </c>
      <c r="I1675" s="16" t="str">
        <f>VLOOKUP(F1675,[1]完整分类结果!$E:$G,3,0)</f>
        <v>塑料制品业</v>
      </c>
      <c r="J1675" s="16">
        <f>VLOOKUP(I1675,[2]行业排放因子!$A:$B,2,0)</f>
        <v>1.0941039674442099</v>
      </c>
      <c r="K1675" s="9" t="s">
        <v>756</v>
      </c>
    </row>
    <row r="1676" spans="1:11" ht="12.5" customHeight="1" x14ac:dyDescent="0.25">
      <c r="A1676" s="5" t="s">
        <v>6109</v>
      </c>
      <c r="B1676" s="6" t="s">
        <v>4563</v>
      </c>
      <c r="C1676" s="6" t="s">
        <v>6006</v>
      </c>
      <c r="D1676" s="6" t="s">
        <v>6007</v>
      </c>
      <c r="E1676" s="6" t="s">
        <v>6110</v>
      </c>
      <c r="F1676" s="6" t="s">
        <v>6111</v>
      </c>
      <c r="G1676" s="9"/>
      <c r="H1676" s="9" t="s">
        <v>18</v>
      </c>
      <c r="I1676" s="16" t="str">
        <f>VLOOKUP(F1676,[1]完整分类结果!$E:$G,3,0)</f>
        <v>塑料制品业</v>
      </c>
      <c r="J1676" s="16">
        <f>VLOOKUP(I1676,[2]行业排放因子!$A:$B,2,0)</f>
        <v>1.0941039674442099</v>
      </c>
      <c r="K1676" s="9" t="s">
        <v>756</v>
      </c>
    </row>
    <row r="1677" spans="1:11" ht="12.5" customHeight="1" x14ac:dyDescent="0.25">
      <c r="A1677" s="5" t="s">
        <v>6112</v>
      </c>
      <c r="B1677" s="6" t="s">
        <v>6113</v>
      </c>
      <c r="C1677" s="6" t="s">
        <v>6114</v>
      </c>
      <c r="D1677" s="6" t="s">
        <v>6114</v>
      </c>
      <c r="E1677" s="6" t="s">
        <v>6115</v>
      </c>
      <c r="F1677" s="6" t="s">
        <v>6116</v>
      </c>
      <c r="G1677" s="9" t="s">
        <v>6117</v>
      </c>
      <c r="H1677" s="9" t="s">
        <v>18</v>
      </c>
      <c r="I1677" s="16" t="str">
        <f>VLOOKUP(F1677,[1]完整分类结果!$E:$G,3,0)</f>
        <v>金属制品业</v>
      </c>
      <c r="J1677" s="16">
        <f>VLOOKUP(I1677,[2]行业排放因子!$A:$B,2,0)</f>
        <v>27.1093085906552</v>
      </c>
      <c r="K1677" s="9" t="s">
        <v>756</v>
      </c>
    </row>
    <row r="1678" spans="1:11" ht="12.5" customHeight="1" x14ac:dyDescent="0.25">
      <c r="A1678" s="5" t="s">
        <v>6118</v>
      </c>
      <c r="B1678" s="6" t="s">
        <v>6113</v>
      </c>
      <c r="C1678" s="6" t="s">
        <v>6114</v>
      </c>
      <c r="D1678" s="6" t="s">
        <v>6114</v>
      </c>
      <c r="E1678" s="6" t="s">
        <v>6119</v>
      </c>
      <c r="F1678" s="6" t="s">
        <v>6120</v>
      </c>
      <c r="G1678" s="9" t="s">
        <v>6121</v>
      </c>
      <c r="H1678" s="9" t="s">
        <v>18</v>
      </c>
      <c r="I1678" s="16" t="str">
        <f>VLOOKUP(F1678,[1]完整分类结果!$E:$G,3,0)</f>
        <v>金属制品业</v>
      </c>
      <c r="J1678" s="16">
        <f>VLOOKUP(I1678,[2]行业排放因子!$A:$B,2,0)</f>
        <v>27.1093085906552</v>
      </c>
      <c r="K1678" s="9" t="s">
        <v>756</v>
      </c>
    </row>
    <row r="1679" spans="1:11" ht="12.5" customHeight="1" x14ac:dyDescent="0.25">
      <c r="A1679" s="5" t="s">
        <v>6122</v>
      </c>
      <c r="B1679" s="6" t="s">
        <v>6113</v>
      </c>
      <c r="C1679" s="6" t="s">
        <v>6114</v>
      </c>
      <c r="D1679" s="6" t="s">
        <v>6114</v>
      </c>
      <c r="E1679" s="6" t="s">
        <v>6123</v>
      </c>
      <c r="F1679" s="6" t="s">
        <v>6124</v>
      </c>
      <c r="G1679" s="9" t="s">
        <v>6125</v>
      </c>
      <c r="H1679" s="9" t="s">
        <v>18</v>
      </c>
      <c r="I1679" s="16" t="str">
        <f>VLOOKUP(F1679,[1]完整分类结果!$E:$G,3,0)</f>
        <v>金属制品业</v>
      </c>
      <c r="J1679" s="16">
        <f>VLOOKUP(I1679,[2]行业排放因子!$A:$B,2,0)</f>
        <v>27.1093085906552</v>
      </c>
      <c r="K1679" s="9" t="s">
        <v>756</v>
      </c>
    </row>
    <row r="1680" spans="1:11" ht="12.5" customHeight="1" x14ac:dyDescent="0.25">
      <c r="A1680" s="5" t="s">
        <v>6126</v>
      </c>
      <c r="B1680" s="6" t="s">
        <v>6113</v>
      </c>
      <c r="C1680" s="6" t="s">
        <v>6114</v>
      </c>
      <c r="D1680" s="6" t="s">
        <v>6114</v>
      </c>
      <c r="E1680" s="6" t="s">
        <v>6127</v>
      </c>
      <c r="F1680" s="6" t="s">
        <v>6128</v>
      </c>
      <c r="G1680" s="9" t="s">
        <v>6129</v>
      </c>
      <c r="H1680" s="9" t="s">
        <v>18</v>
      </c>
      <c r="I1680" s="16" t="str">
        <f>VLOOKUP(F1680,[1]完整分类结果!$E:$G,3,0)</f>
        <v>金属制品业</v>
      </c>
      <c r="J1680" s="16">
        <f>VLOOKUP(I1680,[2]行业排放因子!$A:$B,2,0)</f>
        <v>27.1093085906552</v>
      </c>
      <c r="K1680" s="9" t="s">
        <v>756</v>
      </c>
    </row>
    <row r="1681" spans="1:11" ht="12.5" customHeight="1" x14ac:dyDescent="0.25">
      <c r="A1681" s="5" t="s">
        <v>6130</v>
      </c>
      <c r="B1681" s="6" t="s">
        <v>6113</v>
      </c>
      <c r="C1681" s="6" t="s">
        <v>6114</v>
      </c>
      <c r="D1681" s="6" t="s">
        <v>6114</v>
      </c>
      <c r="E1681" s="6" t="s">
        <v>6131</v>
      </c>
      <c r="F1681" s="6" t="s">
        <v>6132</v>
      </c>
      <c r="G1681" s="9" t="s">
        <v>6133</v>
      </c>
      <c r="H1681" s="9" t="s">
        <v>18</v>
      </c>
      <c r="I1681" s="16" t="str">
        <f>VLOOKUP(F1681,[1]完整分类结果!$E:$G,3,0)</f>
        <v>金属制品业</v>
      </c>
      <c r="J1681" s="16">
        <f>VLOOKUP(I1681,[2]行业排放因子!$A:$B,2,0)</f>
        <v>27.1093085906552</v>
      </c>
      <c r="K1681" s="9" t="s">
        <v>756</v>
      </c>
    </row>
    <row r="1682" spans="1:11" ht="12.5" customHeight="1" x14ac:dyDescent="0.25">
      <c r="A1682" s="5" t="s">
        <v>6134</v>
      </c>
      <c r="B1682" s="6" t="s">
        <v>6113</v>
      </c>
      <c r="C1682" s="6" t="s">
        <v>6114</v>
      </c>
      <c r="D1682" s="6" t="s">
        <v>6114</v>
      </c>
      <c r="E1682" s="6" t="s">
        <v>6135</v>
      </c>
      <c r="F1682" s="6" t="s">
        <v>6136</v>
      </c>
      <c r="G1682" s="9" t="s">
        <v>6137</v>
      </c>
      <c r="H1682" s="9" t="s">
        <v>18</v>
      </c>
      <c r="I1682" s="16" t="str">
        <f>VLOOKUP(F1682,[1]完整分类结果!$E:$G,3,0)</f>
        <v>金属制品业</v>
      </c>
      <c r="J1682" s="16">
        <f>VLOOKUP(I1682,[2]行业排放因子!$A:$B,2,0)</f>
        <v>27.1093085906552</v>
      </c>
      <c r="K1682" s="9" t="s">
        <v>756</v>
      </c>
    </row>
    <row r="1683" spans="1:11" ht="12.5" customHeight="1" x14ac:dyDescent="0.25">
      <c r="A1683" s="5" t="s">
        <v>6138</v>
      </c>
      <c r="B1683" s="6" t="s">
        <v>6113</v>
      </c>
      <c r="C1683" s="6" t="s">
        <v>6114</v>
      </c>
      <c r="D1683" s="6" t="s">
        <v>6114</v>
      </c>
      <c r="E1683" s="6" t="s">
        <v>6139</v>
      </c>
      <c r="F1683" s="6" t="s">
        <v>6140</v>
      </c>
      <c r="G1683" s="9" t="s">
        <v>6141</v>
      </c>
      <c r="H1683" s="9" t="s">
        <v>18</v>
      </c>
      <c r="I1683" s="16" t="str">
        <f>VLOOKUP(F1683,[1]完整分类结果!$E:$G,3,0)</f>
        <v>金属制品业</v>
      </c>
      <c r="J1683" s="16">
        <f>VLOOKUP(I1683,[2]行业排放因子!$A:$B,2,0)</f>
        <v>27.1093085906552</v>
      </c>
      <c r="K1683" s="9" t="s">
        <v>756</v>
      </c>
    </row>
    <row r="1684" spans="1:11" ht="12.5" customHeight="1" x14ac:dyDescent="0.25">
      <c r="A1684" s="5" t="s">
        <v>6142</v>
      </c>
      <c r="B1684" s="6" t="s">
        <v>6113</v>
      </c>
      <c r="C1684" s="6" t="s">
        <v>6114</v>
      </c>
      <c r="D1684" s="6" t="s">
        <v>6114</v>
      </c>
      <c r="E1684" s="6" t="s">
        <v>6143</v>
      </c>
      <c r="F1684" s="6" t="s">
        <v>6144</v>
      </c>
      <c r="G1684" s="9"/>
      <c r="H1684" s="9" t="s">
        <v>18</v>
      </c>
      <c r="I1684" s="16" t="str">
        <f>VLOOKUP(F1684,[1]完整分类结果!$E:$G,3,0)</f>
        <v>黑色金属冶炼及压延加工业</v>
      </c>
      <c r="J1684" s="16">
        <f>VLOOKUP(I1684,[2]行业排放因子!$A:$B,2,0)</f>
        <v>1891.5323606152201</v>
      </c>
      <c r="K1684" s="9" t="s">
        <v>756</v>
      </c>
    </row>
    <row r="1685" spans="1:11" ht="12.5" customHeight="1" x14ac:dyDescent="0.25">
      <c r="A1685" s="5" t="s">
        <v>6145</v>
      </c>
      <c r="B1685" s="6" t="s">
        <v>6113</v>
      </c>
      <c r="C1685" s="6" t="s">
        <v>6114</v>
      </c>
      <c r="D1685" s="6" t="s">
        <v>6114</v>
      </c>
      <c r="E1685" s="6" t="s">
        <v>6146</v>
      </c>
      <c r="F1685" s="6" t="s">
        <v>6147</v>
      </c>
      <c r="G1685" s="9" t="s">
        <v>6148</v>
      </c>
      <c r="H1685" s="9" t="s">
        <v>18</v>
      </c>
      <c r="I1685" s="16" t="str">
        <f>VLOOKUP(F1685,[1]完整分类结果!$E:$G,3,0)</f>
        <v>金属制品业</v>
      </c>
      <c r="J1685" s="16">
        <f>VLOOKUP(I1685,[2]行业排放因子!$A:$B,2,0)</f>
        <v>27.1093085906552</v>
      </c>
      <c r="K1685" s="9" t="s">
        <v>756</v>
      </c>
    </row>
    <row r="1686" spans="1:11" ht="12.5" customHeight="1" x14ac:dyDescent="0.25">
      <c r="A1686" s="5" t="s">
        <v>6149</v>
      </c>
      <c r="B1686" s="6" t="s">
        <v>6113</v>
      </c>
      <c r="C1686" s="6" t="s">
        <v>6114</v>
      </c>
      <c r="D1686" s="6" t="s">
        <v>6114</v>
      </c>
      <c r="E1686" s="6" t="s">
        <v>6150</v>
      </c>
      <c r="F1686" s="6" t="s">
        <v>6151</v>
      </c>
      <c r="G1686" s="9" t="s">
        <v>6152</v>
      </c>
      <c r="H1686" s="9" t="s">
        <v>18</v>
      </c>
      <c r="I1686" s="16" t="str">
        <f>VLOOKUP(F1686,[1]完整分类结果!$E:$G,3,0)</f>
        <v>金属制品业</v>
      </c>
      <c r="J1686" s="16">
        <f>VLOOKUP(I1686,[2]行业排放因子!$A:$B,2,0)</f>
        <v>27.1093085906552</v>
      </c>
      <c r="K1686" s="9" t="s">
        <v>756</v>
      </c>
    </row>
    <row r="1687" spans="1:11" ht="12.5" customHeight="1" x14ac:dyDescent="0.25">
      <c r="A1687" s="5" t="s">
        <v>6153</v>
      </c>
      <c r="B1687" s="6" t="s">
        <v>6113</v>
      </c>
      <c r="C1687" s="6" t="s">
        <v>6114</v>
      </c>
      <c r="D1687" s="6" t="s">
        <v>6114</v>
      </c>
      <c r="E1687" s="6" t="s">
        <v>6154</v>
      </c>
      <c r="F1687" s="6" t="s">
        <v>6155</v>
      </c>
      <c r="G1687" s="9" t="s">
        <v>6156</v>
      </c>
      <c r="H1687" s="9" t="s">
        <v>18</v>
      </c>
      <c r="I1687" s="16" t="str">
        <f>VLOOKUP(F1687,[1]完整分类结果!$E:$G,3,0)</f>
        <v>黑色金属冶炼及压延加工业</v>
      </c>
      <c r="J1687" s="16">
        <f>VLOOKUP(I1687,[2]行业排放因子!$A:$B,2,0)</f>
        <v>1891.5323606152201</v>
      </c>
      <c r="K1687" s="9" t="s">
        <v>756</v>
      </c>
    </row>
    <row r="1688" spans="1:11" ht="12.5" customHeight="1" x14ac:dyDescent="0.25">
      <c r="A1688" s="5" t="s">
        <v>6157</v>
      </c>
      <c r="B1688" s="6" t="s">
        <v>6113</v>
      </c>
      <c r="C1688" s="6" t="s">
        <v>6114</v>
      </c>
      <c r="D1688" s="6" t="s">
        <v>6114</v>
      </c>
      <c r="E1688" s="6" t="s">
        <v>6158</v>
      </c>
      <c r="F1688" s="6" t="s">
        <v>6159</v>
      </c>
      <c r="G1688" s="9" t="s">
        <v>6160</v>
      </c>
      <c r="H1688" s="9" t="s">
        <v>18</v>
      </c>
      <c r="I1688" s="16" t="str">
        <f>VLOOKUP(F1688,[1]完整分类结果!$E:$G,3,0)</f>
        <v>金属制品业</v>
      </c>
      <c r="J1688" s="16">
        <f>VLOOKUP(I1688,[2]行业排放因子!$A:$B,2,0)</f>
        <v>27.1093085906552</v>
      </c>
      <c r="K1688" s="9" t="s">
        <v>756</v>
      </c>
    </row>
    <row r="1689" spans="1:11" ht="12.5" customHeight="1" x14ac:dyDescent="0.25">
      <c r="A1689" s="5" t="s">
        <v>6161</v>
      </c>
      <c r="B1689" s="6" t="s">
        <v>6113</v>
      </c>
      <c r="C1689" s="6" t="s">
        <v>6114</v>
      </c>
      <c r="D1689" s="6" t="s">
        <v>6114</v>
      </c>
      <c r="E1689" s="6" t="s">
        <v>6162</v>
      </c>
      <c r="F1689" s="6" t="s">
        <v>6163</v>
      </c>
      <c r="G1689" s="9" t="s">
        <v>6164</v>
      </c>
      <c r="H1689" s="9" t="s">
        <v>18</v>
      </c>
      <c r="I1689" s="16" t="str">
        <f>VLOOKUP(F1689,[1]完整分类结果!$E:$G,3,0)</f>
        <v>金属制品业</v>
      </c>
      <c r="J1689" s="16">
        <f>VLOOKUP(I1689,[2]行业排放因子!$A:$B,2,0)</f>
        <v>27.1093085906552</v>
      </c>
      <c r="K1689" s="9" t="s">
        <v>756</v>
      </c>
    </row>
    <row r="1690" spans="1:11" ht="12.5" customHeight="1" x14ac:dyDescent="0.25">
      <c r="A1690" s="5" t="s">
        <v>6165</v>
      </c>
      <c r="B1690" s="6" t="s">
        <v>6113</v>
      </c>
      <c r="C1690" s="6" t="s">
        <v>6114</v>
      </c>
      <c r="D1690" s="6" t="s">
        <v>6114</v>
      </c>
      <c r="E1690" s="6" t="s">
        <v>6166</v>
      </c>
      <c r="F1690" s="6" t="s">
        <v>6167</v>
      </c>
      <c r="G1690" s="9" t="s">
        <v>6168</v>
      </c>
      <c r="H1690" s="9" t="s">
        <v>18</v>
      </c>
      <c r="I1690" s="16" t="str">
        <f>VLOOKUP(F1690,[1]完整分类结果!$E:$G,3,0)</f>
        <v>金属制品业</v>
      </c>
      <c r="J1690" s="16">
        <f>VLOOKUP(I1690,[2]行业排放因子!$A:$B,2,0)</f>
        <v>27.1093085906552</v>
      </c>
      <c r="K1690" s="9" t="s">
        <v>756</v>
      </c>
    </row>
    <row r="1691" spans="1:11" ht="12.5" customHeight="1" x14ac:dyDescent="0.25">
      <c r="A1691" s="5" t="s">
        <v>6169</v>
      </c>
      <c r="B1691" s="6" t="s">
        <v>6113</v>
      </c>
      <c r="C1691" s="6" t="s">
        <v>6114</v>
      </c>
      <c r="D1691" s="6" t="s">
        <v>6114</v>
      </c>
      <c r="E1691" s="6" t="s">
        <v>6170</v>
      </c>
      <c r="F1691" s="6" t="s">
        <v>6171</v>
      </c>
      <c r="G1691" s="9"/>
      <c r="H1691" s="9" t="s">
        <v>18</v>
      </c>
      <c r="I1691" s="16" t="str">
        <f>VLOOKUP(F1691,[1]完整分类结果!$E:$G,3,0)</f>
        <v>金属制品业</v>
      </c>
      <c r="J1691" s="16">
        <f>VLOOKUP(I1691,[2]行业排放因子!$A:$B,2,0)</f>
        <v>27.1093085906552</v>
      </c>
      <c r="K1691" s="9" t="s">
        <v>756</v>
      </c>
    </row>
    <row r="1692" spans="1:11" ht="12.5" customHeight="1" x14ac:dyDescent="0.25">
      <c r="A1692" s="5" t="s">
        <v>6172</v>
      </c>
      <c r="B1692" s="6" t="s">
        <v>6113</v>
      </c>
      <c r="C1692" s="6" t="s">
        <v>6114</v>
      </c>
      <c r="D1692" s="6" t="s">
        <v>6114</v>
      </c>
      <c r="E1692" s="6" t="s">
        <v>6173</v>
      </c>
      <c r="F1692" s="6" t="s">
        <v>6174</v>
      </c>
      <c r="G1692" s="9"/>
      <c r="H1692" s="9" t="s">
        <v>18</v>
      </c>
      <c r="I1692" s="16" t="str">
        <f>VLOOKUP(F1692,[1]完整分类结果!$E:$G,3,0)</f>
        <v>金属制品业</v>
      </c>
      <c r="J1692" s="16">
        <f>VLOOKUP(I1692,[2]行业排放因子!$A:$B,2,0)</f>
        <v>27.1093085906552</v>
      </c>
      <c r="K1692" s="9" t="s">
        <v>756</v>
      </c>
    </row>
    <row r="1693" spans="1:11" ht="12.5" customHeight="1" x14ac:dyDescent="0.25">
      <c r="A1693" s="5" t="s">
        <v>6175</v>
      </c>
      <c r="B1693" s="6" t="s">
        <v>6113</v>
      </c>
      <c r="C1693" s="6" t="s">
        <v>6114</v>
      </c>
      <c r="D1693" s="6" t="s">
        <v>6114</v>
      </c>
      <c r="E1693" s="6" t="s">
        <v>6176</v>
      </c>
      <c r="F1693" s="6" t="s">
        <v>6177</v>
      </c>
      <c r="G1693" s="9" t="s">
        <v>6178</v>
      </c>
      <c r="H1693" s="9" t="s">
        <v>18</v>
      </c>
      <c r="I1693" s="16" t="str">
        <f>VLOOKUP(F1693,[1]完整分类结果!$E:$G,3,0)</f>
        <v>金属制品业</v>
      </c>
      <c r="J1693" s="16">
        <f>VLOOKUP(I1693,[2]行业排放因子!$A:$B,2,0)</f>
        <v>27.1093085906552</v>
      </c>
      <c r="K1693" s="9" t="s">
        <v>756</v>
      </c>
    </row>
    <row r="1694" spans="1:11" ht="12.5" customHeight="1" x14ac:dyDescent="0.25">
      <c r="A1694" s="5" t="s">
        <v>6179</v>
      </c>
      <c r="B1694" s="6" t="s">
        <v>6113</v>
      </c>
      <c r="C1694" s="6" t="s">
        <v>6114</v>
      </c>
      <c r="D1694" s="6" t="s">
        <v>6114</v>
      </c>
      <c r="E1694" s="6" t="s">
        <v>6180</v>
      </c>
      <c r="F1694" s="6" t="s">
        <v>6181</v>
      </c>
      <c r="G1694" s="9"/>
      <c r="H1694" s="9" t="s">
        <v>18</v>
      </c>
      <c r="I1694" s="16" t="str">
        <f>VLOOKUP(F1694,[1]完整分类结果!$E:$G,3,0)</f>
        <v>金属制品业</v>
      </c>
      <c r="J1694" s="16">
        <f>VLOOKUP(I1694,[2]行业排放因子!$A:$B,2,0)</f>
        <v>27.1093085906552</v>
      </c>
      <c r="K1694" s="9" t="s">
        <v>756</v>
      </c>
    </row>
    <row r="1695" spans="1:11" ht="12.5" customHeight="1" x14ac:dyDescent="0.25">
      <c r="A1695" s="5" t="s">
        <v>6182</v>
      </c>
      <c r="B1695" s="6" t="s">
        <v>6113</v>
      </c>
      <c r="C1695" s="6" t="s">
        <v>6114</v>
      </c>
      <c r="D1695" s="6" t="s">
        <v>6114</v>
      </c>
      <c r="E1695" s="6" t="s">
        <v>6183</v>
      </c>
      <c r="F1695" s="6" t="s">
        <v>6184</v>
      </c>
      <c r="G1695" s="9" t="s">
        <v>6185</v>
      </c>
      <c r="H1695" s="9" t="s">
        <v>18</v>
      </c>
      <c r="I1695" s="16" t="str">
        <f>VLOOKUP(F1695,[1]完整分类结果!$E:$G,3,0)</f>
        <v>金属制品业</v>
      </c>
      <c r="J1695" s="16">
        <f>VLOOKUP(I1695,[2]行业排放因子!$A:$B,2,0)</f>
        <v>27.1093085906552</v>
      </c>
      <c r="K1695" s="9" t="s">
        <v>756</v>
      </c>
    </row>
    <row r="1696" spans="1:11" ht="12.5" customHeight="1" x14ac:dyDescent="0.25">
      <c r="A1696" s="5" t="s">
        <v>6186</v>
      </c>
      <c r="B1696" s="6" t="s">
        <v>6113</v>
      </c>
      <c r="C1696" s="6" t="s">
        <v>6114</v>
      </c>
      <c r="D1696" s="6" t="s">
        <v>6114</v>
      </c>
      <c r="E1696" s="6" t="s">
        <v>6187</v>
      </c>
      <c r="F1696" s="6" t="s">
        <v>6188</v>
      </c>
      <c r="G1696" s="9" t="s">
        <v>6189</v>
      </c>
      <c r="H1696" s="9" t="s">
        <v>18</v>
      </c>
      <c r="I1696" s="16" t="str">
        <f>VLOOKUP(F1696,[1]完整分类结果!$E:$G,3,0)</f>
        <v>金属制品业</v>
      </c>
      <c r="J1696" s="16">
        <f>VLOOKUP(I1696,[2]行业排放因子!$A:$B,2,0)</f>
        <v>27.1093085906552</v>
      </c>
      <c r="K1696" s="9" t="s">
        <v>756</v>
      </c>
    </row>
    <row r="1697" spans="1:11" ht="12.5" customHeight="1" x14ac:dyDescent="0.25">
      <c r="A1697" s="5" t="s">
        <v>6190</v>
      </c>
      <c r="B1697" s="6" t="s">
        <v>6113</v>
      </c>
      <c r="C1697" s="6" t="s">
        <v>6114</v>
      </c>
      <c r="D1697" s="6" t="s">
        <v>6114</v>
      </c>
      <c r="E1697" s="6" t="s">
        <v>6191</v>
      </c>
      <c r="F1697" s="6" t="s">
        <v>6192</v>
      </c>
      <c r="G1697" s="9" t="s">
        <v>6193</v>
      </c>
      <c r="H1697" s="9" t="s">
        <v>18</v>
      </c>
      <c r="I1697" s="16" t="str">
        <f>VLOOKUP(F1697,[1]完整分类结果!$E:$G,3,0)</f>
        <v>金属制品业</v>
      </c>
      <c r="J1697" s="16">
        <f>VLOOKUP(I1697,[2]行业排放因子!$A:$B,2,0)</f>
        <v>27.1093085906552</v>
      </c>
      <c r="K1697" s="9" t="s">
        <v>756</v>
      </c>
    </row>
    <row r="1698" spans="1:11" ht="12.5" customHeight="1" x14ac:dyDescent="0.25">
      <c r="A1698" s="5" t="s">
        <v>6194</v>
      </c>
      <c r="B1698" s="6" t="s">
        <v>6113</v>
      </c>
      <c r="C1698" s="6" t="s">
        <v>6114</v>
      </c>
      <c r="D1698" s="6" t="s">
        <v>6114</v>
      </c>
      <c r="E1698" s="6" t="s">
        <v>6195</v>
      </c>
      <c r="F1698" s="6" t="s">
        <v>6196</v>
      </c>
      <c r="G1698" s="9" t="s">
        <v>6197</v>
      </c>
      <c r="H1698" s="9" t="s">
        <v>18</v>
      </c>
      <c r="I1698" s="16" t="str">
        <f>VLOOKUP(F1698,[1]完整分类结果!$E:$G,3,0)</f>
        <v>黑色金属冶炼及压延加工业</v>
      </c>
      <c r="J1698" s="16">
        <f>VLOOKUP(I1698,[2]行业排放因子!$A:$B,2,0)</f>
        <v>1891.5323606152201</v>
      </c>
      <c r="K1698" s="9" t="s">
        <v>756</v>
      </c>
    </row>
    <row r="1699" spans="1:11" ht="12.5" customHeight="1" x14ac:dyDescent="0.25">
      <c r="A1699" s="5" t="s">
        <v>6198</v>
      </c>
      <c r="B1699" s="6" t="s">
        <v>6113</v>
      </c>
      <c r="C1699" s="6" t="s">
        <v>6114</v>
      </c>
      <c r="D1699" s="6" t="s">
        <v>6114</v>
      </c>
      <c r="E1699" s="6" t="s">
        <v>6199</v>
      </c>
      <c r="F1699" s="6" t="s">
        <v>6200</v>
      </c>
      <c r="G1699" s="9"/>
      <c r="H1699" s="9" t="s">
        <v>18</v>
      </c>
      <c r="I1699" s="16" t="str">
        <f>VLOOKUP(F1699,[1]完整分类结果!$E:$G,3,0)</f>
        <v>金属制品业</v>
      </c>
      <c r="J1699" s="16">
        <f>VLOOKUP(I1699,[2]行业排放因子!$A:$B,2,0)</f>
        <v>27.1093085906552</v>
      </c>
      <c r="K1699" s="9" t="s">
        <v>756</v>
      </c>
    </row>
    <row r="1700" spans="1:11" ht="12.5" customHeight="1" x14ac:dyDescent="0.25">
      <c r="A1700" s="5" t="s">
        <v>6201</v>
      </c>
      <c r="B1700" s="6" t="s">
        <v>6113</v>
      </c>
      <c r="C1700" s="6" t="s">
        <v>6114</v>
      </c>
      <c r="D1700" s="6" t="s">
        <v>6114</v>
      </c>
      <c r="E1700" s="6" t="s">
        <v>6202</v>
      </c>
      <c r="F1700" s="6" t="s">
        <v>6203</v>
      </c>
      <c r="G1700" s="9" t="s">
        <v>6204</v>
      </c>
      <c r="H1700" s="9" t="s">
        <v>18</v>
      </c>
      <c r="I1700" s="16" t="str">
        <f>VLOOKUP(F1700,[1]完整分类结果!$E:$G,3,0)</f>
        <v>金属制品业</v>
      </c>
      <c r="J1700" s="16">
        <f>VLOOKUP(I1700,[2]行业排放因子!$A:$B,2,0)</f>
        <v>27.1093085906552</v>
      </c>
      <c r="K1700" s="9" t="s">
        <v>756</v>
      </c>
    </row>
    <row r="1701" spans="1:11" ht="12.5" customHeight="1" x14ac:dyDescent="0.25">
      <c r="A1701" s="5" t="s">
        <v>6205</v>
      </c>
      <c r="B1701" s="6" t="s">
        <v>6113</v>
      </c>
      <c r="C1701" s="6" t="s">
        <v>6114</v>
      </c>
      <c r="D1701" s="6" t="s">
        <v>6114</v>
      </c>
      <c r="E1701" s="6" t="s">
        <v>6206</v>
      </c>
      <c r="F1701" s="6" t="s">
        <v>6207</v>
      </c>
      <c r="G1701" s="9" t="s">
        <v>6208</v>
      </c>
      <c r="H1701" s="9" t="s">
        <v>18</v>
      </c>
      <c r="I1701" s="16" t="str">
        <f>VLOOKUP(F1701,[1]完整分类结果!$E:$G,3,0)</f>
        <v>金属制品业</v>
      </c>
      <c r="J1701" s="16">
        <f>VLOOKUP(I1701,[2]行业排放因子!$A:$B,2,0)</f>
        <v>27.1093085906552</v>
      </c>
      <c r="K1701" s="9" t="s">
        <v>756</v>
      </c>
    </row>
    <row r="1702" spans="1:11" ht="12.5" customHeight="1" x14ac:dyDescent="0.25">
      <c r="A1702" s="5" t="s">
        <v>6209</v>
      </c>
      <c r="B1702" s="6" t="s">
        <v>6113</v>
      </c>
      <c r="C1702" s="6" t="s">
        <v>6114</v>
      </c>
      <c r="D1702" s="6" t="s">
        <v>6114</v>
      </c>
      <c r="E1702" s="6" t="s">
        <v>6210</v>
      </c>
      <c r="F1702" s="6" t="s">
        <v>6211</v>
      </c>
      <c r="G1702" s="9"/>
      <c r="H1702" s="9" t="s">
        <v>18</v>
      </c>
      <c r="I1702" s="16" t="str">
        <f>VLOOKUP(F1702,[1]完整分类结果!$E:$G,3,0)</f>
        <v>黑色金属冶炼及压延加工业</v>
      </c>
      <c r="J1702" s="16">
        <f>VLOOKUP(I1702,[2]行业排放因子!$A:$B,2,0)</f>
        <v>1891.5323606152201</v>
      </c>
      <c r="K1702" s="9" t="s">
        <v>756</v>
      </c>
    </row>
    <row r="1703" spans="1:11" ht="12.5" customHeight="1" x14ac:dyDescent="0.25">
      <c r="A1703" s="5" t="s">
        <v>6212</v>
      </c>
      <c r="B1703" s="6" t="s">
        <v>6113</v>
      </c>
      <c r="C1703" s="6" t="s">
        <v>6114</v>
      </c>
      <c r="D1703" s="6" t="s">
        <v>6114</v>
      </c>
      <c r="E1703" s="6" t="s">
        <v>6213</v>
      </c>
      <c r="F1703" s="6" t="s">
        <v>6214</v>
      </c>
      <c r="G1703" s="9" t="s">
        <v>6193</v>
      </c>
      <c r="H1703" s="9" t="s">
        <v>18</v>
      </c>
      <c r="I1703" s="16" t="str">
        <f>VLOOKUP(F1703,[1]完整分类结果!$E:$G,3,0)</f>
        <v>金属制品业</v>
      </c>
      <c r="J1703" s="16">
        <f>VLOOKUP(I1703,[2]行业排放因子!$A:$B,2,0)</f>
        <v>27.1093085906552</v>
      </c>
      <c r="K1703" s="9" t="s">
        <v>756</v>
      </c>
    </row>
    <row r="1704" spans="1:11" ht="12.5" customHeight="1" x14ac:dyDescent="0.25">
      <c r="A1704" s="5" t="s">
        <v>6215</v>
      </c>
      <c r="B1704" s="6" t="s">
        <v>6113</v>
      </c>
      <c r="C1704" s="6" t="s">
        <v>6114</v>
      </c>
      <c r="D1704" s="6" t="s">
        <v>6114</v>
      </c>
      <c r="E1704" s="6" t="s">
        <v>6216</v>
      </c>
      <c r="F1704" s="6" t="s">
        <v>6217</v>
      </c>
      <c r="G1704" s="9"/>
      <c r="H1704" s="9" t="s">
        <v>18</v>
      </c>
      <c r="I1704" s="16" t="str">
        <f>VLOOKUP(F1704,[1]完整分类结果!$E:$G,3,0)</f>
        <v>金属制品业</v>
      </c>
      <c r="J1704" s="16">
        <f>VLOOKUP(I1704,[2]行业排放因子!$A:$B,2,0)</f>
        <v>27.1093085906552</v>
      </c>
      <c r="K1704" s="9" t="s">
        <v>756</v>
      </c>
    </row>
    <row r="1705" spans="1:11" ht="12.5" customHeight="1" x14ac:dyDescent="0.25">
      <c r="A1705" s="5" t="s">
        <v>6218</v>
      </c>
      <c r="B1705" s="6" t="s">
        <v>6113</v>
      </c>
      <c r="C1705" s="6" t="s">
        <v>6114</v>
      </c>
      <c r="D1705" s="6" t="s">
        <v>6114</v>
      </c>
      <c r="E1705" s="6" t="s">
        <v>6219</v>
      </c>
      <c r="F1705" s="6" t="s">
        <v>6220</v>
      </c>
      <c r="G1705" s="9"/>
      <c r="H1705" s="9" t="s">
        <v>18</v>
      </c>
      <c r="I1705" s="16" t="str">
        <f>VLOOKUP(F1705,[1]完整分类结果!$E:$G,3,0)</f>
        <v>金属制品业</v>
      </c>
      <c r="J1705" s="16">
        <f>VLOOKUP(I1705,[2]行业排放因子!$A:$B,2,0)</f>
        <v>27.1093085906552</v>
      </c>
      <c r="K1705" s="9" t="s">
        <v>756</v>
      </c>
    </row>
    <row r="1706" spans="1:11" ht="12.5" customHeight="1" x14ac:dyDescent="0.25">
      <c r="A1706" s="5" t="s">
        <v>6221</v>
      </c>
      <c r="B1706" s="6" t="s">
        <v>6113</v>
      </c>
      <c r="C1706" s="6" t="s">
        <v>6114</v>
      </c>
      <c r="D1706" s="6" t="s">
        <v>6114</v>
      </c>
      <c r="E1706" s="6" t="s">
        <v>6222</v>
      </c>
      <c r="F1706" s="6" t="s">
        <v>6223</v>
      </c>
      <c r="G1706" s="9"/>
      <c r="H1706" s="9" t="s">
        <v>18</v>
      </c>
      <c r="I1706" s="16" t="str">
        <f>VLOOKUP(F1706,[1]完整分类结果!$E:$G,3,0)</f>
        <v>金属制品业</v>
      </c>
      <c r="J1706" s="16">
        <f>VLOOKUP(I1706,[2]行业排放因子!$A:$B,2,0)</f>
        <v>27.1093085906552</v>
      </c>
      <c r="K1706" s="9" t="s">
        <v>756</v>
      </c>
    </row>
    <row r="1707" spans="1:11" ht="12.5" customHeight="1" x14ac:dyDescent="0.25">
      <c r="A1707" s="5" t="s">
        <v>6224</v>
      </c>
      <c r="B1707" s="6" t="s">
        <v>6113</v>
      </c>
      <c r="C1707" s="6" t="s">
        <v>6114</v>
      </c>
      <c r="D1707" s="6" t="s">
        <v>6114</v>
      </c>
      <c r="E1707" s="6" t="s">
        <v>6225</v>
      </c>
      <c r="F1707" s="6" t="s">
        <v>6226</v>
      </c>
      <c r="G1707" s="9"/>
      <c r="H1707" s="9" t="s">
        <v>18</v>
      </c>
      <c r="I1707" s="16" t="str">
        <f>VLOOKUP(F1707,[1]完整分类结果!$E:$G,3,0)</f>
        <v>金属制品业</v>
      </c>
      <c r="J1707" s="16">
        <f>VLOOKUP(I1707,[2]行业排放因子!$A:$B,2,0)</f>
        <v>27.1093085906552</v>
      </c>
      <c r="K1707" s="9" t="s">
        <v>756</v>
      </c>
    </row>
    <row r="1708" spans="1:11" ht="12.5" customHeight="1" x14ac:dyDescent="0.25">
      <c r="A1708" s="5" t="s">
        <v>6227</v>
      </c>
      <c r="B1708" s="6" t="s">
        <v>6113</v>
      </c>
      <c r="C1708" s="6" t="s">
        <v>6114</v>
      </c>
      <c r="D1708" s="6" t="s">
        <v>6114</v>
      </c>
      <c r="E1708" s="6" t="s">
        <v>6228</v>
      </c>
      <c r="F1708" s="6" t="s">
        <v>6229</v>
      </c>
      <c r="G1708" s="9"/>
      <c r="H1708" s="9" t="s">
        <v>18</v>
      </c>
      <c r="I1708" s="16" t="str">
        <f>VLOOKUP(F1708,[1]完整分类结果!$E:$G,3,0)</f>
        <v>金属制品业</v>
      </c>
      <c r="J1708" s="16">
        <f>VLOOKUP(I1708,[2]行业排放因子!$A:$B,2,0)</f>
        <v>27.1093085906552</v>
      </c>
      <c r="K1708" s="9" t="s">
        <v>756</v>
      </c>
    </row>
    <row r="1709" spans="1:11" ht="12.5" customHeight="1" x14ac:dyDescent="0.25">
      <c r="A1709" s="5" t="s">
        <v>6230</v>
      </c>
      <c r="B1709" s="6" t="s">
        <v>6113</v>
      </c>
      <c r="C1709" s="6" t="s">
        <v>6114</v>
      </c>
      <c r="D1709" s="6" t="s">
        <v>6114</v>
      </c>
      <c r="E1709" s="6" t="s">
        <v>6231</v>
      </c>
      <c r="F1709" s="6" t="s">
        <v>6232</v>
      </c>
      <c r="G1709" s="9"/>
      <c r="H1709" s="9" t="s">
        <v>18</v>
      </c>
      <c r="I1709" s="16" t="str">
        <f>VLOOKUP(F1709,[1]完整分类结果!$E:$G,3,0)</f>
        <v>金属制品业</v>
      </c>
      <c r="J1709" s="16">
        <f>VLOOKUP(I1709,[2]行业排放因子!$A:$B,2,0)</f>
        <v>27.1093085906552</v>
      </c>
      <c r="K1709" s="9" t="s">
        <v>756</v>
      </c>
    </row>
    <row r="1710" spans="1:11" ht="12.5" customHeight="1" x14ac:dyDescent="0.25">
      <c r="A1710" s="5" t="s">
        <v>6233</v>
      </c>
      <c r="B1710" s="6" t="s">
        <v>6113</v>
      </c>
      <c r="C1710" s="6" t="s">
        <v>6114</v>
      </c>
      <c r="D1710" s="6" t="s">
        <v>6114</v>
      </c>
      <c r="E1710" s="6" t="s">
        <v>6234</v>
      </c>
      <c r="F1710" s="6" t="s">
        <v>6235</v>
      </c>
      <c r="G1710" s="9"/>
      <c r="H1710" s="9" t="s">
        <v>18</v>
      </c>
      <c r="I1710" s="16" t="str">
        <f>VLOOKUP(F1710,[1]完整分类结果!$E:$G,3,0)</f>
        <v>金属制品业</v>
      </c>
      <c r="J1710" s="16">
        <f>VLOOKUP(I1710,[2]行业排放因子!$A:$B,2,0)</f>
        <v>27.1093085906552</v>
      </c>
      <c r="K1710" s="9" t="s">
        <v>756</v>
      </c>
    </row>
    <row r="1711" spans="1:11" ht="12.5" customHeight="1" x14ac:dyDescent="0.25">
      <c r="A1711" s="5" t="s">
        <v>6236</v>
      </c>
      <c r="B1711" s="6" t="s">
        <v>6113</v>
      </c>
      <c r="C1711" s="6" t="s">
        <v>6114</v>
      </c>
      <c r="D1711" s="6" t="s">
        <v>6114</v>
      </c>
      <c r="E1711" s="6" t="s">
        <v>6237</v>
      </c>
      <c r="F1711" s="6" t="s">
        <v>6238</v>
      </c>
      <c r="G1711" s="9" t="s">
        <v>6239</v>
      </c>
      <c r="H1711" s="9" t="s">
        <v>18</v>
      </c>
      <c r="I1711" s="16" t="str">
        <f>VLOOKUP(F1711,[1]完整分类结果!$E:$G,3,0)</f>
        <v>金属制品业</v>
      </c>
      <c r="J1711" s="16">
        <f>VLOOKUP(I1711,[2]行业排放因子!$A:$B,2,0)</f>
        <v>27.1093085906552</v>
      </c>
      <c r="K1711" s="9" t="s">
        <v>756</v>
      </c>
    </row>
    <row r="1712" spans="1:11" ht="12.5" customHeight="1" x14ac:dyDescent="0.25">
      <c r="A1712" s="5" t="s">
        <v>6240</v>
      </c>
      <c r="B1712" s="6" t="s">
        <v>6113</v>
      </c>
      <c r="C1712" s="6" t="s">
        <v>6114</v>
      </c>
      <c r="D1712" s="6" t="s">
        <v>6114</v>
      </c>
      <c r="E1712" s="6" t="s">
        <v>6241</v>
      </c>
      <c r="F1712" s="6" t="s">
        <v>6242</v>
      </c>
      <c r="G1712" s="9" t="s">
        <v>6243</v>
      </c>
      <c r="H1712" s="9" t="s">
        <v>18</v>
      </c>
      <c r="I1712" s="16" t="str">
        <f>VLOOKUP(F1712,[1]完整分类结果!$E:$G,3,0)</f>
        <v>金属制品业</v>
      </c>
      <c r="J1712" s="16">
        <f>VLOOKUP(I1712,[2]行业排放因子!$A:$B,2,0)</f>
        <v>27.1093085906552</v>
      </c>
      <c r="K1712" s="9" t="s">
        <v>756</v>
      </c>
    </row>
    <row r="1713" spans="1:11" ht="12.5" customHeight="1" x14ac:dyDescent="0.25">
      <c r="A1713" s="5" t="s">
        <v>6244</v>
      </c>
      <c r="B1713" s="6" t="s">
        <v>6113</v>
      </c>
      <c r="C1713" s="6" t="s">
        <v>6114</v>
      </c>
      <c r="D1713" s="6" t="s">
        <v>6114</v>
      </c>
      <c r="E1713" s="6" t="s">
        <v>6245</v>
      </c>
      <c r="F1713" s="6" t="s">
        <v>6246</v>
      </c>
      <c r="G1713" s="9" t="s">
        <v>6247</v>
      </c>
      <c r="H1713" s="9" t="s">
        <v>18</v>
      </c>
      <c r="I1713" s="16" t="str">
        <f>VLOOKUP(F1713,[1]完整分类结果!$E:$G,3,0)</f>
        <v>金属制品业</v>
      </c>
      <c r="J1713" s="16">
        <f>VLOOKUP(I1713,[2]行业排放因子!$A:$B,2,0)</f>
        <v>27.1093085906552</v>
      </c>
      <c r="K1713" s="9" t="s">
        <v>756</v>
      </c>
    </row>
    <row r="1714" spans="1:11" ht="12.5" customHeight="1" x14ac:dyDescent="0.25">
      <c r="A1714" s="5" t="s">
        <v>6248</v>
      </c>
      <c r="B1714" s="6" t="s">
        <v>6113</v>
      </c>
      <c r="C1714" s="6" t="s">
        <v>6114</v>
      </c>
      <c r="D1714" s="6" t="s">
        <v>6114</v>
      </c>
      <c r="E1714" s="6" t="s">
        <v>6249</v>
      </c>
      <c r="F1714" s="6" t="s">
        <v>6250</v>
      </c>
      <c r="G1714" s="9" t="s">
        <v>6251</v>
      </c>
      <c r="H1714" s="9" t="s">
        <v>18</v>
      </c>
      <c r="I1714" s="16" t="str">
        <f>VLOOKUP(F1714,[1]完整分类结果!$E:$G,3,0)</f>
        <v>金属制品业</v>
      </c>
      <c r="J1714" s="16">
        <f>VLOOKUP(I1714,[2]行业排放因子!$A:$B,2,0)</f>
        <v>27.1093085906552</v>
      </c>
      <c r="K1714" s="9" t="s">
        <v>756</v>
      </c>
    </row>
    <row r="1715" spans="1:11" ht="12.5" customHeight="1" x14ac:dyDescent="0.25">
      <c r="A1715" s="5" t="s">
        <v>6252</v>
      </c>
      <c r="B1715" s="6" t="s">
        <v>6113</v>
      </c>
      <c r="C1715" s="6" t="s">
        <v>6114</v>
      </c>
      <c r="D1715" s="6" t="s">
        <v>6114</v>
      </c>
      <c r="E1715" s="6" t="s">
        <v>6253</v>
      </c>
      <c r="F1715" s="6" t="s">
        <v>6254</v>
      </c>
      <c r="G1715" s="9" t="s">
        <v>6255</v>
      </c>
      <c r="H1715" s="9" t="s">
        <v>18</v>
      </c>
      <c r="I1715" s="16" t="str">
        <f>VLOOKUP(F1715,[1]完整分类结果!$E:$G,3,0)</f>
        <v>金属制品业</v>
      </c>
      <c r="J1715" s="16">
        <f>VLOOKUP(I1715,[2]行业排放因子!$A:$B,2,0)</f>
        <v>27.1093085906552</v>
      </c>
      <c r="K1715" s="9" t="s">
        <v>756</v>
      </c>
    </row>
    <row r="1716" spans="1:11" ht="12.5" customHeight="1" x14ac:dyDescent="0.25">
      <c r="A1716" s="5" t="s">
        <v>6256</v>
      </c>
      <c r="B1716" s="6" t="s">
        <v>6113</v>
      </c>
      <c r="C1716" s="6" t="s">
        <v>6114</v>
      </c>
      <c r="D1716" s="6" t="s">
        <v>6114</v>
      </c>
      <c r="E1716" s="6" t="s">
        <v>6257</v>
      </c>
      <c r="F1716" s="6" t="s">
        <v>6258</v>
      </c>
      <c r="G1716" s="9" t="s">
        <v>6259</v>
      </c>
      <c r="H1716" s="9" t="s">
        <v>18</v>
      </c>
      <c r="I1716" s="16" t="str">
        <f>VLOOKUP(F1716,[1]完整分类结果!$E:$G,3,0)</f>
        <v>金属制品业</v>
      </c>
      <c r="J1716" s="16">
        <f>VLOOKUP(I1716,[2]行业排放因子!$A:$B,2,0)</f>
        <v>27.1093085906552</v>
      </c>
      <c r="K1716" s="9" t="s">
        <v>756</v>
      </c>
    </row>
    <row r="1717" spans="1:11" ht="12.5" customHeight="1" x14ac:dyDescent="0.25">
      <c r="A1717" s="5" t="s">
        <v>6260</v>
      </c>
      <c r="B1717" s="6" t="s">
        <v>6113</v>
      </c>
      <c r="C1717" s="6" t="s">
        <v>6114</v>
      </c>
      <c r="D1717" s="6" t="s">
        <v>6114</v>
      </c>
      <c r="E1717" s="6" t="s">
        <v>6261</v>
      </c>
      <c r="F1717" s="6" t="s">
        <v>6262</v>
      </c>
      <c r="G1717" s="9" t="s">
        <v>6263</v>
      </c>
      <c r="H1717" s="9" t="s">
        <v>18</v>
      </c>
      <c r="I1717" s="16" t="str">
        <f>VLOOKUP(F1717,[1]完整分类结果!$E:$G,3,0)</f>
        <v>金属制品业</v>
      </c>
      <c r="J1717" s="16">
        <f>VLOOKUP(I1717,[2]行业排放因子!$A:$B,2,0)</f>
        <v>27.1093085906552</v>
      </c>
      <c r="K1717" s="9" t="s">
        <v>756</v>
      </c>
    </row>
    <row r="1718" spans="1:11" ht="12.5" customHeight="1" x14ac:dyDescent="0.25">
      <c r="A1718" s="5" t="s">
        <v>6264</v>
      </c>
      <c r="B1718" s="6" t="s">
        <v>6113</v>
      </c>
      <c r="C1718" s="6" t="s">
        <v>6114</v>
      </c>
      <c r="D1718" s="6" t="s">
        <v>6114</v>
      </c>
      <c r="E1718" s="6" t="s">
        <v>6265</v>
      </c>
      <c r="F1718" s="6" t="s">
        <v>6266</v>
      </c>
      <c r="G1718" s="9" t="s">
        <v>6267</v>
      </c>
      <c r="H1718" s="9" t="s">
        <v>18</v>
      </c>
      <c r="I1718" s="16" t="str">
        <f>VLOOKUP(F1718,[1]完整分类结果!$E:$G,3,0)</f>
        <v>金属制品业</v>
      </c>
      <c r="J1718" s="16">
        <f>VLOOKUP(I1718,[2]行业排放因子!$A:$B,2,0)</f>
        <v>27.1093085906552</v>
      </c>
      <c r="K1718" s="9" t="s">
        <v>756</v>
      </c>
    </row>
    <row r="1719" spans="1:11" ht="12.5" customHeight="1" x14ac:dyDescent="0.25">
      <c r="A1719" s="5" t="s">
        <v>6268</v>
      </c>
      <c r="B1719" s="6" t="s">
        <v>6113</v>
      </c>
      <c r="C1719" s="6" t="s">
        <v>6114</v>
      </c>
      <c r="D1719" s="6" t="s">
        <v>6114</v>
      </c>
      <c r="E1719" s="6" t="s">
        <v>6269</v>
      </c>
      <c r="F1719" s="6" t="s">
        <v>6270</v>
      </c>
      <c r="G1719" s="9" t="s">
        <v>6271</v>
      </c>
      <c r="H1719" s="9" t="s">
        <v>18</v>
      </c>
      <c r="I1719" s="16" t="str">
        <f>VLOOKUP(F1719,[1]完整分类结果!$E:$G,3,0)</f>
        <v>金属制品业</v>
      </c>
      <c r="J1719" s="16">
        <f>VLOOKUP(I1719,[2]行业排放因子!$A:$B,2,0)</f>
        <v>27.1093085906552</v>
      </c>
      <c r="K1719" s="9" t="s">
        <v>756</v>
      </c>
    </row>
    <row r="1720" spans="1:11" ht="12.5" customHeight="1" x14ac:dyDescent="0.25">
      <c r="A1720" s="5" t="s">
        <v>6272</v>
      </c>
      <c r="B1720" s="6" t="s">
        <v>6113</v>
      </c>
      <c r="C1720" s="6" t="s">
        <v>6114</v>
      </c>
      <c r="D1720" s="6" t="s">
        <v>6114</v>
      </c>
      <c r="E1720" s="6" t="s">
        <v>6273</v>
      </c>
      <c r="F1720" s="6" t="s">
        <v>6274</v>
      </c>
      <c r="G1720" s="9" t="s">
        <v>6275</v>
      </c>
      <c r="H1720" s="9" t="s">
        <v>18</v>
      </c>
      <c r="I1720" s="16" t="str">
        <f>VLOOKUP(F1720,[1]完整分类结果!$E:$G,3,0)</f>
        <v>金属制品业</v>
      </c>
      <c r="J1720" s="16">
        <f>VLOOKUP(I1720,[2]行业排放因子!$A:$B,2,0)</f>
        <v>27.1093085906552</v>
      </c>
      <c r="K1720" s="9" t="s">
        <v>756</v>
      </c>
    </row>
    <row r="1721" spans="1:11" ht="12.5" customHeight="1" x14ac:dyDescent="0.25">
      <c r="A1721" s="5" t="s">
        <v>6276</v>
      </c>
      <c r="B1721" s="6" t="s">
        <v>6113</v>
      </c>
      <c r="C1721" s="6" t="s">
        <v>6114</v>
      </c>
      <c r="D1721" s="6" t="s">
        <v>6114</v>
      </c>
      <c r="E1721" s="6" t="s">
        <v>6277</v>
      </c>
      <c r="F1721" s="6" t="s">
        <v>6278</v>
      </c>
      <c r="G1721" s="9" t="s">
        <v>6279</v>
      </c>
      <c r="H1721" s="9" t="s">
        <v>18</v>
      </c>
      <c r="I1721" s="16" t="str">
        <f>VLOOKUP(F1721,[1]完整分类结果!$E:$G,3,0)</f>
        <v>金属制品业</v>
      </c>
      <c r="J1721" s="16">
        <f>VLOOKUP(I1721,[2]行业排放因子!$A:$B,2,0)</f>
        <v>27.1093085906552</v>
      </c>
      <c r="K1721" s="9" t="s">
        <v>756</v>
      </c>
    </row>
    <row r="1722" spans="1:11" ht="12.5" customHeight="1" x14ac:dyDescent="0.25">
      <c r="A1722" s="5" t="s">
        <v>6280</v>
      </c>
      <c r="B1722" s="6" t="s">
        <v>6113</v>
      </c>
      <c r="C1722" s="6" t="s">
        <v>6114</v>
      </c>
      <c r="D1722" s="6" t="s">
        <v>6114</v>
      </c>
      <c r="E1722" s="6" t="s">
        <v>6281</v>
      </c>
      <c r="F1722" s="6" t="s">
        <v>6282</v>
      </c>
      <c r="G1722" s="9" t="s">
        <v>6283</v>
      </c>
      <c r="H1722" s="9" t="s">
        <v>18</v>
      </c>
      <c r="I1722" s="16" t="str">
        <f>VLOOKUP(F1722,[1]完整分类结果!$E:$G,3,0)</f>
        <v>金属制品业</v>
      </c>
      <c r="J1722" s="16">
        <f>VLOOKUP(I1722,[2]行业排放因子!$A:$B,2,0)</f>
        <v>27.1093085906552</v>
      </c>
      <c r="K1722" s="9" t="s">
        <v>756</v>
      </c>
    </row>
    <row r="1723" spans="1:11" ht="12.5" customHeight="1" x14ac:dyDescent="0.25">
      <c r="A1723" s="5" t="s">
        <v>6284</v>
      </c>
      <c r="B1723" s="6" t="s">
        <v>6113</v>
      </c>
      <c r="C1723" s="6" t="s">
        <v>6114</v>
      </c>
      <c r="D1723" s="6" t="s">
        <v>6114</v>
      </c>
      <c r="E1723" s="6" t="s">
        <v>6285</v>
      </c>
      <c r="F1723" s="6" t="s">
        <v>6286</v>
      </c>
      <c r="G1723" s="9"/>
      <c r="H1723" s="9" t="s">
        <v>18</v>
      </c>
      <c r="I1723" s="16" t="str">
        <f>VLOOKUP(F1723,[1]完整分类结果!$E:$G,3,0)</f>
        <v>金属制品业</v>
      </c>
      <c r="J1723" s="16">
        <f>VLOOKUP(I1723,[2]行业排放因子!$A:$B,2,0)</f>
        <v>27.1093085906552</v>
      </c>
      <c r="K1723" s="9" t="s">
        <v>756</v>
      </c>
    </row>
    <row r="1724" spans="1:11" ht="12.5" customHeight="1" x14ac:dyDescent="0.25">
      <c r="A1724" s="5" t="s">
        <v>6287</v>
      </c>
      <c r="B1724" s="6" t="s">
        <v>6113</v>
      </c>
      <c r="C1724" s="6" t="s">
        <v>6114</v>
      </c>
      <c r="D1724" s="6" t="s">
        <v>6114</v>
      </c>
      <c r="E1724" s="6" t="s">
        <v>6288</v>
      </c>
      <c r="F1724" s="6" t="s">
        <v>6289</v>
      </c>
      <c r="G1724" s="9"/>
      <c r="H1724" s="9" t="s">
        <v>18</v>
      </c>
      <c r="I1724" s="16" t="str">
        <f>VLOOKUP(F1724,[1]完整分类结果!$E:$G,3,0)</f>
        <v>金属制品业</v>
      </c>
      <c r="J1724" s="16">
        <f>VLOOKUP(I1724,[2]行业排放因子!$A:$B,2,0)</f>
        <v>27.1093085906552</v>
      </c>
      <c r="K1724" s="9" t="s">
        <v>756</v>
      </c>
    </row>
    <row r="1725" spans="1:11" ht="12.5" customHeight="1" x14ac:dyDescent="0.25">
      <c r="A1725" s="5" t="s">
        <v>6290</v>
      </c>
      <c r="B1725" s="6" t="s">
        <v>6113</v>
      </c>
      <c r="C1725" s="6" t="s">
        <v>6114</v>
      </c>
      <c r="D1725" s="6" t="s">
        <v>6114</v>
      </c>
      <c r="E1725" s="6" t="s">
        <v>6291</v>
      </c>
      <c r="F1725" s="6" t="s">
        <v>6292</v>
      </c>
      <c r="G1725" s="9" t="s">
        <v>6293</v>
      </c>
      <c r="H1725" s="9" t="s">
        <v>18</v>
      </c>
      <c r="I1725" s="16" t="str">
        <f>VLOOKUP(F1725,[1]完整分类结果!$E:$G,3,0)</f>
        <v>金属制品业</v>
      </c>
      <c r="J1725" s="16">
        <f>VLOOKUP(I1725,[2]行业排放因子!$A:$B,2,0)</f>
        <v>27.1093085906552</v>
      </c>
      <c r="K1725" s="9" t="s">
        <v>756</v>
      </c>
    </row>
    <row r="1726" spans="1:11" ht="12.5" customHeight="1" x14ac:dyDescent="0.25">
      <c r="A1726" s="5" t="s">
        <v>6294</v>
      </c>
      <c r="B1726" s="6" t="s">
        <v>6113</v>
      </c>
      <c r="C1726" s="6" t="s">
        <v>6114</v>
      </c>
      <c r="D1726" s="6" t="s">
        <v>6114</v>
      </c>
      <c r="E1726" s="6" t="s">
        <v>6295</v>
      </c>
      <c r="F1726" s="6" t="s">
        <v>6296</v>
      </c>
      <c r="G1726" s="9" t="s">
        <v>6297</v>
      </c>
      <c r="H1726" s="9" t="s">
        <v>18</v>
      </c>
      <c r="I1726" s="16" t="str">
        <f>VLOOKUP(F1726,[1]完整分类结果!$E:$G,3,0)</f>
        <v>金属制品业</v>
      </c>
      <c r="J1726" s="16">
        <f>VLOOKUP(I1726,[2]行业排放因子!$A:$B,2,0)</f>
        <v>27.1093085906552</v>
      </c>
      <c r="K1726" s="9" t="s">
        <v>756</v>
      </c>
    </row>
    <row r="1727" spans="1:11" ht="12.5" customHeight="1" x14ac:dyDescent="0.25">
      <c r="A1727" s="5" t="s">
        <v>6298</v>
      </c>
      <c r="B1727" s="6" t="s">
        <v>6113</v>
      </c>
      <c r="C1727" s="6" t="s">
        <v>6114</v>
      </c>
      <c r="D1727" s="6" t="s">
        <v>6114</v>
      </c>
      <c r="E1727" s="6" t="s">
        <v>6299</v>
      </c>
      <c r="F1727" s="6" t="s">
        <v>6300</v>
      </c>
      <c r="G1727" s="9" t="s">
        <v>6301</v>
      </c>
      <c r="H1727" s="9" t="s">
        <v>18</v>
      </c>
      <c r="I1727" s="16" t="str">
        <f>VLOOKUP(F1727,[1]完整分类结果!$E:$G,3,0)</f>
        <v>金属制品业</v>
      </c>
      <c r="J1727" s="16">
        <f>VLOOKUP(I1727,[2]行业排放因子!$A:$B,2,0)</f>
        <v>27.1093085906552</v>
      </c>
      <c r="K1727" s="9" t="s">
        <v>756</v>
      </c>
    </row>
    <row r="1728" spans="1:11" ht="12.5" customHeight="1" x14ac:dyDescent="0.25">
      <c r="A1728" s="5" t="s">
        <v>6302</v>
      </c>
      <c r="B1728" s="6" t="s">
        <v>6113</v>
      </c>
      <c r="C1728" s="6" t="s">
        <v>6114</v>
      </c>
      <c r="D1728" s="6" t="s">
        <v>6114</v>
      </c>
      <c r="E1728" s="6" t="s">
        <v>6303</v>
      </c>
      <c r="F1728" s="6" t="s">
        <v>6304</v>
      </c>
      <c r="G1728" s="9"/>
      <c r="H1728" s="9" t="s">
        <v>18</v>
      </c>
      <c r="I1728" s="16" t="str">
        <f>VLOOKUP(F1728,[1]完整分类结果!$E:$G,3,0)</f>
        <v>金属制品业</v>
      </c>
      <c r="J1728" s="16">
        <f>VLOOKUP(I1728,[2]行业排放因子!$A:$B,2,0)</f>
        <v>27.1093085906552</v>
      </c>
      <c r="K1728" s="9" t="s">
        <v>756</v>
      </c>
    </row>
    <row r="1729" spans="1:11" ht="12.5" customHeight="1" x14ac:dyDescent="0.25">
      <c r="A1729" s="5" t="s">
        <v>6305</v>
      </c>
      <c r="B1729" s="6" t="s">
        <v>6113</v>
      </c>
      <c r="C1729" s="6" t="s">
        <v>6114</v>
      </c>
      <c r="D1729" s="6" t="s">
        <v>6114</v>
      </c>
      <c r="E1729" s="6" t="s">
        <v>6306</v>
      </c>
      <c r="F1729" s="6" t="s">
        <v>6307</v>
      </c>
      <c r="G1729" s="9" t="s">
        <v>6308</v>
      </c>
      <c r="H1729" s="9" t="s">
        <v>18</v>
      </c>
      <c r="I1729" s="16" t="str">
        <f>VLOOKUP(F1729,[1]完整分类结果!$E:$G,3,0)</f>
        <v>金属制品业</v>
      </c>
      <c r="J1729" s="16">
        <f>VLOOKUP(I1729,[2]行业排放因子!$A:$B,2,0)</f>
        <v>27.1093085906552</v>
      </c>
      <c r="K1729" s="9" t="s">
        <v>756</v>
      </c>
    </row>
    <row r="1730" spans="1:11" ht="12.5" customHeight="1" x14ac:dyDescent="0.25">
      <c r="A1730" s="5" t="s">
        <v>6309</v>
      </c>
      <c r="B1730" s="6" t="s">
        <v>6113</v>
      </c>
      <c r="C1730" s="6" t="s">
        <v>6114</v>
      </c>
      <c r="D1730" s="6" t="s">
        <v>6114</v>
      </c>
      <c r="E1730" s="6" t="s">
        <v>6310</v>
      </c>
      <c r="F1730" s="6" t="s">
        <v>6311</v>
      </c>
      <c r="G1730" s="9" t="s">
        <v>6312</v>
      </c>
      <c r="H1730" s="9" t="s">
        <v>18</v>
      </c>
      <c r="I1730" s="16" t="str">
        <f>VLOOKUP(F1730,[1]完整分类结果!$E:$G,3,0)</f>
        <v>金属制品业</v>
      </c>
      <c r="J1730" s="16">
        <f>VLOOKUP(I1730,[2]行业排放因子!$A:$B,2,0)</f>
        <v>27.1093085906552</v>
      </c>
      <c r="K1730" s="9" t="s">
        <v>756</v>
      </c>
    </row>
    <row r="1731" spans="1:11" ht="12.5" customHeight="1" x14ac:dyDescent="0.25">
      <c r="A1731" s="5" t="s">
        <v>6313</v>
      </c>
      <c r="B1731" s="6" t="s">
        <v>6113</v>
      </c>
      <c r="C1731" s="6" t="s">
        <v>6114</v>
      </c>
      <c r="D1731" s="6" t="s">
        <v>6114</v>
      </c>
      <c r="E1731" s="6" t="s">
        <v>6314</v>
      </c>
      <c r="F1731" s="6" t="s">
        <v>6315</v>
      </c>
      <c r="G1731" s="9" t="s">
        <v>6316</v>
      </c>
      <c r="H1731" s="9" t="s">
        <v>18</v>
      </c>
      <c r="I1731" s="16" t="str">
        <f>VLOOKUP(F1731,[1]完整分类结果!$E:$G,3,0)</f>
        <v>金属制品业</v>
      </c>
      <c r="J1731" s="16">
        <f>VLOOKUP(I1731,[2]行业排放因子!$A:$B,2,0)</f>
        <v>27.1093085906552</v>
      </c>
      <c r="K1731" s="9" t="s">
        <v>756</v>
      </c>
    </row>
    <row r="1732" spans="1:11" ht="12.5" customHeight="1" x14ac:dyDescent="0.25">
      <c r="A1732" s="5" t="s">
        <v>6317</v>
      </c>
      <c r="B1732" s="6" t="s">
        <v>6113</v>
      </c>
      <c r="C1732" s="6" t="s">
        <v>6114</v>
      </c>
      <c r="D1732" s="6" t="s">
        <v>6114</v>
      </c>
      <c r="E1732" s="6" t="s">
        <v>6318</v>
      </c>
      <c r="F1732" s="6" t="s">
        <v>6319</v>
      </c>
      <c r="G1732" s="9"/>
      <c r="H1732" s="9" t="s">
        <v>18</v>
      </c>
      <c r="I1732" s="16" t="str">
        <f>VLOOKUP(F1732,[1]完整分类结果!$E:$G,3,0)</f>
        <v>金属制品业</v>
      </c>
      <c r="J1732" s="16">
        <f>VLOOKUP(I1732,[2]行业排放因子!$A:$B,2,0)</f>
        <v>27.1093085906552</v>
      </c>
      <c r="K1732" s="9" t="s">
        <v>756</v>
      </c>
    </row>
    <row r="1733" spans="1:11" ht="12.5" customHeight="1" x14ac:dyDescent="0.25">
      <c r="A1733" s="5" t="s">
        <v>6320</v>
      </c>
      <c r="B1733" s="6" t="s">
        <v>6113</v>
      </c>
      <c r="C1733" s="6" t="s">
        <v>6114</v>
      </c>
      <c r="D1733" s="6" t="s">
        <v>6114</v>
      </c>
      <c r="E1733" s="6" t="s">
        <v>6321</v>
      </c>
      <c r="F1733" s="6" t="s">
        <v>6322</v>
      </c>
      <c r="G1733" s="9" t="s">
        <v>6323</v>
      </c>
      <c r="H1733" s="9" t="s">
        <v>18</v>
      </c>
      <c r="I1733" s="16" t="str">
        <f>VLOOKUP(F1733,[1]完整分类结果!$E:$G,3,0)</f>
        <v>金属制品业</v>
      </c>
      <c r="J1733" s="16">
        <f>VLOOKUP(I1733,[2]行业排放因子!$A:$B,2,0)</f>
        <v>27.1093085906552</v>
      </c>
      <c r="K1733" s="9" t="s">
        <v>756</v>
      </c>
    </row>
    <row r="1734" spans="1:11" ht="12.5" customHeight="1" x14ac:dyDescent="0.25">
      <c r="A1734" s="5" t="s">
        <v>6324</v>
      </c>
      <c r="B1734" s="6" t="s">
        <v>6113</v>
      </c>
      <c r="C1734" s="6" t="s">
        <v>6114</v>
      </c>
      <c r="D1734" s="6" t="s">
        <v>6114</v>
      </c>
      <c r="E1734" s="6" t="s">
        <v>6325</v>
      </c>
      <c r="F1734" s="6" t="s">
        <v>6326</v>
      </c>
      <c r="G1734" s="9"/>
      <c r="H1734" s="9" t="s">
        <v>18</v>
      </c>
      <c r="I1734" s="16" t="str">
        <f>VLOOKUP(F1734,[1]完整分类结果!$E:$G,3,0)</f>
        <v>金属制品业</v>
      </c>
      <c r="J1734" s="16">
        <f>VLOOKUP(I1734,[2]行业排放因子!$A:$B,2,0)</f>
        <v>27.1093085906552</v>
      </c>
      <c r="K1734" s="9" t="s">
        <v>756</v>
      </c>
    </row>
    <row r="1735" spans="1:11" ht="12.5" customHeight="1" x14ac:dyDescent="0.25">
      <c r="A1735" s="5" t="s">
        <v>6327</v>
      </c>
      <c r="B1735" s="6" t="s">
        <v>6113</v>
      </c>
      <c r="C1735" s="6" t="s">
        <v>6114</v>
      </c>
      <c r="D1735" s="6" t="s">
        <v>6114</v>
      </c>
      <c r="E1735" s="6" t="s">
        <v>6328</v>
      </c>
      <c r="F1735" s="6" t="s">
        <v>6329</v>
      </c>
      <c r="G1735" s="9" t="s">
        <v>6330</v>
      </c>
      <c r="H1735" s="9" t="s">
        <v>18</v>
      </c>
      <c r="I1735" s="16" t="str">
        <f>VLOOKUP(F1735,[1]完整分类结果!$E:$G,3,0)</f>
        <v>金属制品业</v>
      </c>
      <c r="J1735" s="16">
        <f>VLOOKUP(I1735,[2]行业排放因子!$A:$B,2,0)</f>
        <v>27.1093085906552</v>
      </c>
      <c r="K1735" s="9" t="s">
        <v>756</v>
      </c>
    </row>
    <row r="1736" spans="1:11" ht="12.5" customHeight="1" x14ac:dyDescent="0.25">
      <c r="A1736" s="5" t="s">
        <v>6331</v>
      </c>
      <c r="B1736" s="6" t="s">
        <v>6113</v>
      </c>
      <c r="C1736" s="6" t="s">
        <v>6114</v>
      </c>
      <c r="D1736" s="6" t="s">
        <v>6114</v>
      </c>
      <c r="E1736" s="6" t="s">
        <v>6332</v>
      </c>
      <c r="F1736" s="6" t="s">
        <v>6333</v>
      </c>
      <c r="G1736" s="9" t="s">
        <v>6334</v>
      </c>
      <c r="H1736" s="9" t="s">
        <v>18</v>
      </c>
      <c r="I1736" s="16" t="str">
        <f>VLOOKUP(F1736,[1]完整分类结果!$E:$G,3,0)</f>
        <v>金属制品业</v>
      </c>
      <c r="J1736" s="16">
        <f>VLOOKUP(I1736,[2]行业排放因子!$A:$B,2,0)</f>
        <v>27.1093085906552</v>
      </c>
      <c r="K1736" s="9" t="s">
        <v>756</v>
      </c>
    </row>
    <row r="1737" spans="1:11" ht="12.5" customHeight="1" x14ac:dyDescent="0.25">
      <c r="A1737" s="5" t="s">
        <v>6335</v>
      </c>
      <c r="B1737" s="6" t="s">
        <v>6113</v>
      </c>
      <c r="C1737" s="6" t="s">
        <v>6114</v>
      </c>
      <c r="D1737" s="6" t="s">
        <v>6114</v>
      </c>
      <c r="E1737" s="6" t="s">
        <v>6336</v>
      </c>
      <c r="F1737" s="6" t="s">
        <v>6337</v>
      </c>
      <c r="G1737" s="9" t="s">
        <v>6338</v>
      </c>
      <c r="H1737" s="9" t="s">
        <v>18</v>
      </c>
      <c r="I1737" s="16" t="str">
        <f>VLOOKUP(F1737,[1]完整分类结果!$E:$G,3,0)</f>
        <v>金属制品业</v>
      </c>
      <c r="J1737" s="16">
        <f>VLOOKUP(I1737,[2]行业排放因子!$A:$B,2,0)</f>
        <v>27.1093085906552</v>
      </c>
      <c r="K1737" s="9" t="s">
        <v>756</v>
      </c>
    </row>
    <row r="1738" spans="1:11" ht="12.5" customHeight="1" x14ac:dyDescent="0.25">
      <c r="A1738" s="5" t="s">
        <v>6339</v>
      </c>
      <c r="B1738" s="6" t="s">
        <v>6113</v>
      </c>
      <c r="C1738" s="6" t="s">
        <v>6114</v>
      </c>
      <c r="D1738" s="6" t="s">
        <v>6114</v>
      </c>
      <c r="E1738" s="6" t="s">
        <v>6340</v>
      </c>
      <c r="F1738" s="6" t="s">
        <v>6341</v>
      </c>
      <c r="G1738" s="9"/>
      <c r="H1738" s="9" t="s">
        <v>18</v>
      </c>
      <c r="I1738" s="16" t="str">
        <f>VLOOKUP(F1738,[1]完整分类结果!$E:$G,3,0)</f>
        <v>金属制品业</v>
      </c>
      <c r="J1738" s="16">
        <f>VLOOKUP(I1738,[2]行业排放因子!$A:$B,2,0)</f>
        <v>27.1093085906552</v>
      </c>
      <c r="K1738" s="9" t="s">
        <v>756</v>
      </c>
    </row>
    <row r="1739" spans="1:11" ht="12.5" customHeight="1" x14ac:dyDescent="0.25">
      <c r="A1739" s="5" t="s">
        <v>6342</v>
      </c>
      <c r="B1739" s="6" t="s">
        <v>6113</v>
      </c>
      <c r="C1739" s="6" t="s">
        <v>6114</v>
      </c>
      <c r="D1739" s="6" t="s">
        <v>6114</v>
      </c>
      <c r="E1739" s="6" t="s">
        <v>6343</v>
      </c>
      <c r="F1739" s="6" t="s">
        <v>6344</v>
      </c>
      <c r="G1739" s="9" t="s">
        <v>6345</v>
      </c>
      <c r="H1739" s="9" t="s">
        <v>18</v>
      </c>
      <c r="I1739" s="16" t="str">
        <f>VLOOKUP(F1739,[1]完整分类结果!$E:$G,3,0)</f>
        <v>金属制品业</v>
      </c>
      <c r="J1739" s="16">
        <f>VLOOKUP(I1739,[2]行业排放因子!$A:$B,2,0)</f>
        <v>27.1093085906552</v>
      </c>
      <c r="K1739" s="9" t="s">
        <v>756</v>
      </c>
    </row>
    <row r="1740" spans="1:11" ht="12.5" customHeight="1" x14ac:dyDescent="0.25">
      <c r="A1740" s="5" t="s">
        <v>6346</v>
      </c>
      <c r="B1740" s="6" t="s">
        <v>6113</v>
      </c>
      <c r="C1740" s="6" t="s">
        <v>6114</v>
      </c>
      <c r="D1740" s="6" t="s">
        <v>6114</v>
      </c>
      <c r="E1740" s="6" t="s">
        <v>6347</v>
      </c>
      <c r="F1740" s="6" t="s">
        <v>6348</v>
      </c>
      <c r="G1740" s="9" t="s">
        <v>6349</v>
      </c>
      <c r="H1740" s="9" t="s">
        <v>18</v>
      </c>
      <c r="I1740" s="16" t="str">
        <f>VLOOKUP(F1740,[1]完整分类结果!$E:$G,3,0)</f>
        <v>金属制品业</v>
      </c>
      <c r="J1740" s="16">
        <f>VLOOKUP(I1740,[2]行业排放因子!$A:$B,2,0)</f>
        <v>27.1093085906552</v>
      </c>
      <c r="K1740" s="9" t="s">
        <v>756</v>
      </c>
    </row>
    <row r="1741" spans="1:11" ht="12.5" customHeight="1" x14ac:dyDescent="0.25">
      <c r="A1741" s="5" t="s">
        <v>6350</v>
      </c>
      <c r="B1741" s="6" t="s">
        <v>6113</v>
      </c>
      <c r="C1741" s="6" t="s">
        <v>6114</v>
      </c>
      <c r="D1741" s="6" t="s">
        <v>6114</v>
      </c>
      <c r="E1741" s="6" t="s">
        <v>6351</v>
      </c>
      <c r="F1741" s="6" t="s">
        <v>6352</v>
      </c>
      <c r="G1741" s="9" t="s">
        <v>6353</v>
      </c>
      <c r="H1741" s="9" t="s">
        <v>18</v>
      </c>
      <c r="I1741" s="16" t="str">
        <f>VLOOKUP(F1741,[1]完整分类结果!$E:$G,3,0)</f>
        <v>金属制品业</v>
      </c>
      <c r="J1741" s="16">
        <f>VLOOKUP(I1741,[2]行业排放因子!$A:$B,2,0)</f>
        <v>27.1093085906552</v>
      </c>
      <c r="K1741" s="9" t="s">
        <v>756</v>
      </c>
    </row>
    <row r="1742" spans="1:11" ht="12.5" customHeight="1" x14ac:dyDescent="0.25">
      <c r="A1742" s="5" t="s">
        <v>6354</v>
      </c>
      <c r="B1742" s="6" t="s">
        <v>6113</v>
      </c>
      <c r="C1742" s="6" t="s">
        <v>6114</v>
      </c>
      <c r="D1742" s="6" t="s">
        <v>6114</v>
      </c>
      <c r="E1742" s="6" t="s">
        <v>6355</v>
      </c>
      <c r="F1742" s="6" t="s">
        <v>6356</v>
      </c>
      <c r="G1742" s="9"/>
      <c r="H1742" s="9" t="s">
        <v>18</v>
      </c>
      <c r="I1742" s="16" t="str">
        <f>VLOOKUP(F1742,[1]完整分类结果!$E:$G,3,0)</f>
        <v>金属制品业</v>
      </c>
      <c r="J1742" s="16">
        <f>VLOOKUP(I1742,[2]行业排放因子!$A:$B,2,0)</f>
        <v>27.1093085906552</v>
      </c>
      <c r="K1742" s="9" t="s">
        <v>756</v>
      </c>
    </row>
    <row r="1743" spans="1:11" ht="12.5" customHeight="1" x14ac:dyDescent="0.25">
      <c r="A1743" s="5" t="s">
        <v>6357</v>
      </c>
      <c r="B1743" s="6" t="s">
        <v>6113</v>
      </c>
      <c r="C1743" s="6" t="s">
        <v>6114</v>
      </c>
      <c r="D1743" s="6" t="s">
        <v>6114</v>
      </c>
      <c r="E1743" s="6" t="s">
        <v>6358</v>
      </c>
      <c r="F1743" s="6" t="s">
        <v>6359</v>
      </c>
      <c r="G1743" s="9" t="s">
        <v>6360</v>
      </c>
      <c r="H1743" s="9" t="s">
        <v>18</v>
      </c>
      <c r="I1743" s="16" t="str">
        <f>VLOOKUP(F1743,[1]完整分类结果!$E:$G,3,0)</f>
        <v>金属制品业</v>
      </c>
      <c r="J1743" s="16">
        <f>VLOOKUP(I1743,[2]行业排放因子!$A:$B,2,0)</f>
        <v>27.1093085906552</v>
      </c>
      <c r="K1743" s="9" t="s">
        <v>756</v>
      </c>
    </row>
    <row r="1744" spans="1:11" ht="12.5" customHeight="1" x14ac:dyDescent="0.25">
      <c r="A1744" s="5" t="s">
        <v>6361</v>
      </c>
      <c r="B1744" s="6" t="s">
        <v>6113</v>
      </c>
      <c r="C1744" s="6" t="s">
        <v>6114</v>
      </c>
      <c r="D1744" s="6" t="s">
        <v>6114</v>
      </c>
      <c r="E1744" s="6" t="s">
        <v>6362</v>
      </c>
      <c r="F1744" s="6" t="s">
        <v>6363</v>
      </c>
      <c r="G1744" s="9"/>
      <c r="H1744" s="9" t="s">
        <v>18</v>
      </c>
      <c r="I1744" s="16" t="str">
        <f>VLOOKUP(F1744,[1]完整分类结果!$E:$G,3,0)</f>
        <v>金属制品业</v>
      </c>
      <c r="J1744" s="16">
        <f>VLOOKUP(I1744,[2]行业排放因子!$A:$B,2,0)</f>
        <v>27.1093085906552</v>
      </c>
      <c r="K1744" s="9" t="s">
        <v>756</v>
      </c>
    </row>
    <row r="1745" spans="1:11" ht="12.5" customHeight="1" x14ac:dyDescent="0.25">
      <c r="A1745" s="5" t="s">
        <v>6364</v>
      </c>
      <c r="B1745" s="6" t="s">
        <v>6113</v>
      </c>
      <c r="C1745" s="6" t="s">
        <v>6114</v>
      </c>
      <c r="D1745" s="6" t="s">
        <v>6114</v>
      </c>
      <c r="E1745" s="6" t="s">
        <v>6365</v>
      </c>
      <c r="F1745" s="6" t="s">
        <v>6366</v>
      </c>
      <c r="G1745" s="9"/>
      <c r="H1745" s="9" t="s">
        <v>18</v>
      </c>
      <c r="I1745" s="16" t="str">
        <f>VLOOKUP(F1745,[1]完整分类结果!$E:$G,3,0)</f>
        <v>金属制品业</v>
      </c>
      <c r="J1745" s="16">
        <f>VLOOKUP(I1745,[2]行业排放因子!$A:$B,2,0)</f>
        <v>27.1093085906552</v>
      </c>
      <c r="K1745" s="9" t="s">
        <v>756</v>
      </c>
    </row>
    <row r="1746" spans="1:11" ht="12.5" customHeight="1" x14ac:dyDescent="0.25">
      <c r="A1746" s="5" t="s">
        <v>6367</v>
      </c>
      <c r="B1746" s="6" t="s">
        <v>6113</v>
      </c>
      <c r="C1746" s="6" t="s">
        <v>6114</v>
      </c>
      <c r="D1746" s="6" t="s">
        <v>6114</v>
      </c>
      <c r="E1746" s="6" t="s">
        <v>6368</v>
      </c>
      <c r="F1746" s="6" t="s">
        <v>6369</v>
      </c>
      <c r="G1746" s="9" t="s">
        <v>6370</v>
      </c>
      <c r="H1746" s="9" t="s">
        <v>18</v>
      </c>
      <c r="I1746" s="16" t="str">
        <f>VLOOKUP(F1746,[1]完整分类结果!$E:$G,3,0)</f>
        <v>金属制品业</v>
      </c>
      <c r="J1746" s="16">
        <f>VLOOKUP(I1746,[2]行业排放因子!$A:$B,2,0)</f>
        <v>27.1093085906552</v>
      </c>
      <c r="K1746" s="9" t="s">
        <v>779</v>
      </c>
    </row>
    <row r="1747" spans="1:11" ht="12.5" customHeight="1" x14ac:dyDescent="0.25">
      <c r="A1747" s="5" t="s">
        <v>6371</v>
      </c>
      <c r="B1747" s="6" t="s">
        <v>6113</v>
      </c>
      <c r="C1747" s="6" t="s">
        <v>6114</v>
      </c>
      <c r="D1747" s="6" t="s">
        <v>6114</v>
      </c>
      <c r="E1747" s="6" t="s">
        <v>6372</v>
      </c>
      <c r="F1747" s="6" t="s">
        <v>6373</v>
      </c>
      <c r="G1747" s="9" t="s">
        <v>6374</v>
      </c>
      <c r="H1747" s="9" t="s">
        <v>18</v>
      </c>
      <c r="I1747" s="16" t="str">
        <f>VLOOKUP(F1747,[1]完整分类结果!$E:$G,3,0)</f>
        <v>金属制品业</v>
      </c>
      <c r="J1747" s="16">
        <f>VLOOKUP(I1747,[2]行业排放因子!$A:$B,2,0)</f>
        <v>27.1093085906552</v>
      </c>
      <c r="K1747" s="9" t="s">
        <v>756</v>
      </c>
    </row>
    <row r="1748" spans="1:11" ht="12.5" customHeight="1" x14ac:dyDescent="0.25">
      <c r="A1748" s="5" t="s">
        <v>6375</v>
      </c>
      <c r="B1748" s="6" t="s">
        <v>6113</v>
      </c>
      <c r="C1748" s="6" t="s">
        <v>6114</v>
      </c>
      <c r="D1748" s="6" t="s">
        <v>6114</v>
      </c>
      <c r="E1748" s="6" t="s">
        <v>6376</v>
      </c>
      <c r="F1748" s="6" t="s">
        <v>6377</v>
      </c>
      <c r="G1748" s="9" t="s">
        <v>6378</v>
      </c>
      <c r="H1748" s="9" t="s">
        <v>18</v>
      </c>
      <c r="I1748" s="16" t="str">
        <f>VLOOKUP(F1748,[1]完整分类结果!$E:$G,3,0)</f>
        <v>金属制品业</v>
      </c>
      <c r="J1748" s="16">
        <f>VLOOKUP(I1748,[2]行业排放因子!$A:$B,2,0)</f>
        <v>27.1093085906552</v>
      </c>
      <c r="K1748" s="9" t="s">
        <v>779</v>
      </c>
    </row>
    <row r="1749" spans="1:11" ht="12.5" customHeight="1" x14ac:dyDescent="0.25">
      <c r="A1749" s="5" t="s">
        <v>6379</v>
      </c>
      <c r="B1749" s="6" t="s">
        <v>6113</v>
      </c>
      <c r="C1749" s="6" t="s">
        <v>6114</v>
      </c>
      <c r="D1749" s="6" t="s">
        <v>6114</v>
      </c>
      <c r="E1749" s="6" t="s">
        <v>6380</v>
      </c>
      <c r="F1749" s="6" t="s">
        <v>6381</v>
      </c>
      <c r="G1749" s="9" t="s">
        <v>6382</v>
      </c>
      <c r="H1749" s="9" t="s">
        <v>18</v>
      </c>
      <c r="I1749" s="16" t="str">
        <f>VLOOKUP(F1749,[1]完整分类结果!$E:$G,3,0)</f>
        <v>金属制品业</v>
      </c>
      <c r="J1749" s="16">
        <f>VLOOKUP(I1749,[2]行业排放因子!$A:$B,2,0)</f>
        <v>27.1093085906552</v>
      </c>
      <c r="K1749" s="9" t="s">
        <v>756</v>
      </c>
    </row>
    <row r="1750" spans="1:11" ht="12.5" customHeight="1" x14ac:dyDescent="0.25">
      <c r="A1750" s="5" t="s">
        <v>6383</v>
      </c>
      <c r="B1750" s="6" t="s">
        <v>6113</v>
      </c>
      <c r="C1750" s="6" t="s">
        <v>6114</v>
      </c>
      <c r="D1750" s="6" t="s">
        <v>6114</v>
      </c>
      <c r="E1750" s="6" t="s">
        <v>6384</v>
      </c>
      <c r="F1750" s="6" t="s">
        <v>6385</v>
      </c>
      <c r="G1750" s="9"/>
      <c r="H1750" s="9" t="s">
        <v>18</v>
      </c>
      <c r="I1750" s="16" t="str">
        <f>VLOOKUP(F1750,[1]完整分类结果!$E:$G,3,0)</f>
        <v>金属制品业</v>
      </c>
      <c r="J1750" s="16">
        <f>VLOOKUP(I1750,[2]行业排放因子!$A:$B,2,0)</f>
        <v>27.1093085906552</v>
      </c>
      <c r="K1750" s="9" t="s">
        <v>756</v>
      </c>
    </row>
    <row r="1751" spans="1:11" ht="12.5" customHeight="1" x14ac:dyDescent="0.25">
      <c r="A1751" s="5" t="s">
        <v>6386</v>
      </c>
      <c r="B1751" s="6" t="s">
        <v>6113</v>
      </c>
      <c r="C1751" s="6" t="s">
        <v>6114</v>
      </c>
      <c r="D1751" s="6" t="s">
        <v>6114</v>
      </c>
      <c r="E1751" s="6" t="s">
        <v>6387</v>
      </c>
      <c r="F1751" s="6" t="s">
        <v>6388</v>
      </c>
      <c r="G1751" s="9" t="s">
        <v>6389</v>
      </c>
      <c r="H1751" s="9" t="s">
        <v>18</v>
      </c>
      <c r="I1751" s="16" t="str">
        <f>VLOOKUP(F1751,[1]完整分类结果!$E:$G,3,0)</f>
        <v>金属制品业</v>
      </c>
      <c r="J1751" s="16">
        <f>VLOOKUP(I1751,[2]行业排放因子!$A:$B,2,0)</f>
        <v>27.1093085906552</v>
      </c>
      <c r="K1751" s="9" t="s">
        <v>756</v>
      </c>
    </row>
    <row r="1752" spans="1:11" ht="12.5" customHeight="1" x14ac:dyDescent="0.25">
      <c r="A1752" s="5" t="s">
        <v>6390</v>
      </c>
      <c r="B1752" s="6" t="s">
        <v>6113</v>
      </c>
      <c r="C1752" s="6" t="s">
        <v>6114</v>
      </c>
      <c r="D1752" s="6" t="s">
        <v>6114</v>
      </c>
      <c r="E1752" s="6" t="s">
        <v>6391</v>
      </c>
      <c r="F1752" s="6" t="s">
        <v>6392</v>
      </c>
      <c r="G1752" s="9" t="s">
        <v>6393</v>
      </c>
      <c r="H1752" s="9" t="s">
        <v>18</v>
      </c>
      <c r="I1752" s="16" t="str">
        <f>VLOOKUP(F1752,[1]完整分类结果!$E:$G,3,0)</f>
        <v>金属制品业</v>
      </c>
      <c r="J1752" s="16">
        <f>VLOOKUP(I1752,[2]行业排放因子!$A:$B,2,0)</f>
        <v>27.1093085906552</v>
      </c>
      <c r="K1752" s="9" t="s">
        <v>756</v>
      </c>
    </row>
    <row r="1753" spans="1:11" ht="12.5" customHeight="1" x14ac:dyDescent="0.25">
      <c r="A1753" s="5" t="s">
        <v>6394</v>
      </c>
      <c r="B1753" s="6" t="s">
        <v>6113</v>
      </c>
      <c r="C1753" s="6" t="s">
        <v>6114</v>
      </c>
      <c r="D1753" s="6" t="s">
        <v>6114</v>
      </c>
      <c r="E1753" s="6" t="s">
        <v>6395</v>
      </c>
      <c r="F1753" s="6" t="s">
        <v>6396</v>
      </c>
      <c r="G1753" s="9" t="s">
        <v>6397</v>
      </c>
      <c r="H1753" s="9" t="s">
        <v>18</v>
      </c>
      <c r="I1753" s="16" t="str">
        <f>VLOOKUP(F1753,[1]完整分类结果!$E:$G,3,0)</f>
        <v>金属制品业</v>
      </c>
      <c r="J1753" s="16">
        <f>VLOOKUP(I1753,[2]行业排放因子!$A:$B,2,0)</f>
        <v>27.1093085906552</v>
      </c>
      <c r="K1753" s="9" t="s">
        <v>756</v>
      </c>
    </row>
    <row r="1754" spans="1:11" ht="12.5" customHeight="1" x14ac:dyDescent="0.25">
      <c r="A1754" s="5" t="s">
        <v>6398</v>
      </c>
      <c r="B1754" s="6" t="s">
        <v>6113</v>
      </c>
      <c r="C1754" s="6" t="s">
        <v>6114</v>
      </c>
      <c r="D1754" s="6" t="s">
        <v>6114</v>
      </c>
      <c r="E1754" s="6" t="s">
        <v>6399</v>
      </c>
      <c r="F1754" s="6" t="s">
        <v>6400</v>
      </c>
      <c r="G1754" s="9" t="s">
        <v>6401</v>
      </c>
      <c r="H1754" s="9" t="s">
        <v>18</v>
      </c>
      <c r="I1754" s="16" t="str">
        <f>VLOOKUP(F1754,[1]完整分类结果!$E:$G,3,0)</f>
        <v>金属制品业</v>
      </c>
      <c r="J1754" s="16">
        <f>VLOOKUP(I1754,[2]行业排放因子!$A:$B,2,0)</f>
        <v>27.1093085906552</v>
      </c>
      <c r="K1754" s="9" t="s">
        <v>756</v>
      </c>
    </row>
    <row r="1755" spans="1:11" ht="12.5" customHeight="1" x14ac:dyDescent="0.25">
      <c r="A1755" s="5" t="s">
        <v>6402</v>
      </c>
      <c r="B1755" s="6" t="s">
        <v>6113</v>
      </c>
      <c r="C1755" s="6" t="s">
        <v>6114</v>
      </c>
      <c r="D1755" s="6" t="s">
        <v>6114</v>
      </c>
      <c r="E1755" s="6" t="s">
        <v>6403</v>
      </c>
      <c r="F1755" s="6" t="s">
        <v>6404</v>
      </c>
      <c r="G1755" s="9" t="s">
        <v>6405</v>
      </c>
      <c r="H1755" s="9" t="s">
        <v>18</v>
      </c>
      <c r="I1755" s="16" t="str">
        <f>VLOOKUP(F1755,[1]完整分类结果!$E:$G,3,0)</f>
        <v>金属制品业</v>
      </c>
      <c r="J1755" s="16">
        <f>VLOOKUP(I1755,[2]行业排放因子!$A:$B,2,0)</f>
        <v>27.1093085906552</v>
      </c>
      <c r="K1755" s="9" t="s">
        <v>756</v>
      </c>
    </row>
    <row r="1756" spans="1:11" ht="12.5" customHeight="1" x14ac:dyDescent="0.25">
      <c r="A1756" s="5" t="s">
        <v>6406</v>
      </c>
      <c r="B1756" s="6" t="s">
        <v>6113</v>
      </c>
      <c r="C1756" s="6" t="s">
        <v>6114</v>
      </c>
      <c r="D1756" s="6" t="s">
        <v>6114</v>
      </c>
      <c r="E1756" s="6" t="s">
        <v>6407</v>
      </c>
      <c r="F1756" s="6" t="s">
        <v>6408</v>
      </c>
      <c r="G1756" s="9"/>
      <c r="H1756" s="9" t="s">
        <v>18</v>
      </c>
      <c r="I1756" s="16" t="str">
        <f>VLOOKUP(F1756,[1]完整分类结果!$E:$G,3,0)</f>
        <v>金属制品业</v>
      </c>
      <c r="J1756" s="16">
        <f>VLOOKUP(I1756,[2]行业排放因子!$A:$B,2,0)</f>
        <v>27.1093085906552</v>
      </c>
      <c r="K1756" s="9" t="s">
        <v>756</v>
      </c>
    </row>
    <row r="1757" spans="1:11" ht="12.5" customHeight="1" x14ac:dyDescent="0.25">
      <c r="A1757" s="5" t="s">
        <v>6409</v>
      </c>
      <c r="B1757" s="6" t="s">
        <v>6113</v>
      </c>
      <c r="C1757" s="6" t="s">
        <v>6114</v>
      </c>
      <c r="D1757" s="6" t="s">
        <v>6114</v>
      </c>
      <c r="E1757" s="6" t="s">
        <v>6410</v>
      </c>
      <c r="F1757" s="6" t="s">
        <v>6411</v>
      </c>
      <c r="G1757" s="9" t="s">
        <v>6412</v>
      </c>
      <c r="H1757" s="9" t="s">
        <v>18</v>
      </c>
      <c r="I1757" s="16" t="str">
        <f>VLOOKUP(F1757,[1]完整分类结果!$E:$G,3,0)</f>
        <v>金属制品业</v>
      </c>
      <c r="J1757" s="16">
        <f>VLOOKUP(I1757,[2]行业排放因子!$A:$B,2,0)</f>
        <v>27.1093085906552</v>
      </c>
      <c r="K1757" s="9" t="s">
        <v>756</v>
      </c>
    </row>
    <row r="1758" spans="1:11" ht="12.5" customHeight="1" x14ac:dyDescent="0.25">
      <c r="A1758" s="5" t="s">
        <v>6413</v>
      </c>
      <c r="B1758" s="6" t="s">
        <v>6113</v>
      </c>
      <c r="C1758" s="6" t="s">
        <v>6114</v>
      </c>
      <c r="D1758" s="6" t="s">
        <v>6114</v>
      </c>
      <c r="E1758" s="6" t="s">
        <v>6414</v>
      </c>
      <c r="F1758" s="6" t="s">
        <v>6415</v>
      </c>
      <c r="G1758" s="9" t="s">
        <v>6416</v>
      </c>
      <c r="H1758" s="9" t="s">
        <v>18</v>
      </c>
      <c r="I1758" s="16" t="str">
        <f>VLOOKUP(F1758,[1]完整分类结果!$E:$G,3,0)</f>
        <v>金属制品业</v>
      </c>
      <c r="J1758" s="16">
        <f>VLOOKUP(I1758,[2]行业排放因子!$A:$B,2,0)</f>
        <v>27.1093085906552</v>
      </c>
      <c r="K1758" s="9" t="s">
        <v>756</v>
      </c>
    </row>
    <row r="1759" spans="1:11" ht="12.5" customHeight="1" x14ac:dyDescent="0.25">
      <c r="A1759" s="5" t="s">
        <v>6417</v>
      </c>
      <c r="B1759" s="6" t="s">
        <v>6113</v>
      </c>
      <c r="C1759" s="6" t="s">
        <v>6114</v>
      </c>
      <c r="D1759" s="6" t="s">
        <v>6114</v>
      </c>
      <c r="E1759" s="6" t="s">
        <v>6418</v>
      </c>
      <c r="F1759" s="6" t="s">
        <v>6419</v>
      </c>
      <c r="G1759" s="9" t="s">
        <v>6420</v>
      </c>
      <c r="H1759" s="9" t="s">
        <v>18</v>
      </c>
      <c r="I1759" s="16" t="str">
        <f>VLOOKUP(F1759,[1]完整分类结果!$E:$G,3,0)</f>
        <v>金属制品业</v>
      </c>
      <c r="J1759" s="16">
        <f>VLOOKUP(I1759,[2]行业排放因子!$A:$B,2,0)</f>
        <v>27.1093085906552</v>
      </c>
      <c r="K1759" s="9" t="s">
        <v>756</v>
      </c>
    </row>
    <row r="1760" spans="1:11" ht="12.5" customHeight="1" x14ac:dyDescent="0.25">
      <c r="A1760" s="5" t="s">
        <v>6421</v>
      </c>
      <c r="B1760" s="6" t="s">
        <v>6113</v>
      </c>
      <c r="C1760" s="6" t="s">
        <v>6114</v>
      </c>
      <c r="D1760" s="6" t="s">
        <v>6114</v>
      </c>
      <c r="E1760" s="6" t="s">
        <v>6422</v>
      </c>
      <c r="F1760" s="6" t="s">
        <v>6423</v>
      </c>
      <c r="G1760" s="9" t="s">
        <v>6424</v>
      </c>
      <c r="H1760" s="9" t="s">
        <v>18</v>
      </c>
      <c r="I1760" s="16" t="str">
        <f>VLOOKUP(F1760,[1]完整分类结果!$E:$G,3,0)</f>
        <v>金属制品业</v>
      </c>
      <c r="J1760" s="16">
        <f>VLOOKUP(I1760,[2]行业排放因子!$A:$B,2,0)</f>
        <v>27.1093085906552</v>
      </c>
      <c r="K1760" s="9" t="s">
        <v>756</v>
      </c>
    </row>
    <row r="1761" spans="1:11" ht="12.5" customHeight="1" x14ac:dyDescent="0.25">
      <c r="A1761" s="5" t="s">
        <v>6425</v>
      </c>
      <c r="B1761" s="6" t="s">
        <v>6113</v>
      </c>
      <c r="C1761" s="6" t="s">
        <v>6114</v>
      </c>
      <c r="D1761" s="6" t="s">
        <v>6114</v>
      </c>
      <c r="E1761" s="6" t="s">
        <v>6426</v>
      </c>
      <c r="F1761" s="6" t="s">
        <v>6427</v>
      </c>
      <c r="G1761" s="9" t="s">
        <v>6428</v>
      </c>
      <c r="H1761" s="9" t="s">
        <v>18</v>
      </c>
      <c r="I1761" s="16" t="str">
        <f>VLOOKUP(F1761,[1]完整分类结果!$E:$G,3,0)</f>
        <v>金属制品业</v>
      </c>
      <c r="J1761" s="16">
        <f>VLOOKUP(I1761,[2]行业排放因子!$A:$B,2,0)</f>
        <v>27.1093085906552</v>
      </c>
      <c r="K1761" s="9" t="s">
        <v>756</v>
      </c>
    </row>
    <row r="1762" spans="1:11" ht="12.5" customHeight="1" x14ac:dyDescent="0.25">
      <c r="A1762" s="5" t="s">
        <v>6429</v>
      </c>
      <c r="B1762" s="6" t="s">
        <v>6113</v>
      </c>
      <c r="C1762" s="6" t="s">
        <v>6114</v>
      </c>
      <c r="D1762" s="6" t="s">
        <v>6114</v>
      </c>
      <c r="E1762" s="6" t="s">
        <v>6430</v>
      </c>
      <c r="F1762" s="6" t="s">
        <v>6431</v>
      </c>
      <c r="G1762" s="9" t="s">
        <v>6432</v>
      </c>
      <c r="H1762" s="9" t="s">
        <v>18</v>
      </c>
      <c r="I1762" s="16" t="str">
        <f>VLOOKUP(F1762,[1]完整分类结果!$E:$G,3,0)</f>
        <v>金属制品业</v>
      </c>
      <c r="J1762" s="16">
        <f>VLOOKUP(I1762,[2]行业排放因子!$A:$B,2,0)</f>
        <v>27.1093085906552</v>
      </c>
      <c r="K1762" s="9" t="s">
        <v>756</v>
      </c>
    </row>
    <row r="1763" spans="1:11" ht="12.5" customHeight="1" x14ac:dyDescent="0.25">
      <c r="A1763" s="5" t="s">
        <v>6433</v>
      </c>
      <c r="B1763" s="6" t="s">
        <v>6113</v>
      </c>
      <c r="C1763" s="6" t="s">
        <v>6114</v>
      </c>
      <c r="D1763" s="6" t="s">
        <v>6114</v>
      </c>
      <c r="E1763" s="6" t="s">
        <v>6434</v>
      </c>
      <c r="F1763" s="6" t="s">
        <v>6435</v>
      </c>
      <c r="G1763" s="9" t="s">
        <v>6436</v>
      </c>
      <c r="H1763" s="9" t="s">
        <v>18</v>
      </c>
      <c r="I1763" s="16" t="str">
        <f>VLOOKUP(F1763,[1]完整分类结果!$E:$G,3,0)</f>
        <v>金属制品业</v>
      </c>
      <c r="J1763" s="16">
        <f>VLOOKUP(I1763,[2]行业排放因子!$A:$B,2,0)</f>
        <v>27.1093085906552</v>
      </c>
      <c r="K1763" s="9" t="s">
        <v>756</v>
      </c>
    </row>
    <row r="1764" spans="1:11" ht="12.5" customHeight="1" x14ac:dyDescent="0.25">
      <c r="A1764" s="5" t="s">
        <v>6437</v>
      </c>
      <c r="B1764" s="6" t="s">
        <v>6113</v>
      </c>
      <c r="C1764" s="6" t="s">
        <v>6114</v>
      </c>
      <c r="D1764" s="6" t="s">
        <v>6114</v>
      </c>
      <c r="E1764" s="6" t="s">
        <v>6438</v>
      </c>
      <c r="F1764" s="6" t="s">
        <v>6439</v>
      </c>
      <c r="G1764" s="9" t="s">
        <v>6440</v>
      </c>
      <c r="H1764" s="9" t="s">
        <v>18</v>
      </c>
      <c r="I1764" s="16" t="str">
        <f>VLOOKUP(F1764,[1]完整分类结果!$E:$G,3,0)</f>
        <v>金属制品业</v>
      </c>
      <c r="J1764" s="16">
        <f>VLOOKUP(I1764,[2]行业排放因子!$A:$B,2,0)</f>
        <v>27.1093085906552</v>
      </c>
      <c r="K1764" s="9" t="s">
        <v>756</v>
      </c>
    </row>
    <row r="1765" spans="1:11" ht="12.5" customHeight="1" x14ac:dyDescent="0.25">
      <c r="A1765" s="5" t="s">
        <v>6441</v>
      </c>
      <c r="B1765" s="6" t="s">
        <v>6113</v>
      </c>
      <c r="C1765" s="6" t="s">
        <v>6114</v>
      </c>
      <c r="D1765" s="6" t="s">
        <v>6114</v>
      </c>
      <c r="E1765" s="6" t="s">
        <v>6442</v>
      </c>
      <c r="F1765" s="6" t="s">
        <v>6443</v>
      </c>
      <c r="G1765" s="9" t="s">
        <v>6444</v>
      </c>
      <c r="H1765" s="9" t="s">
        <v>18</v>
      </c>
      <c r="I1765" s="16" t="str">
        <f>VLOOKUP(F1765,[1]完整分类结果!$E:$G,3,0)</f>
        <v>金属制品业</v>
      </c>
      <c r="J1765" s="16">
        <f>VLOOKUP(I1765,[2]行业排放因子!$A:$B,2,0)</f>
        <v>27.1093085906552</v>
      </c>
      <c r="K1765" s="9" t="s">
        <v>756</v>
      </c>
    </row>
    <row r="1766" spans="1:11" ht="12.5" customHeight="1" x14ac:dyDescent="0.25">
      <c r="A1766" s="5" t="s">
        <v>6445</v>
      </c>
      <c r="B1766" s="6" t="s">
        <v>6113</v>
      </c>
      <c r="C1766" s="6" t="s">
        <v>6114</v>
      </c>
      <c r="D1766" s="6" t="s">
        <v>6114</v>
      </c>
      <c r="E1766" s="6" t="s">
        <v>6446</v>
      </c>
      <c r="F1766" s="6" t="s">
        <v>6447</v>
      </c>
      <c r="G1766" s="9" t="s">
        <v>6448</v>
      </c>
      <c r="H1766" s="9" t="s">
        <v>18</v>
      </c>
      <c r="I1766" s="16" t="str">
        <f>VLOOKUP(F1766,[1]完整分类结果!$E:$G,3,0)</f>
        <v>金属制品业</v>
      </c>
      <c r="J1766" s="16">
        <f>VLOOKUP(I1766,[2]行业排放因子!$A:$B,2,0)</f>
        <v>27.1093085906552</v>
      </c>
      <c r="K1766" s="9" t="s">
        <v>756</v>
      </c>
    </row>
    <row r="1767" spans="1:11" ht="12.5" customHeight="1" x14ac:dyDescent="0.25">
      <c r="A1767" s="5" t="s">
        <v>6449</v>
      </c>
      <c r="B1767" s="6" t="s">
        <v>6113</v>
      </c>
      <c r="C1767" s="6" t="s">
        <v>6114</v>
      </c>
      <c r="D1767" s="6" t="s">
        <v>6114</v>
      </c>
      <c r="E1767" s="6" t="s">
        <v>6450</v>
      </c>
      <c r="F1767" s="6" t="s">
        <v>6451</v>
      </c>
      <c r="G1767" s="9" t="s">
        <v>6452</v>
      </c>
      <c r="H1767" s="9" t="s">
        <v>18</v>
      </c>
      <c r="I1767" s="16" t="str">
        <f>VLOOKUP(F1767,[1]完整分类结果!$E:$G,3,0)</f>
        <v>金属制品业</v>
      </c>
      <c r="J1767" s="16">
        <f>VLOOKUP(I1767,[2]行业排放因子!$A:$B,2,0)</f>
        <v>27.1093085906552</v>
      </c>
      <c r="K1767" s="9" t="s">
        <v>756</v>
      </c>
    </row>
    <row r="1768" spans="1:11" ht="12.5" customHeight="1" x14ac:dyDescent="0.25">
      <c r="A1768" s="5" t="s">
        <v>6453</v>
      </c>
      <c r="B1768" s="6" t="s">
        <v>6113</v>
      </c>
      <c r="C1768" s="6" t="s">
        <v>6114</v>
      </c>
      <c r="D1768" s="6" t="s">
        <v>6114</v>
      </c>
      <c r="E1768" s="6" t="s">
        <v>6454</v>
      </c>
      <c r="F1768" s="6" t="s">
        <v>6455</v>
      </c>
      <c r="G1768" s="9" t="s">
        <v>6456</v>
      </c>
      <c r="H1768" s="9" t="s">
        <v>18</v>
      </c>
      <c r="I1768" s="16" t="str">
        <f>VLOOKUP(F1768,[1]完整分类结果!$E:$G,3,0)</f>
        <v>金属制品业</v>
      </c>
      <c r="J1768" s="16">
        <f>VLOOKUP(I1768,[2]行业排放因子!$A:$B,2,0)</f>
        <v>27.1093085906552</v>
      </c>
      <c r="K1768" s="9" t="s">
        <v>756</v>
      </c>
    </row>
    <row r="1769" spans="1:11" ht="12.5" customHeight="1" x14ac:dyDescent="0.25">
      <c r="A1769" s="5" t="s">
        <v>6457</v>
      </c>
      <c r="B1769" s="6" t="s">
        <v>6113</v>
      </c>
      <c r="C1769" s="6" t="s">
        <v>6114</v>
      </c>
      <c r="D1769" s="6" t="s">
        <v>6114</v>
      </c>
      <c r="E1769" s="6" t="s">
        <v>6458</v>
      </c>
      <c r="F1769" s="6" t="s">
        <v>6459</v>
      </c>
      <c r="G1769" s="9" t="s">
        <v>6460</v>
      </c>
      <c r="H1769" s="9" t="s">
        <v>18</v>
      </c>
      <c r="I1769" s="16" t="str">
        <f>VLOOKUP(F1769,[1]完整分类结果!$E:$G,3,0)</f>
        <v>金属制品业</v>
      </c>
      <c r="J1769" s="16">
        <f>VLOOKUP(I1769,[2]行业排放因子!$A:$B,2,0)</f>
        <v>27.1093085906552</v>
      </c>
      <c r="K1769" s="9" t="s">
        <v>756</v>
      </c>
    </row>
    <row r="1770" spans="1:11" ht="12.5" customHeight="1" x14ac:dyDescent="0.25">
      <c r="A1770" s="5" t="s">
        <v>6461</v>
      </c>
      <c r="B1770" s="6" t="s">
        <v>6113</v>
      </c>
      <c r="C1770" s="6" t="s">
        <v>6114</v>
      </c>
      <c r="D1770" s="6" t="s">
        <v>6114</v>
      </c>
      <c r="E1770" s="6" t="s">
        <v>6462</v>
      </c>
      <c r="F1770" s="6" t="s">
        <v>6463</v>
      </c>
      <c r="G1770" s="9" t="s">
        <v>6464</v>
      </c>
      <c r="H1770" s="9" t="s">
        <v>18</v>
      </c>
      <c r="I1770" s="16" t="str">
        <f>VLOOKUP(F1770,[1]完整分类结果!$E:$G,3,0)</f>
        <v>金属制品业</v>
      </c>
      <c r="J1770" s="16">
        <f>VLOOKUP(I1770,[2]行业排放因子!$A:$B,2,0)</f>
        <v>27.1093085906552</v>
      </c>
      <c r="K1770" s="9" t="s">
        <v>756</v>
      </c>
    </row>
    <row r="1771" spans="1:11" ht="12.5" customHeight="1" x14ac:dyDescent="0.25">
      <c r="A1771" s="5" t="s">
        <v>6465</v>
      </c>
      <c r="B1771" s="6" t="s">
        <v>6113</v>
      </c>
      <c r="C1771" s="6" t="s">
        <v>6114</v>
      </c>
      <c r="D1771" s="6" t="s">
        <v>6114</v>
      </c>
      <c r="E1771" s="6" t="s">
        <v>6466</v>
      </c>
      <c r="F1771" s="6" t="s">
        <v>6467</v>
      </c>
      <c r="G1771" s="9" t="s">
        <v>6468</v>
      </c>
      <c r="H1771" s="9" t="s">
        <v>18</v>
      </c>
      <c r="I1771" s="16" t="str">
        <f>VLOOKUP(F1771,[1]完整分类结果!$E:$G,3,0)</f>
        <v>金属制品业</v>
      </c>
      <c r="J1771" s="16">
        <f>VLOOKUP(I1771,[2]行业排放因子!$A:$B,2,0)</f>
        <v>27.1093085906552</v>
      </c>
      <c r="K1771" s="9" t="s">
        <v>756</v>
      </c>
    </row>
    <row r="1772" spans="1:11" ht="12.5" customHeight="1" x14ac:dyDescent="0.25">
      <c r="A1772" s="5" t="s">
        <v>6469</v>
      </c>
      <c r="B1772" s="6" t="s">
        <v>6113</v>
      </c>
      <c r="C1772" s="6" t="s">
        <v>6114</v>
      </c>
      <c r="D1772" s="6" t="s">
        <v>6114</v>
      </c>
      <c r="E1772" s="6" t="s">
        <v>6470</v>
      </c>
      <c r="F1772" s="6" t="s">
        <v>6471</v>
      </c>
      <c r="G1772" s="9" t="s">
        <v>6472</v>
      </c>
      <c r="H1772" s="9" t="s">
        <v>18</v>
      </c>
      <c r="I1772" s="16" t="str">
        <f>VLOOKUP(F1772,[1]完整分类结果!$E:$G,3,0)</f>
        <v>金属制品业</v>
      </c>
      <c r="J1772" s="16">
        <f>VLOOKUP(I1772,[2]行业排放因子!$A:$B,2,0)</f>
        <v>27.1093085906552</v>
      </c>
      <c r="K1772" s="9" t="s">
        <v>756</v>
      </c>
    </row>
    <row r="1773" spans="1:11" ht="12.5" customHeight="1" x14ac:dyDescent="0.25">
      <c r="A1773" s="5" t="s">
        <v>6473</v>
      </c>
      <c r="B1773" s="6" t="s">
        <v>6113</v>
      </c>
      <c r="C1773" s="6" t="s">
        <v>6114</v>
      </c>
      <c r="D1773" s="6" t="s">
        <v>6114</v>
      </c>
      <c r="E1773" s="6" t="s">
        <v>6474</v>
      </c>
      <c r="F1773" s="6" t="s">
        <v>6475</v>
      </c>
      <c r="G1773" s="9" t="s">
        <v>6476</v>
      </c>
      <c r="H1773" s="9" t="s">
        <v>18</v>
      </c>
      <c r="I1773" s="16" t="str">
        <f>VLOOKUP(F1773,[1]完整分类结果!$E:$G,3,0)</f>
        <v>金属制品业</v>
      </c>
      <c r="J1773" s="16">
        <f>VLOOKUP(I1773,[2]行业排放因子!$A:$B,2,0)</f>
        <v>27.1093085906552</v>
      </c>
      <c r="K1773" s="9" t="s">
        <v>756</v>
      </c>
    </row>
    <row r="1774" spans="1:11" ht="12.5" customHeight="1" x14ac:dyDescent="0.25">
      <c r="A1774" s="5" t="s">
        <v>6477</v>
      </c>
      <c r="B1774" s="6" t="s">
        <v>6113</v>
      </c>
      <c r="C1774" s="6" t="s">
        <v>6114</v>
      </c>
      <c r="D1774" s="6" t="s">
        <v>6114</v>
      </c>
      <c r="E1774" s="6" t="s">
        <v>6478</v>
      </c>
      <c r="F1774" s="6" t="s">
        <v>6479</v>
      </c>
      <c r="G1774" s="9" t="s">
        <v>6480</v>
      </c>
      <c r="H1774" s="9" t="s">
        <v>18</v>
      </c>
      <c r="I1774" s="16" t="str">
        <f>VLOOKUP(F1774,[1]完整分类结果!$E:$G,3,0)</f>
        <v>金属制品业</v>
      </c>
      <c r="J1774" s="16">
        <f>VLOOKUP(I1774,[2]行业排放因子!$A:$B,2,0)</f>
        <v>27.1093085906552</v>
      </c>
      <c r="K1774" s="9" t="s">
        <v>756</v>
      </c>
    </row>
    <row r="1775" spans="1:11" ht="12.5" customHeight="1" x14ac:dyDescent="0.25">
      <c r="A1775" s="5" t="s">
        <v>6481</v>
      </c>
      <c r="B1775" s="6" t="s">
        <v>6113</v>
      </c>
      <c r="C1775" s="6" t="s">
        <v>6114</v>
      </c>
      <c r="D1775" s="6" t="s">
        <v>6114</v>
      </c>
      <c r="E1775" s="6" t="s">
        <v>6482</v>
      </c>
      <c r="F1775" s="6" t="s">
        <v>6483</v>
      </c>
      <c r="G1775" s="9" t="s">
        <v>6484</v>
      </c>
      <c r="H1775" s="9" t="s">
        <v>18</v>
      </c>
      <c r="I1775" s="16" t="str">
        <f>VLOOKUP(F1775,[1]完整分类结果!$E:$G,3,0)</f>
        <v>金属制品业</v>
      </c>
      <c r="J1775" s="16">
        <f>VLOOKUP(I1775,[2]行业排放因子!$A:$B,2,0)</f>
        <v>27.1093085906552</v>
      </c>
      <c r="K1775" s="9" t="s">
        <v>756</v>
      </c>
    </row>
    <row r="1776" spans="1:11" ht="12.5" customHeight="1" x14ac:dyDescent="0.25">
      <c r="A1776" s="5" t="s">
        <v>6485</v>
      </c>
      <c r="B1776" s="6" t="s">
        <v>6113</v>
      </c>
      <c r="C1776" s="6" t="s">
        <v>6114</v>
      </c>
      <c r="D1776" s="6" t="s">
        <v>6114</v>
      </c>
      <c r="E1776" s="6" t="s">
        <v>6486</v>
      </c>
      <c r="F1776" s="6" t="s">
        <v>6487</v>
      </c>
      <c r="G1776" s="9" t="s">
        <v>6488</v>
      </c>
      <c r="H1776" s="9" t="s">
        <v>18</v>
      </c>
      <c r="I1776" s="16" t="str">
        <f>VLOOKUP(F1776,[1]完整分类结果!$E:$G,3,0)</f>
        <v>金属制品业</v>
      </c>
      <c r="J1776" s="16">
        <f>VLOOKUP(I1776,[2]行业排放因子!$A:$B,2,0)</f>
        <v>27.1093085906552</v>
      </c>
      <c r="K1776" s="9" t="s">
        <v>756</v>
      </c>
    </row>
    <row r="1777" spans="1:11" ht="12.5" customHeight="1" x14ac:dyDescent="0.25">
      <c r="A1777" s="5" t="s">
        <v>6489</v>
      </c>
      <c r="B1777" s="6" t="s">
        <v>6113</v>
      </c>
      <c r="C1777" s="6" t="s">
        <v>6114</v>
      </c>
      <c r="D1777" s="6" t="s">
        <v>6114</v>
      </c>
      <c r="E1777" s="6" t="s">
        <v>6490</v>
      </c>
      <c r="F1777" s="6" t="s">
        <v>6491</v>
      </c>
      <c r="G1777" s="9" t="s">
        <v>6492</v>
      </c>
      <c r="H1777" s="9" t="s">
        <v>18</v>
      </c>
      <c r="I1777" s="16" t="str">
        <f>VLOOKUP(F1777,[1]完整分类结果!$E:$G,3,0)</f>
        <v>金属制品业</v>
      </c>
      <c r="J1777" s="16">
        <f>VLOOKUP(I1777,[2]行业排放因子!$A:$B,2,0)</f>
        <v>27.1093085906552</v>
      </c>
      <c r="K1777" s="9" t="s">
        <v>756</v>
      </c>
    </row>
    <row r="1778" spans="1:11" ht="12.5" customHeight="1" x14ac:dyDescent="0.25">
      <c r="A1778" s="5" t="s">
        <v>6493</v>
      </c>
      <c r="B1778" s="6" t="s">
        <v>6113</v>
      </c>
      <c r="C1778" s="6" t="s">
        <v>6114</v>
      </c>
      <c r="D1778" s="6" t="s">
        <v>6114</v>
      </c>
      <c r="E1778" s="6" t="s">
        <v>6494</v>
      </c>
      <c r="F1778" s="6" t="s">
        <v>6495</v>
      </c>
      <c r="G1778" s="9" t="s">
        <v>6496</v>
      </c>
      <c r="H1778" s="9" t="s">
        <v>18</v>
      </c>
      <c r="I1778" s="16" t="str">
        <f>VLOOKUP(F1778,[1]完整分类结果!$E:$G,3,0)</f>
        <v>金属制品业</v>
      </c>
      <c r="J1778" s="16">
        <f>VLOOKUP(I1778,[2]行业排放因子!$A:$B,2,0)</f>
        <v>27.1093085906552</v>
      </c>
      <c r="K1778" s="9" t="s">
        <v>756</v>
      </c>
    </row>
    <row r="1779" spans="1:11" ht="12.5" customHeight="1" x14ac:dyDescent="0.25">
      <c r="A1779" s="5" t="s">
        <v>6497</v>
      </c>
      <c r="B1779" s="6" t="s">
        <v>6113</v>
      </c>
      <c r="C1779" s="6" t="s">
        <v>6114</v>
      </c>
      <c r="D1779" s="6" t="s">
        <v>6114</v>
      </c>
      <c r="E1779" s="6" t="s">
        <v>6498</v>
      </c>
      <c r="F1779" s="6" t="s">
        <v>6499</v>
      </c>
      <c r="G1779" s="9" t="s">
        <v>6500</v>
      </c>
      <c r="H1779" s="9" t="s">
        <v>18</v>
      </c>
      <c r="I1779" s="16" t="str">
        <f>VLOOKUP(F1779,[1]完整分类结果!$E:$G,3,0)</f>
        <v>金属制品业</v>
      </c>
      <c r="J1779" s="16">
        <f>VLOOKUP(I1779,[2]行业排放因子!$A:$B,2,0)</f>
        <v>27.1093085906552</v>
      </c>
      <c r="K1779" s="9" t="s">
        <v>756</v>
      </c>
    </row>
    <row r="1780" spans="1:11" ht="12.5" customHeight="1" x14ac:dyDescent="0.25">
      <c r="A1780" s="5" t="s">
        <v>6501</v>
      </c>
      <c r="B1780" s="6" t="s">
        <v>6113</v>
      </c>
      <c r="C1780" s="6" t="s">
        <v>6114</v>
      </c>
      <c r="D1780" s="6" t="s">
        <v>6114</v>
      </c>
      <c r="E1780" s="6" t="s">
        <v>6502</v>
      </c>
      <c r="F1780" s="6" t="s">
        <v>6503</v>
      </c>
      <c r="G1780" s="9" t="s">
        <v>6504</v>
      </c>
      <c r="H1780" s="9" t="s">
        <v>18</v>
      </c>
      <c r="I1780" s="16" t="str">
        <f>VLOOKUP(F1780,[1]完整分类结果!$E:$G,3,0)</f>
        <v>金属制品业</v>
      </c>
      <c r="J1780" s="16">
        <f>VLOOKUP(I1780,[2]行业排放因子!$A:$B,2,0)</f>
        <v>27.1093085906552</v>
      </c>
      <c r="K1780" s="9" t="s">
        <v>756</v>
      </c>
    </row>
    <row r="1781" spans="1:11" ht="12.5" customHeight="1" x14ac:dyDescent="0.25">
      <c r="A1781" s="5" t="s">
        <v>6505</v>
      </c>
      <c r="B1781" s="6" t="s">
        <v>6113</v>
      </c>
      <c r="C1781" s="6" t="s">
        <v>6114</v>
      </c>
      <c r="D1781" s="6" t="s">
        <v>6114</v>
      </c>
      <c r="E1781" s="6" t="s">
        <v>6506</v>
      </c>
      <c r="F1781" s="6" t="s">
        <v>6507</v>
      </c>
      <c r="G1781" s="9" t="s">
        <v>6508</v>
      </c>
      <c r="H1781" s="9" t="s">
        <v>18</v>
      </c>
      <c r="I1781" s="16" t="str">
        <f>VLOOKUP(F1781,[1]完整分类结果!$E:$G,3,0)</f>
        <v>金属制品业</v>
      </c>
      <c r="J1781" s="16">
        <f>VLOOKUP(I1781,[2]行业排放因子!$A:$B,2,0)</f>
        <v>27.1093085906552</v>
      </c>
      <c r="K1781" s="9" t="s">
        <v>756</v>
      </c>
    </row>
    <row r="1782" spans="1:11" ht="12.5" customHeight="1" x14ac:dyDescent="0.25">
      <c r="A1782" s="5" t="s">
        <v>6509</v>
      </c>
      <c r="B1782" s="6" t="s">
        <v>6113</v>
      </c>
      <c r="C1782" s="6" t="s">
        <v>6114</v>
      </c>
      <c r="D1782" s="6" t="s">
        <v>6114</v>
      </c>
      <c r="E1782" s="6" t="s">
        <v>6510</v>
      </c>
      <c r="F1782" s="6" t="s">
        <v>6511</v>
      </c>
      <c r="G1782" s="9" t="s">
        <v>6512</v>
      </c>
      <c r="H1782" s="9" t="s">
        <v>18</v>
      </c>
      <c r="I1782" s="16" t="str">
        <f>VLOOKUP(F1782,[1]完整分类结果!$E:$G,3,0)</f>
        <v>金属制品业</v>
      </c>
      <c r="J1782" s="16">
        <f>VLOOKUP(I1782,[2]行业排放因子!$A:$B,2,0)</f>
        <v>27.1093085906552</v>
      </c>
      <c r="K1782" s="9" t="s">
        <v>756</v>
      </c>
    </row>
    <row r="1783" spans="1:11" ht="12.5" customHeight="1" x14ac:dyDescent="0.25">
      <c r="A1783" s="5" t="s">
        <v>6513</v>
      </c>
      <c r="B1783" s="6" t="s">
        <v>6113</v>
      </c>
      <c r="C1783" s="6" t="s">
        <v>6114</v>
      </c>
      <c r="D1783" s="6" t="s">
        <v>6114</v>
      </c>
      <c r="E1783" s="6" t="s">
        <v>6514</v>
      </c>
      <c r="F1783" s="6" t="s">
        <v>6515</v>
      </c>
      <c r="G1783" s="9" t="s">
        <v>6516</v>
      </c>
      <c r="H1783" s="9" t="s">
        <v>18</v>
      </c>
      <c r="I1783" s="16" t="str">
        <f>VLOOKUP(F1783,[1]完整分类结果!$E:$G,3,0)</f>
        <v>金属制品业</v>
      </c>
      <c r="J1783" s="16">
        <f>VLOOKUP(I1783,[2]行业排放因子!$A:$B,2,0)</f>
        <v>27.1093085906552</v>
      </c>
      <c r="K1783" s="9" t="s">
        <v>756</v>
      </c>
    </row>
    <row r="1784" spans="1:11" ht="12.5" customHeight="1" x14ac:dyDescent="0.25">
      <c r="A1784" s="5" t="s">
        <v>6517</v>
      </c>
      <c r="B1784" s="6" t="s">
        <v>6113</v>
      </c>
      <c r="C1784" s="6" t="s">
        <v>6114</v>
      </c>
      <c r="D1784" s="6" t="s">
        <v>6114</v>
      </c>
      <c r="E1784" s="6" t="s">
        <v>6518</v>
      </c>
      <c r="F1784" s="6" t="s">
        <v>6519</v>
      </c>
      <c r="G1784" s="9"/>
      <c r="H1784" s="9" t="s">
        <v>18</v>
      </c>
      <c r="I1784" s="16" t="str">
        <f>VLOOKUP(F1784,[1]完整分类结果!$E:$G,3,0)</f>
        <v>金属制品业</v>
      </c>
      <c r="J1784" s="16">
        <f>VLOOKUP(I1784,[2]行业排放因子!$A:$B,2,0)</f>
        <v>27.1093085906552</v>
      </c>
      <c r="K1784" s="9" t="s">
        <v>756</v>
      </c>
    </row>
    <row r="1785" spans="1:11" ht="12.5" customHeight="1" x14ac:dyDescent="0.25">
      <c r="A1785" s="5" t="s">
        <v>6520</v>
      </c>
      <c r="B1785" s="6" t="s">
        <v>6113</v>
      </c>
      <c r="C1785" s="6" t="s">
        <v>6114</v>
      </c>
      <c r="D1785" s="6" t="s">
        <v>6114</v>
      </c>
      <c r="E1785" s="6" t="s">
        <v>6521</v>
      </c>
      <c r="F1785" s="6" t="s">
        <v>6522</v>
      </c>
      <c r="G1785" s="9" t="s">
        <v>6523</v>
      </c>
      <c r="H1785" s="9" t="s">
        <v>18</v>
      </c>
      <c r="I1785" s="16" t="str">
        <f>VLOOKUP(F1785,[1]完整分类结果!$E:$G,3,0)</f>
        <v>金属制品业</v>
      </c>
      <c r="J1785" s="16">
        <f>VLOOKUP(I1785,[2]行业排放因子!$A:$B,2,0)</f>
        <v>27.1093085906552</v>
      </c>
      <c r="K1785" s="9" t="s">
        <v>756</v>
      </c>
    </row>
    <row r="1786" spans="1:11" ht="12.5" customHeight="1" x14ac:dyDescent="0.25">
      <c r="A1786" s="5" t="s">
        <v>6524</v>
      </c>
      <c r="B1786" s="6" t="s">
        <v>6113</v>
      </c>
      <c r="C1786" s="6" t="s">
        <v>6114</v>
      </c>
      <c r="D1786" s="6" t="s">
        <v>6114</v>
      </c>
      <c r="E1786" s="6" t="s">
        <v>6525</v>
      </c>
      <c r="F1786" s="6" t="s">
        <v>6526</v>
      </c>
      <c r="G1786" s="9" t="s">
        <v>6527</v>
      </c>
      <c r="H1786" s="9" t="s">
        <v>18</v>
      </c>
      <c r="I1786" s="16" t="str">
        <f>VLOOKUP(F1786,[1]完整分类结果!$E:$G,3,0)</f>
        <v>金属制品业</v>
      </c>
      <c r="J1786" s="16">
        <f>VLOOKUP(I1786,[2]行业排放因子!$A:$B,2,0)</f>
        <v>27.1093085906552</v>
      </c>
      <c r="K1786" s="9" t="s">
        <v>756</v>
      </c>
    </row>
    <row r="1787" spans="1:11" ht="12.5" customHeight="1" x14ac:dyDescent="0.25">
      <c r="A1787" s="5" t="s">
        <v>6528</v>
      </c>
      <c r="B1787" s="6" t="s">
        <v>6113</v>
      </c>
      <c r="C1787" s="6" t="s">
        <v>6114</v>
      </c>
      <c r="D1787" s="6" t="s">
        <v>6114</v>
      </c>
      <c r="E1787" s="6" t="s">
        <v>6529</v>
      </c>
      <c r="F1787" s="6" t="s">
        <v>6530</v>
      </c>
      <c r="G1787" s="9" t="s">
        <v>6531</v>
      </c>
      <c r="H1787" s="9" t="s">
        <v>18</v>
      </c>
      <c r="I1787" s="16" t="str">
        <f>VLOOKUP(F1787,[1]完整分类结果!$E:$G,3,0)</f>
        <v>金属制品业</v>
      </c>
      <c r="J1787" s="16">
        <f>VLOOKUP(I1787,[2]行业排放因子!$A:$B,2,0)</f>
        <v>27.1093085906552</v>
      </c>
      <c r="K1787" s="9" t="s">
        <v>756</v>
      </c>
    </row>
    <row r="1788" spans="1:11" ht="12.5" customHeight="1" x14ac:dyDescent="0.25">
      <c r="A1788" s="5" t="s">
        <v>6532</v>
      </c>
      <c r="B1788" s="6" t="s">
        <v>6113</v>
      </c>
      <c r="C1788" s="6" t="s">
        <v>6114</v>
      </c>
      <c r="D1788" s="6" t="s">
        <v>6114</v>
      </c>
      <c r="E1788" s="6" t="s">
        <v>6533</v>
      </c>
      <c r="F1788" s="6" t="s">
        <v>6534</v>
      </c>
      <c r="G1788" s="9" t="s">
        <v>6535</v>
      </c>
      <c r="H1788" s="9" t="s">
        <v>18</v>
      </c>
      <c r="I1788" s="16" t="str">
        <f>VLOOKUP(F1788,[1]完整分类结果!$E:$G,3,0)</f>
        <v>金属制品业</v>
      </c>
      <c r="J1788" s="16">
        <f>VLOOKUP(I1788,[2]行业排放因子!$A:$B,2,0)</f>
        <v>27.1093085906552</v>
      </c>
      <c r="K1788" s="9" t="s">
        <v>756</v>
      </c>
    </row>
    <row r="1789" spans="1:11" ht="12.5" customHeight="1" x14ac:dyDescent="0.25">
      <c r="A1789" s="5" t="s">
        <v>6536</v>
      </c>
      <c r="B1789" s="6" t="s">
        <v>6113</v>
      </c>
      <c r="C1789" s="6" t="s">
        <v>6114</v>
      </c>
      <c r="D1789" s="6" t="s">
        <v>6114</v>
      </c>
      <c r="E1789" s="6" t="s">
        <v>6537</v>
      </c>
      <c r="F1789" s="6" t="s">
        <v>6538</v>
      </c>
      <c r="G1789" s="9" t="s">
        <v>6539</v>
      </c>
      <c r="H1789" s="9" t="s">
        <v>18</v>
      </c>
      <c r="I1789" s="16" t="str">
        <f>VLOOKUP(F1789,[1]完整分类结果!$E:$G,3,0)</f>
        <v>金属制品业</v>
      </c>
      <c r="J1789" s="16">
        <f>VLOOKUP(I1789,[2]行业排放因子!$A:$B,2,0)</f>
        <v>27.1093085906552</v>
      </c>
      <c r="K1789" s="9" t="s">
        <v>756</v>
      </c>
    </row>
    <row r="1790" spans="1:11" ht="12.5" customHeight="1" x14ac:dyDescent="0.25">
      <c r="A1790" s="5" t="s">
        <v>6540</v>
      </c>
      <c r="B1790" s="6" t="s">
        <v>6113</v>
      </c>
      <c r="C1790" s="6" t="s">
        <v>6114</v>
      </c>
      <c r="D1790" s="6" t="s">
        <v>6114</v>
      </c>
      <c r="E1790" s="6" t="s">
        <v>6541</v>
      </c>
      <c r="F1790" s="6" t="s">
        <v>6542</v>
      </c>
      <c r="G1790" s="9"/>
      <c r="H1790" s="9" t="s">
        <v>18</v>
      </c>
      <c r="I1790" s="16" t="str">
        <f>VLOOKUP(F1790,[1]完整分类结果!$E:$G,3,0)</f>
        <v>金属制品业</v>
      </c>
      <c r="J1790" s="16">
        <f>VLOOKUP(I1790,[2]行业排放因子!$A:$B,2,0)</f>
        <v>27.1093085906552</v>
      </c>
      <c r="K1790" s="9" t="s">
        <v>756</v>
      </c>
    </row>
    <row r="1791" spans="1:11" ht="12.5" customHeight="1" x14ac:dyDescent="0.25">
      <c r="A1791" s="5" t="s">
        <v>6543</v>
      </c>
      <c r="B1791" s="6" t="s">
        <v>6113</v>
      </c>
      <c r="C1791" s="6" t="s">
        <v>6114</v>
      </c>
      <c r="D1791" s="6" t="s">
        <v>6114</v>
      </c>
      <c r="E1791" s="6" t="s">
        <v>6544</v>
      </c>
      <c r="F1791" s="6" t="s">
        <v>6545</v>
      </c>
      <c r="G1791" s="9" t="s">
        <v>6546</v>
      </c>
      <c r="H1791" s="9" t="s">
        <v>18</v>
      </c>
      <c r="I1791" s="16" t="str">
        <f>VLOOKUP(F1791,[1]完整分类结果!$E:$G,3,0)</f>
        <v>金属制品业</v>
      </c>
      <c r="J1791" s="16">
        <f>VLOOKUP(I1791,[2]行业排放因子!$A:$B,2,0)</f>
        <v>27.1093085906552</v>
      </c>
      <c r="K1791" s="9" t="s">
        <v>756</v>
      </c>
    </row>
    <row r="1792" spans="1:11" ht="12.5" customHeight="1" x14ac:dyDescent="0.25">
      <c r="A1792" s="5" t="s">
        <v>6547</v>
      </c>
      <c r="B1792" s="6" t="s">
        <v>6113</v>
      </c>
      <c r="C1792" s="6" t="s">
        <v>6114</v>
      </c>
      <c r="D1792" s="6" t="s">
        <v>6114</v>
      </c>
      <c r="E1792" s="6" t="s">
        <v>6548</v>
      </c>
      <c r="F1792" s="6" t="s">
        <v>6549</v>
      </c>
      <c r="G1792" s="9" t="s">
        <v>6550</v>
      </c>
      <c r="H1792" s="9" t="s">
        <v>18</v>
      </c>
      <c r="I1792" s="16" t="str">
        <f>VLOOKUP(F1792,[1]完整分类结果!$E:$G,3,0)</f>
        <v>金属制品业</v>
      </c>
      <c r="J1792" s="16">
        <f>VLOOKUP(I1792,[2]行业排放因子!$A:$B,2,0)</f>
        <v>27.1093085906552</v>
      </c>
      <c r="K1792" s="9" t="s">
        <v>756</v>
      </c>
    </row>
    <row r="1793" spans="1:11" ht="12.5" customHeight="1" x14ac:dyDescent="0.25">
      <c r="A1793" s="5" t="s">
        <v>6551</v>
      </c>
      <c r="B1793" s="6" t="s">
        <v>6113</v>
      </c>
      <c r="C1793" s="6" t="s">
        <v>6114</v>
      </c>
      <c r="D1793" s="6" t="s">
        <v>6114</v>
      </c>
      <c r="E1793" s="6" t="s">
        <v>6552</v>
      </c>
      <c r="F1793" s="6" t="s">
        <v>6553</v>
      </c>
      <c r="G1793" s="9" t="s">
        <v>6554</v>
      </c>
      <c r="H1793" s="9" t="s">
        <v>18</v>
      </c>
      <c r="I1793" s="16" t="str">
        <f>VLOOKUP(F1793,[1]完整分类结果!$E:$G,3,0)</f>
        <v>金属制品业</v>
      </c>
      <c r="J1793" s="16">
        <f>VLOOKUP(I1793,[2]行业排放因子!$A:$B,2,0)</f>
        <v>27.1093085906552</v>
      </c>
      <c r="K1793" s="9" t="s">
        <v>756</v>
      </c>
    </row>
    <row r="1794" spans="1:11" ht="12.5" customHeight="1" x14ac:dyDescent="0.25">
      <c r="A1794" s="5" t="s">
        <v>6555</v>
      </c>
      <c r="B1794" s="6" t="s">
        <v>6113</v>
      </c>
      <c r="C1794" s="6" t="s">
        <v>6114</v>
      </c>
      <c r="D1794" s="6" t="s">
        <v>6114</v>
      </c>
      <c r="E1794" s="6" t="s">
        <v>6556</v>
      </c>
      <c r="F1794" s="6" t="s">
        <v>6557</v>
      </c>
      <c r="G1794" s="9"/>
      <c r="H1794" s="9" t="s">
        <v>18</v>
      </c>
      <c r="I1794" s="16" t="str">
        <f>VLOOKUP(F1794,[1]完整分类结果!$E:$G,3,0)</f>
        <v>金属制品业</v>
      </c>
      <c r="J1794" s="16">
        <f>VLOOKUP(I1794,[2]行业排放因子!$A:$B,2,0)</f>
        <v>27.1093085906552</v>
      </c>
      <c r="K1794" s="9" t="s">
        <v>756</v>
      </c>
    </row>
    <row r="1795" spans="1:11" ht="12.5" customHeight="1" x14ac:dyDescent="0.25">
      <c r="A1795" s="5" t="s">
        <v>6558</v>
      </c>
      <c r="B1795" s="6" t="s">
        <v>6113</v>
      </c>
      <c r="C1795" s="6" t="s">
        <v>6114</v>
      </c>
      <c r="D1795" s="6" t="s">
        <v>6114</v>
      </c>
      <c r="E1795" s="6" t="s">
        <v>6559</v>
      </c>
      <c r="F1795" s="6" t="s">
        <v>6560</v>
      </c>
      <c r="G1795" s="9"/>
      <c r="H1795" s="9" t="s">
        <v>18</v>
      </c>
      <c r="I1795" s="16" t="str">
        <f>VLOOKUP(F1795,[1]完整分类结果!$E:$G,3,0)</f>
        <v>金属制品业</v>
      </c>
      <c r="J1795" s="16">
        <f>VLOOKUP(I1795,[2]行业排放因子!$A:$B,2,0)</f>
        <v>27.1093085906552</v>
      </c>
      <c r="K1795" s="9" t="s">
        <v>756</v>
      </c>
    </row>
    <row r="1796" spans="1:11" ht="12.5" customHeight="1" x14ac:dyDescent="0.25">
      <c r="A1796" s="5" t="s">
        <v>6561</v>
      </c>
      <c r="B1796" s="6" t="s">
        <v>6113</v>
      </c>
      <c r="C1796" s="6" t="s">
        <v>6114</v>
      </c>
      <c r="D1796" s="6" t="s">
        <v>6114</v>
      </c>
      <c r="E1796" s="6" t="s">
        <v>6562</v>
      </c>
      <c r="F1796" s="6" t="s">
        <v>6563</v>
      </c>
      <c r="G1796" s="9" t="s">
        <v>6564</v>
      </c>
      <c r="H1796" s="9" t="s">
        <v>18</v>
      </c>
      <c r="I1796" s="16" t="str">
        <f>VLOOKUP(F1796,[1]完整分类结果!$E:$G,3,0)</f>
        <v>金属制品业</v>
      </c>
      <c r="J1796" s="16">
        <f>VLOOKUP(I1796,[2]行业排放因子!$A:$B,2,0)</f>
        <v>27.1093085906552</v>
      </c>
      <c r="K1796" s="9" t="s">
        <v>756</v>
      </c>
    </row>
    <row r="1797" spans="1:11" ht="12.5" customHeight="1" x14ac:dyDescent="0.25">
      <c r="A1797" s="5" t="s">
        <v>6565</v>
      </c>
      <c r="B1797" s="6" t="s">
        <v>6113</v>
      </c>
      <c r="C1797" s="6" t="s">
        <v>6114</v>
      </c>
      <c r="D1797" s="6" t="s">
        <v>6114</v>
      </c>
      <c r="E1797" s="6" t="s">
        <v>6566</v>
      </c>
      <c r="F1797" s="6" t="s">
        <v>6567</v>
      </c>
      <c r="G1797" s="9" t="s">
        <v>6568</v>
      </c>
      <c r="H1797" s="9" t="s">
        <v>18</v>
      </c>
      <c r="I1797" s="16" t="str">
        <f>VLOOKUP(F1797,[1]完整分类结果!$E:$G,3,0)</f>
        <v>金属制品业</v>
      </c>
      <c r="J1797" s="16">
        <f>VLOOKUP(I1797,[2]行业排放因子!$A:$B,2,0)</f>
        <v>27.1093085906552</v>
      </c>
      <c r="K1797" s="9" t="s">
        <v>756</v>
      </c>
    </row>
    <row r="1798" spans="1:11" ht="12.5" customHeight="1" x14ac:dyDescent="0.25">
      <c r="A1798" s="5" t="s">
        <v>6569</v>
      </c>
      <c r="B1798" s="6" t="s">
        <v>6113</v>
      </c>
      <c r="C1798" s="6" t="s">
        <v>6114</v>
      </c>
      <c r="D1798" s="6" t="s">
        <v>6114</v>
      </c>
      <c r="E1798" s="6" t="s">
        <v>6570</v>
      </c>
      <c r="F1798" s="6" t="s">
        <v>6571</v>
      </c>
      <c r="G1798" s="9" t="s">
        <v>6572</v>
      </c>
      <c r="H1798" s="9" t="s">
        <v>18</v>
      </c>
      <c r="I1798" s="16" t="str">
        <f>VLOOKUP(F1798,[1]完整分类结果!$E:$G,3,0)</f>
        <v>金属制品业</v>
      </c>
      <c r="J1798" s="16">
        <f>VLOOKUP(I1798,[2]行业排放因子!$A:$B,2,0)</f>
        <v>27.1093085906552</v>
      </c>
      <c r="K1798" s="9" t="s">
        <v>756</v>
      </c>
    </row>
    <row r="1799" spans="1:11" ht="12.5" customHeight="1" x14ac:dyDescent="0.25">
      <c r="A1799" s="5" t="s">
        <v>6573</v>
      </c>
      <c r="B1799" s="6" t="s">
        <v>6113</v>
      </c>
      <c r="C1799" s="6" t="s">
        <v>6114</v>
      </c>
      <c r="D1799" s="6" t="s">
        <v>6114</v>
      </c>
      <c r="E1799" s="6" t="s">
        <v>6574</v>
      </c>
      <c r="F1799" s="6" t="s">
        <v>6575</v>
      </c>
      <c r="G1799" s="9" t="s">
        <v>6576</v>
      </c>
      <c r="H1799" s="9" t="s">
        <v>18</v>
      </c>
      <c r="I1799" s="16" t="str">
        <f>VLOOKUP(F1799,[1]完整分类结果!$E:$G,3,0)</f>
        <v>金属制品业</v>
      </c>
      <c r="J1799" s="16">
        <f>VLOOKUP(I1799,[2]行业排放因子!$A:$B,2,0)</f>
        <v>27.1093085906552</v>
      </c>
      <c r="K1799" s="9" t="s">
        <v>756</v>
      </c>
    </row>
    <row r="1800" spans="1:11" ht="12.5" customHeight="1" x14ac:dyDescent="0.25">
      <c r="A1800" s="5" t="s">
        <v>6577</v>
      </c>
      <c r="B1800" s="6" t="s">
        <v>6113</v>
      </c>
      <c r="C1800" s="6" t="s">
        <v>6114</v>
      </c>
      <c r="D1800" s="6" t="s">
        <v>6114</v>
      </c>
      <c r="E1800" s="6" t="s">
        <v>6578</v>
      </c>
      <c r="F1800" s="6" t="s">
        <v>6579</v>
      </c>
      <c r="G1800" s="9" t="s">
        <v>6580</v>
      </c>
      <c r="H1800" s="9" t="s">
        <v>18</v>
      </c>
      <c r="I1800" s="16" t="str">
        <f>VLOOKUP(F1800,[1]完整分类结果!$E:$G,3,0)</f>
        <v>金属制品业</v>
      </c>
      <c r="J1800" s="16">
        <f>VLOOKUP(I1800,[2]行业排放因子!$A:$B,2,0)</f>
        <v>27.1093085906552</v>
      </c>
      <c r="K1800" s="9" t="s">
        <v>756</v>
      </c>
    </row>
    <row r="1801" spans="1:11" ht="12.5" customHeight="1" x14ac:dyDescent="0.25">
      <c r="A1801" s="5" t="s">
        <v>6581</v>
      </c>
      <c r="B1801" s="6" t="s">
        <v>6113</v>
      </c>
      <c r="C1801" s="6" t="s">
        <v>6114</v>
      </c>
      <c r="D1801" s="6" t="s">
        <v>6114</v>
      </c>
      <c r="E1801" s="6" t="s">
        <v>6582</v>
      </c>
      <c r="F1801" s="6" t="s">
        <v>6583</v>
      </c>
      <c r="G1801" s="9" t="s">
        <v>6584</v>
      </c>
      <c r="H1801" s="9" t="s">
        <v>18</v>
      </c>
      <c r="I1801" s="16" t="str">
        <f>VLOOKUP(F1801,[1]完整分类结果!$E:$G,3,0)</f>
        <v>金属制品业</v>
      </c>
      <c r="J1801" s="16">
        <f>VLOOKUP(I1801,[2]行业排放因子!$A:$B,2,0)</f>
        <v>27.1093085906552</v>
      </c>
      <c r="K1801" s="9" t="s">
        <v>756</v>
      </c>
    </row>
    <row r="1802" spans="1:11" ht="12.5" customHeight="1" x14ac:dyDescent="0.25">
      <c r="A1802" s="5" t="s">
        <v>6585</v>
      </c>
      <c r="B1802" s="6" t="s">
        <v>6113</v>
      </c>
      <c r="C1802" s="6" t="s">
        <v>6114</v>
      </c>
      <c r="D1802" s="6" t="s">
        <v>6114</v>
      </c>
      <c r="E1802" s="6" t="s">
        <v>6586</v>
      </c>
      <c r="F1802" s="6" t="s">
        <v>6587</v>
      </c>
      <c r="G1802" s="9" t="s">
        <v>6588</v>
      </c>
      <c r="H1802" s="9" t="s">
        <v>18</v>
      </c>
      <c r="I1802" s="16" t="str">
        <f>VLOOKUP(F1802,[1]完整分类结果!$E:$G,3,0)</f>
        <v>金属制品业</v>
      </c>
      <c r="J1802" s="16">
        <f>VLOOKUP(I1802,[2]行业排放因子!$A:$B,2,0)</f>
        <v>27.1093085906552</v>
      </c>
      <c r="K1802" s="9" t="s">
        <v>756</v>
      </c>
    </row>
    <row r="1803" spans="1:11" ht="12.5" customHeight="1" x14ac:dyDescent="0.25">
      <c r="A1803" s="5" t="s">
        <v>6589</v>
      </c>
      <c r="B1803" s="6" t="s">
        <v>6113</v>
      </c>
      <c r="C1803" s="6" t="s">
        <v>6114</v>
      </c>
      <c r="D1803" s="6" t="s">
        <v>6114</v>
      </c>
      <c r="E1803" s="6" t="s">
        <v>6590</v>
      </c>
      <c r="F1803" s="6" t="s">
        <v>6591</v>
      </c>
      <c r="G1803" s="9" t="s">
        <v>6592</v>
      </c>
      <c r="H1803" s="9" t="s">
        <v>18</v>
      </c>
      <c r="I1803" s="16" t="str">
        <f>VLOOKUP(F1803,[1]完整分类结果!$E:$G,3,0)</f>
        <v>金属制品业</v>
      </c>
      <c r="J1803" s="16">
        <f>VLOOKUP(I1803,[2]行业排放因子!$A:$B,2,0)</f>
        <v>27.1093085906552</v>
      </c>
      <c r="K1803" s="9" t="s">
        <v>756</v>
      </c>
    </row>
    <row r="1804" spans="1:11" ht="12.5" customHeight="1" x14ac:dyDescent="0.25">
      <c r="A1804" s="5" t="s">
        <v>6593</v>
      </c>
      <c r="B1804" s="6" t="s">
        <v>6113</v>
      </c>
      <c r="C1804" s="6" t="s">
        <v>6114</v>
      </c>
      <c r="D1804" s="6" t="s">
        <v>6114</v>
      </c>
      <c r="E1804" s="6" t="s">
        <v>6594</v>
      </c>
      <c r="F1804" s="6" t="s">
        <v>6595</v>
      </c>
      <c r="G1804" s="9" t="s">
        <v>6596</v>
      </c>
      <c r="H1804" s="9" t="s">
        <v>18</v>
      </c>
      <c r="I1804" s="16" t="str">
        <f>VLOOKUP(F1804,[1]完整分类结果!$E:$G,3,0)</f>
        <v>金属制品业</v>
      </c>
      <c r="J1804" s="16">
        <f>VLOOKUP(I1804,[2]行业排放因子!$A:$B,2,0)</f>
        <v>27.1093085906552</v>
      </c>
      <c r="K1804" s="9" t="s">
        <v>756</v>
      </c>
    </row>
    <row r="1805" spans="1:11" ht="12.5" customHeight="1" x14ac:dyDescent="0.25">
      <c r="A1805" s="5" t="s">
        <v>6597</v>
      </c>
      <c r="B1805" s="6" t="s">
        <v>6113</v>
      </c>
      <c r="C1805" s="6" t="s">
        <v>6114</v>
      </c>
      <c r="D1805" s="6" t="s">
        <v>6114</v>
      </c>
      <c r="E1805" s="6" t="s">
        <v>6598</v>
      </c>
      <c r="F1805" s="6" t="s">
        <v>6599</v>
      </c>
      <c r="G1805" s="9" t="s">
        <v>6600</v>
      </c>
      <c r="H1805" s="9" t="s">
        <v>18</v>
      </c>
      <c r="I1805" s="16" t="str">
        <f>VLOOKUP(F1805,[1]完整分类结果!$E:$G,3,0)</f>
        <v>金属制品业</v>
      </c>
      <c r="J1805" s="16">
        <f>VLOOKUP(I1805,[2]行业排放因子!$A:$B,2,0)</f>
        <v>27.1093085906552</v>
      </c>
      <c r="K1805" s="9" t="s">
        <v>756</v>
      </c>
    </row>
    <row r="1806" spans="1:11" ht="12.5" customHeight="1" x14ac:dyDescent="0.25">
      <c r="A1806" s="5" t="s">
        <v>6601</v>
      </c>
      <c r="B1806" s="6" t="s">
        <v>6113</v>
      </c>
      <c r="C1806" s="6" t="s">
        <v>6114</v>
      </c>
      <c r="D1806" s="6" t="s">
        <v>6114</v>
      </c>
      <c r="E1806" s="6" t="s">
        <v>6602</v>
      </c>
      <c r="F1806" s="6" t="s">
        <v>6603</v>
      </c>
      <c r="G1806" s="9" t="s">
        <v>6604</v>
      </c>
      <c r="H1806" s="9" t="s">
        <v>18</v>
      </c>
      <c r="I1806" s="16" t="str">
        <f>VLOOKUP(F1806,[1]完整分类结果!$E:$G,3,0)</f>
        <v>金属制品业</v>
      </c>
      <c r="J1806" s="16">
        <f>VLOOKUP(I1806,[2]行业排放因子!$A:$B,2,0)</f>
        <v>27.1093085906552</v>
      </c>
      <c r="K1806" s="9" t="s">
        <v>756</v>
      </c>
    </row>
    <row r="1807" spans="1:11" ht="12.5" customHeight="1" x14ac:dyDescent="0.25">
      <c r="A1807" s="5" t="s">
        <v>6605</v>
      </c>
      <c r="B1807" s="6" t="s">
        <v>6113</v>
      </c>
      <c r="C1807" s="6" t="s">
        <v>6114</v>
      </c>
      <c r="D1807" s="6" t="s">
        <v>6114</v>
      </c>
      <c r="E1807" s="6" t="s">
        <v>6606</v>
      </c>
      <c r="F1807" s="6" t="s">
        <v>6607</v>
      </c>
      <c r="G1807" s="9" t="s">
        <v>6608</v>
      </c>
      <c r="H1807" s="9" t="s">
        <v>18</v>
      </c>
      <c r="I1807" s="16" t="str">
        <f>VLOOKUP(F1807,[1]完整分类结果!$E:$G,3,0)</f>
        <v>金属制品业</v>
      </c>
      <c r="J1807" s="16">
        <f>VLOOKUP(I1807,[2]行业排放因子!$A:$B,2,0)</f>
        <v>27.1093085906552</v>
      </c>
      <c r="K1807" s="9" t="s">
        <v>756</v>
      </c>
    </row>
    <row r="1808" spans="1:11" ht="12.5" customHeight="1" x14ac:dyDescent="0.25">
      <c r="A1808" s="5" t="s">
        <v>6609</v>
      </c>
      <c r="B1808" s="6" t="s">
        <v>6113</v>
      </c>
      <c r="C1808" s="6" t="s">
        <v>6114</v>
      </c>
      <c r="D1808" s="6" t="s">
        <v>6114</v>
      </c>
      <c r="E1808" s="6" t="s">
        <v>6610</v>
      </c>
      <c r="F1808" s="6" t="s">
        <v>6611</v>
      </c>
      <c r="G1808" s="9" t="s">
        <v>6612</v>
      </c>
      <c r="H1808" s="9" t="s">
        <v>18</v>
      </c>
      <c r="I1808" s="16" t="str">
        <f>VLOOKUP(F1808,[1]完整分类结果!$E:$G,3,0)</f>
        <v>金属制品业</v>
      </c>
      <c r="J1808" s="16">
        <f>VLOOKUP(I1808,[2]行业排放因子!$A:$B,2,0)</f>
        <v>27.1093085906552</v>
      </c>
      <c r="K1808" s="9" t="s">
        <v>756</v>
      </c>
    </row>
    <row r="1809" spans="1:11" ht="12.5" customHeight="1" x14ac:dyDescent="0.25">
      <c r="A1809" s="5" t="s">
        <v>6613</v>
      </c>
      <c r="B1809" s="6" t="s">
        <v>6113</v>
      </c>
      <c r="C1809" s="6" t="s">
        <v>6114</v>
      </c>
      <c r="D1809" s="6" t="s">
        <v>6114</v>
      </c>
      <c r="E1809" s="6" t="s">
        <v>6614</v>
      </c>
      <c r="F1809" s="6" t="s">
        <v>6615</v>
      </c>
      <c r="G1809" s="9" t="s">
        <v>6616</v>
      </c>
      <c r="H1809" s="9" t="s">
        <v>18</v>
      </c>
      <c r="I1809" s="16" t="str">
        <f>VLOOKUP(F1809,[1]完整分类结果!$E:$G,3,0)</f>
        <v>金属制品业</v>
      </c>
      <c r="J1809" s="16">
        <f>VLOOKUP(I1809,[2]行业排放因子!$A:$B,2,0)</f>
        <v>27.1093085906552</v>
      </c>
      <c r="K1809" s="9" t="s">
        <v>756</v>
      </c>
    </row>
    <row r="1810" spans="1:11" ht="12.5" customHeight="1" x14ac:dyDescent="0.25">
      <c r="A1810" s="5" t="s">
        <v>6617</v>
      </c>
      <c r="B1810" s="6" t="s">
        <v>6113</v>
      </c>
      <c r="C1810" s="6" t="s">
        <v>6114</v>
      </c>
      <c r="D1810" s="6" t="s">
        <v>6114</v>
      </c>
      <c r="E1810" s="6" t="s">
        <v>6618</v>
      </c>
      <c r="F1810" s="6" t="s">
        <v>6619</v>
      </c>
      <c r="G1810" s="9" t="s">
        <v>6620</v>
      </c>
      <c r="H1810" s="9" t="s">
        <v>18</v>
      </c>
      <c r="I1810" s="16" t="str">
        <f>VLOOKUP(F1810,[1]完整分类结果!$E:$G,3,0)</f>
        <v>金属制品业</v>
      </c>
      <c r="J1810" s="16">
        <f>VLOOKUP(I1810,[2]行业排放因子!$A:$B,2,0)</f>
        <v>27.1093085906552</v>
      </c>
      <c r="K1810" s="9" t="s">
        <v>756</v>
      </c>
    </row>
    <row r="1811" spans="1:11" ht="12.5" customHeight="1" x14ac:dyDescent="0.25">
      <c r="A1811" s="5" t="s">
        <v>6621</v>
      </c>
      <c r="B1811" s="6" t="s">
        <v>6113</v>
      </c>
      <c r="C1811" s="6" t="s">
        <v>6114</v>
      </c>
      <c r="D1811" s="6" t="s">
        <v>6114</v>
      </c>
      <c r="E1811" s="6" t="s">
        <v>6622</v>
      </c>
      <c r="F1811" s="6" t="s">
        <v>6623</v>
      </c>
      <c r="G1811" s="9" t="s">
        <v>6624</v>
      </c>
      <c r="H1811" s="9" t="s">
        <v>18</v>
      </c>
      <c r="I1811" s="16" t="str">
        <f>VLOOKUP(F1811,[1]完整分类结果!$E:$G,3,0)</f>
        <v>金属制品业</v>
      </c>
      <c r="J1811" s="16">
        <f>VLOOKUP(I1811,[2]行业排放因子!$A:$B,2,0)</f>
        <v>27.1093085906552</v>
      </c>
      <c r="K1811" s="9" t="s">
        <v>756</v>
      </c>
    </row>
    <row r="1812" spans="1:11" ht="12.5" customHeight="1" x14ac:dyDescent="0.25">
      <c r="A1812" s="5" t="s">
        <v>6625</v>
      </c>
      <c r="B1812" s="6" t="s">
        <v>6113</v>
      </c>
      <c r="C1812" s="6" t="s">
        <v>6114</v>
      </c>
      <c r="D1812" s="6" t="s">
        <v>6114</v>
      </c>
      <c r="E1812" s="6" t="s">
        <v>6626</v>
      </c>
      <c r="F1812" s="6" t="s">
        <v>6627</v>
      </c>
      <c r="G1812" s="9" t="s">
        <v>6628</v>
      </c>
      <c r="H1812" s="9" t="s">
        <v>18</v>
      </c>
      <c r="I1812" s="16" t="str">
        <f>VLOOKUP(F1812,[1]完整分类结果!$E:$G,3,0)</f>
        <v>金属制品业</v>
      </c>
      <c r="J1812" s="16">
        <f>VLOOKUP(I1812,[2]行业排放因子!$A:$B,2,0)</f>
        <v>27.1093085906552</v>
      </c>
      <c r="K1812" s="9" t="s">
        <v>756</v>
      </c>
    </row>
    <row r="1813" spans="1:11" ht="12.5" customHeight="1" x14ac:dyDescent="0.25">
      <c r="A1813" s="5" t="s">
        <v>6629</v>
      </c>
      <c r="B1813" s="6" t="s">
        <v>6113</v>
      </c>
      <c r="C1813" s="6" t="s">
        <v>6114</v>
      </c>
      <c r="D1813" s="6" t="s">
        <v>6114</v>
      </c>
      <c r="E1813" s="6" t="s">
        <v>6630</v>
      </c>
      <c r="F1813" s="6" t="s">
        <v>6631</v>
      </c>
      <c r="G1813" s="9" t="s">
        <v>6632</v>
      </c>
      <c r="H1813" s="9" t="s">
        <v>18</v>
      </c>
      <c r="I1813" s="16" t="str">
        <f>VLOOKUP(F1813,[1]完整分类结果!$E:$G,3,0)</f>
        <v>金属制品业</v>
      </c>
      <c r="J1813" s="16">
        <f>VLOOKUP(I1813,[2]行业排放因子!$A:$B,2,0)</f>
        <v>27.1093085906552</v>
      </c>
      <c r="K1813" s="9" t="s">
        <v>756</v>
      </c>
    </row>
    <row r="1814" spans="1:11" ht="12.5" customHeight="1" x14ac:dyDescent="0.25">
      <c r="A1814" s="5" t="s">
        <v>6633</v>
      </c>
      <c r="B1814" s="6" t="s">
        <v>6113</v>
      </c>
      <c r="C1814" s="6" t="s">
        <v>6114</v>
      </c>
      <c r="D1814" s="6" t="s">
        <v>6114</v>
      </c>
      <c r="E1814" s="6" t="s">
        <v>6634</v>
      </c>
      <c r="F1814" s="6" t="s">
        <v>6635</v>
      </c>
      <c r="G1814" s="9" t="s">
        <v>6636</v>
      </c>
      <c r="H1814" s="9" t="s">
        <v>18</v>
      </c>
      <c r="I1814" s="16" t="str">
        <f>VLOOKUP(F1814,[1]完整分类结果!$E:$G,3,0)</f>
        <v>金属制品业</v>
      </c>
      <c r="J1814" s="16">
        <f>VLOOKUP(I1814,[2]行业排放因子!$A:$B,2,0)</f>
        <v>27.1093085906552</v>
      </c>
      <c r="K1814" s="9" t="s">
        <v>779</v>
      </c>
    </row>
    <row r="1815" spans="1:11" ht="12.5" customHeight="1" x14ac:dyDescent="0.25">
      <c r="A1815" s="5" t="s">
        <v>6637</v>
      </c>
      <c r="B1815" s="6" t="s">
        <v>6113</v>
      </c>
      <c r="C1815" s="6" t="s">
        <v>6114</v>
      </c>
      <c r="D1815" s="6" t="s">
        <v>6114</v>
      </c>
      <c r="E1815" s="6" t="s">
        <v>6638</v>
      </c>
      <c r="F1815" s="6" t="s">
        <v>6639</v>
      </c>
      <c r="G1815" s="9" t="s">
        <v>6640</v>
      </c>
      <c r="H1815" s="9" t="s">
        <v>18</v>
      </c>
      <c r="I1815" s="16" t="str">
        <f>VLOOKUP(F1815,[1]完整分类结果!$E:$G,3,0)</f>
        <v>金属制品业</v>
      </c>
      <c r="J1815" s="16">
        <f>VLOOKUP(I1815,[2]行业排放因子!$A:$B,2,0)</f>
        <v>27.1093085906552</v>
      </c>
      <c r="K1815" s="9" t="s">
        <v>756</v>
      </c>
    </row>
    <row r="1816" spans="1:11" ht="12.5" customHeight="1" x14ac:dyDescent="0.25">
      <c r="A1816" s="5" t="s">
        <v>6641</v>
      </c>
      <c r="B1816" s="6" t="s">
        <v>6113</v>
      </c>
      <c r="C1816" s="6" t="s">
        <v>6114</v>
      </c>
      <c r="D1816" s="6" t="s">
        <v>6114</v>
      </c>
      <c r="E1816" s="6" t="s">
        <v>6642</v>
      </c>
      <c r="F1816" s="6" t="s">
        <v>6643</v>
      </c>
      <c r="G1816" s="9" t="s">
        <v>6644</v>
      </c>
      <c r="H1816" s="9" t="s">
        <v>18</v>
      </c>
      <c r="I1816" s="16" t="str">
        <f>VLOOKUP(F1816,[1]完整分类结果!$E:$G,3,0)</f>
        <v>金属制品业</v>
      </c>
      <c r="J1816" s="16">
        <f>VLOOKUP(I1816,[2]行业排放因子!$A:$B,2,0)</f>
        <v>27.1093085906552</v>
      </c>
      <c r="K1816" s="9" t="s">
        <v>756</v>
      </c>
    </row>
    <row r="1817" spans="1:11" ht="12.5" customHeight="1" x14ac:dyDescent="0.25">
      <c r="A1817" s="5" t="s">
        <v>6645</v>
      </c>
      <c r="B1817" s="6" t="s">
        <v>6113</v>
      </c>
      <c r="C1817" s="6" t="s">
        <v>6646</v>
      </c>
      <c r="D1817" s="6" t="s">
        <v>6647</v>
      </c>
      <c r="E1817" s="6" t="s">
        <v>6648</v>
      </c>
      <c r="F1817" s="6" t="s">
        <v>6649</v>
      </c>
      <c r="G1817" s="9" t="s">
        <v>6650</v>
      </c>
      <c r="H1817" s="9" t="s">
        <v>18</v>
      </c>
      <c r="I1817" s="16" t="str">
        <f>VLOOKUP(F1817,[1]完整分类结果!$E:$G,3,0)</f>
        <v>黑色金属冶炼及压延加工业</v>
      </c>
      <c r="J1817" s="16">
        <f>VLOOKUP(I1817,[2]行业排放因子!$A:$B,2,0)</f>
        <v>1891.5323606152201</v>
      </c>
      <c r="K1817" s="9" t="s">
        <v>756</v>
      </c>
    </row>
    <row r="1818" spans="1:11" ht="12.5" customHeight="1" x14ac:dyDescent="0.25">
      <c r="A1818" s="5" t="s">
        <v>6651</v>
      </c>
      <c r="B1818" s="6" t="s">
        <v>6113</v>
      </c>
      <c r="C1818" s="6" t="s">
        <v>6646</v>
      </c>
      <c r="D1818" s="6" t="s">
        <v>6647</v>
      </c>
      <c r="E1818" s="6" t="s">
        <v>6652</v>
      </c>
      <c r="F1818" s="6" t="s">
        <v>6653</v>
      </c>
      <c r="G1818" s="9" t="s">
        <v>6654</v>
      </c>
      <c r="H1818" s="9" t="s">
        <v>18</v>
      </c>
      <c r="I1818" s="16" t="str">
        <f>VLOOKUP(F1818,[1]完整分类结果!$E:$G,3,0)</f>
        <v>黑色金属冶炼及压延加工业</v>
      </c>
      <c r="J1818" s="16">
        <f>VLOOKUP(I1818,[2]行业排放因子!$A:$B,2,0)</f>
        <v>1891.5323606152201</v>
      </c>
      <c r="K1818" s="9" t="s">
        <v>756</v>
      </c>
    </row>
    <row r="1819" spans="1:11" ht="12.5" customHeight="1" x14ac:dyDescent="0.25">
      <c r="A1819" s="5" t="s">
        <v>6655</v>
      </c>
      <c r="B1819" s="6" t="s">
        <v>6113</v>
      </c>
      <c r="C1819" s="6" t="s">
        <v>6646</v>
      </c>
      <c r="D1819" s="6" t="s">
        <v>6647</v>
      </c>
      <c r="E1819" s="6" t="s">
        <v>6656</v>
      </c>
      <c r="F1819" s="6" t="s">
        <v>6657</v>
      </c>
      <c r="G1819" s="9" t="s">
        <v>6658</v>
      </c>
      <c r="H1819" s="9" t="s">
        <v>18</v>
      </c>
      <c r="I1819" s="16" t="str">
        <f>VLOOKUP(F1819,[1]完整分类结果!$E:$G,3,0)</f>
        <v>黑色金属冶炼及压延加工业</v>
      </c>
      <c r="J1819" s="16">
        <f>VLOOKUP(I1819,[2]行业排放因子!$A:$B,2,0)</f>
        <v>1891.5323606152201</v>
      </c>
      <c r="K1819" s="9" t="s">
        <v>756</v>
      </c>
    </row>
    <row r="1820" spans="1:11" ht="12.5" customHeight="1" x14ac:dyDescent="0.25">
      <c r="A1820" s="5" t="s">
        <v>6659</v>
      </c>
      <c r="B1820" s="6" t="s">
        <v>6113</v>
      </c>
      <c r="C1820" s="6" t="s">
        <v>6646</v>
      </c>
      <c r="D1820" s="6" t="s">
        <v>6647</v>
      </c>
      <c r="E1820" s="6" t="s">
        <v>6660</v>
      </c>
      <c r="F1820" s="6" t="s">
        <v>6661</v>
      </c>
      <c r="G1820" s="9" t="s">
        <v>6662</v>
      </c>
      <c r="H1820" s="9" t="s">
        <v>18</v>
      </c>
      <c r="I1820" s="16" t="str">
        <f>VLOOKUP(F1820,[1]完整分类结果!$E:$G,3,0)</f>
        <v>黑色金属冶炼及压延加工业</v>
      </c>
      <c r="J1820" s="16">
        <f>VLOOKUP(I1820,[2]行业排放因子!$A:$B,2,0)</f>
        <v>1891.5323606152201</v>
      </c>
      <c r="K1820" s="9" t="s">
        <v>756</v>
      </c>
    </row>
    <row r="1821" spans="1:11" ht="12.5" customHeight="1" x14ac:dyDescent="0.25">
      <c r="A1821" s="5" t="s">
        <v>6663</v>
      </c>
      <c r="B1821" s="6" t="s">
        <v>6113</v>
      </c>
      <c r="C1821" s="6" t="s">
        <v>6646</v>
      </c>
      <c r="D1821" s="6" t="s">
        <v>6647</v>
      </c>
      <c r="E1821" s="6" t="s">
        <v>6664</v>
      </c>
      <c r="F1821" s="6" t="s">
        <v>6665</v>
      </c>
      <c r="G1821" s="9" t="s">
        <v>6666</v>
      </c>
      <c r="H1821" s="9" t="s">
        <v>18</v>
      </c>
      <c r="I1821" s="16" t="str">
        <f>VLOOKUP(F1821,[1]完整分类结果!$E:$G,3,0)</f>
        <v>黑色金属冶炼及压延加工业</v>
      </c>
      <c r="J1821" s="16">
        <f>VLOOKUP(I1821,[2]行业排放因子!$A:$B,2,0)</f>
        <v>1891.5323606152201</v>
      </c>
      <c r="K1821" s="9" t="s">
        <v>756</v>
      </c>
    </row>
    <row r="1822" spans="1:11" ht="12.5" customHeight="1" x14ac:dyDescent="0.25">
      <c r="A1822" s="5" t="s">
        <v>6667</v>
      </c>
      <c r="B1822" s="6" t="s">
        <v>6113</v>
      </c>
      <c r="C1822" s="6" t="s">
        <v>6646</v>
      </c>
      <c r="D1822" s="6" t="s">
        <v>6647</v>
      </c>
      <c r="E1822" s="6" t="s">
        <v>6668</v>
      </c>
      <c r="F1822" s="6" t="s">
        <v>6669</v>
      </c>
      <c r="G1822" s="9" t="s">
        <v>6670</v>
      </c>
      <c r="H1822" s="9" t="s">
        <v>18</v>
      </c>
      <c r="I1822" s="16" t="str">
        <f>VLOOKUP(F1822,[1]完整分类结果!$E:$G,3,0)</f>
        <v>黑色金属冶炼及压延加工业</v>
      </c>
      <c r="J1822" s="16">
        <f>VLOOKUP(I1822,[2]行业排放因子!$A:$B,2,0)</f>
        <v>1891.5323606152201</v>
      </c>
      <c r="K1822" s="9" t="s">
        <v>756</v>
      </c>
    </row>
    <row r="1823" spans="1:11" ht="12.5" customHeight="1" x14ac:dyDescent="0.25">
      <c r="A1823" s="5" t="s">
        <v>6671</v>
      </c>
      <c r="B1823" s="6" t="s">
        <v>6113</v>
      </c>
      <c r="C1823" s="6" t="s">
        <v>6646</v>
      </c>
      <c r="D1823" s="6" t="s">
        <v>6647</v>
      </c>
      <c r="E1823" s="6" t="s">
        <v>6672</v>
      </c>
      <c r="F1823" s="6" t="s">
        <v>6673</v>
      </c>
      <c r="G1823" s="9" t="s">
        <v>6674</v>
      </c>
      <c r="H1823" s="9" t="s">
        <v>18</v>
      </c>
      <c r="I1823" s="16" t="str">
        <f>VLOOKUP(F1823,[1]完整分类结果!$E:$G,3,0)</f>
        <v>黑色金属冶炼及压延加工业</v>
      </c>
      <c r="J1823" s="16">
        <f>VLOOKUP(I1823,[2]行业排放因子!$A:$B,2,0)</f>
        <v>1891.5323606152201</v>
      </c>
      <c r="K1823" s="9" t="s">
        <v>756</v>
      </c>
    </row>
    <row r="1824" spans="1:11" ht="12.5" customHeight="1" x14ac:dyDescent="0.25">
      <c r="A1824" s="5" t="s">
        <v>6675</v>
      </c>
      <c r="B1824" s="6" t="s">
        <v>6113</v>
      </c>
      <c r="C1824" s="6" t="s">
        <v>6646</v>
      </c>
      <c r="D1824" s="6" t="s">
        <v>6647</v>
      </c>
      <c r="E1824" s="6" t="s">
        <v>6676</v>
      </c>
      <c r="F1824" s="6" t="s">
        <v>6677</v>
      </c>
      <c r="G1824" s="9" t="s">
        <v>6678</v>
      </c>
      <c r="H1824" s="9" t="s">
        <v>18</v>
      </c>
      <c r="I1824" s="16" t="str">
        <f>VLOOKUP(F1824,[1]完整分类结果!$E:$G,3,0)</f>
        <v>黑色金属冶炼及压延加工业</v>
      </c>
      <c r="J1824" s="16">
        <f>VLOOKUP(I1824,[2]行业排放因子!$A:$B,2,0)</f>
        <v>1891.5323606152201</v>
      </c>
      <c r="K1824" s="9" t="s">
        <v>756</v>
      </c>
    </row>
    <row r="1825" spans="1:11" ht="12.5" customHeight="1" x14ac:dyDescent="0.25">
      <c r="A1825" s="5" t="s">
        <v>6679</v>
      </c>
      <c r="B1825" s="6" t="s">
        <v>6113</v>
      </c>
      <c r="C1825" s="6" t="s">
        <v>6646</v>
      </c>
      <c r="D1825" s="6" t="s">
        <v>6647</v>
      </c>
      <c r="E1825" s="6" t="s">
        <v>6680</v>
      </c>
      <c r="F1825" s="6" t="s">
        <v>6681</v>
      </c>
      <c r="G1825" s="9" t="s">
        <v>6682</v>
      </c>
      <c r="H1825" s="9" t="s">
        <v>18</v>
      </c>
      <c r="I1825" s="16" t="str">
        <f>VLOOKUP(F1825,[1]完整分类结果!$E:$G,3,0)</f>
        <v>黑色金属冶炼及压延加工业</v>
      </c>
      <c r="J1825" s="16">
        <f>VLOOKUP(I1825,[2]行业排放因子!$A:$B,2,0)</f>
        <v>1891.5323606152201</v>
      </c>
      <c r="K1825" s="9" t="s">
        <v>756</v>
      </c>
    </row>
    <row r="1826" spans="1:11" ht="12.5" customHeight="1" x14ac:dyDescent="0.25">
      <c r="A1826" s="5" t="s">
        <v>6683</v>
      </c>
      <c r="B1826" s="6" t="s">
        <v>6113</v>
      </c>
      <c r="C1826" s="6" t="s">
        <v>6646</v>
      </c>
      <c r="D1826" s="6" t="s">
        <v>6647</v>
      </c>
      <c r="E1826" s="6" t="s">
        <v>6684</v>
      </c>
      <c r="F1826" s="6" t="s">
        <v>6685</v>
      </c>
      <c r="G1826" s="9" t="s">
        <v>6686</v>
      </c>
      <c r="H1826" s="9" t="s">
        <v>18</v>
      </c>
      <c r="I1826" s="16" t="str">
        <f>VLOOKUP(F1826,[1]完整分类结果!$E:$G,3,0)</f>
        <v>黑色金属冶炼及压延加工业</v>
      </c>
      <c r="J1826" s="16">
        <f>VLOOKUP(I1826,[2]行业排放因子!$A:$B,2,0)</f>
        <v>1891.5323606152201</v>
      </c>
      <c r="K1826" s="9" t="s">
        <v>756</v>
      </c>
    </row>
    <row r="1827" spans="1:11" ht="12.5" customHeight="1" x14ac:dyDescent="0.25">
      <c r="A1827" s="5" t="s">
        <v>6687</v>
      </c>
      <c r="B1827" s="6" t="s">
        <v>6113</v>
      </c>
      <c r="C1827" s="6" t="s">
        <v>6646</v>
      </c>
      <c r="D1827" s="6" t="s">
        <v>6647</v>
      </c>
      <c r="E1827" s="6" t="s">
        <v>6688</v>
      </c>
      <c r="F1827" s="6" t="s">
        <v>6689</v>
      </c>
      <c r="G1827" s="9" t="s">
        <v>6690</v>
      </c>
      <c r="H1827" s="9" t="s">
        <v>18</v>
      </c>
      <c r="I1827" s="16" t="str">
        <f>VLOOKUP(F1827,[1]完整分类结果!$E:$G,3,0)</f>
        <v>黑色金属冶炼及压延加工业</v>
      </c>
      <c r="J1827" s="16">
        <f>VLOOKUP(I1827,[2]行业排放因子!$A:$B,2,0)</f>
        <v>1891.5323606152201</v>
      </c>
      <c r="K1827" s="9" t="s">
        <v>756</v>
      </c>
    </row>
    <row r="1828" spans="1:11" ht="12.5" customHeight="1" x14ac:dyDescent="0.25">
      <c r="A1828" s="5" t="s">
        <v>6691</v>
      </c>
      <c r="B1828" s="6" t="s">
        <v>6113</v>
      </c>
      <c r="C1828" s="6" t="s">
        <v>6646</v>
      </c>
      <c r="D1828" s="6" t="s">
        <v>6647</v>
      </c>
      <c r="E1828" s="6" t="s">
        <v>6692</v>
      </c>
      <c r="F1828" s="6" t="s">
        <v>6693</v>
      </c>
      <c r="G1828" s="9" t="s">
        <v>6694</v>
      </c>
      <c r="H1828" s="9" t="s">
        <v>18</v>
      </c>
      <c r="I1828" s="16" t="str">
        <f>VLOOKUP(F1828,[1]完整分类结果!$E:$G,3,0)</f>
        <v>黑色金属冶炼及压延加工业</v>
      </c>
      <c r="J1828" s="16">
        <f>VLOOKUP(I1828,[2]行业排放因子!$A:$B,2,0)</f>
        <v>1891.5323606152201</v>
      </c>
      <c r="K1828" s="9" t="s">
        <v>756</v>
      </c>
    </row>
    <row r="1829" spans="1:11" ht="12.5" customHeight="1" x14ac:dyDescent="0.25">
      <c r="A1829" s="5" t="s">
        <v>6695</v>
      </c>
      <c r="B1829" s="6" t="s">
        <v>6113</v>
      </c>
      <c r="C1829" s="6" t="s">
        <v>6646</v>
      </c>
      <c r="D1829" s="6" t="s">
        <v>6647</v>
      </c>
      <c r="E1829" s="6" t="s">
        <v>6696</v>
      </c>
      <c r="F1829" s="6" t="s">
        <v>6697</v>
      </c>
      <c r="G1829" s="9" t="s">
        <v>6698</v>
      </c>
      <c r="H1829" s="9" t="s">
        <v>18</v>
      </c>
      <c r="I1829" s="16" t="str">
        <f>VLOOKUP(F1829,[1]完整分类结果!$E:$G,3,0)</f>
        <v>金属制品业</v>
      </c>
      <c r="J1829" s="16">
        <f>VLOOKUP(I1829,[2]行业排放因子!$A:$B,2,0)</f>
        <v>27.1093085906552</v>
      </c>
      <c r="K1829" s="9" t="s">
        <v>756</v>
      </c>
    </row>
    <row r="1830" spans="1:11" ht="12.5" customHeight="1" x14ac:dyDescent="0.25">
      <c r="A1830" s="5" t="s">
        <v>6699</v>
      </c>
      <c r="B1830" s="6" t="s">
        <v>6113</v>
      </c>
      <c r="C1830" s="6" t="s">
        <v>6646</v>
      </c>
      <c r="D1830" s="6" t="s">
        <v>6647</v>
      </c>
      <c r="E1830" s="6" t="s">
        <v>6700</v>
      </c>
      <c r="F1830" s="6" t="s">
        <v>6701</v>
      </c>
      <c r="G1830" s="9" t="s">
        <v>6702</v>
      </c>
      <c r="H1830" s="9" t="s">
        <v>18</v>
      </c>
      <c r="I1830" s="16" t="str">
        <f>VLOOKUP(F1830,[1]完整分类结果!$E:$G,3,0)</f>
        <v>黑色金属冶炼及压延加工业</v>
      </c>
      <c r="J1830" s="16">
        <f>VLOOKUP(I1830,[2]行业排放因子!$A:$B,2,0)</f>
        <v>1891.5323606152201</v>
      </c>
      <c r="K1830" s="9" t="s">
        <v>756</v>
      </c>
    </row>
    <row r="1831" spans="1:11" ht="12.5" customHeight="1" x14ac:dyDescent="0.25">
      <c r="A1831" s="5" t="s">
        <v>6703</v>
      </c>
      <c r="B1831" s="6" t="s">
        <v>6113</v>
      </c>
      <c r="C1831" s="6" t="s">
        <v>6646</v>
      </c>
      <c r="D1831" s="6" t="s">
        <v>6647</v>
      </c>
      <c r="E1831" s="6" t="s">
        <v>6704</v>
      </c>
      <c r="F1831" s="6" t="s">
        <v>6705</v>
      </c>
      <c r="G1831" s="9" t="s">
        <v>6706</v>
      </c>
      <c r="H1831" s="9" t="s">
        <v>18</v>
      </c>
      <c r="I1831" s="16" t="str">
        <f>VLOOKUP(F1831,[1]完整分类结果!$E:$G,3,0)</f>
        <v>金属制品业</v>
      </c>
      <c r="J1831" s="16">
        <f>VLOOKUP(I1831,[2]行业排放因子!$A:$B,2,0)</f>
        <v>27.1093085906552</v>
      </c>
      <c r="K1831" s="9" t="s">
        <v>756</v>
      </c>
    </row>
    <row r="1832" spans="1:11" ht="12.5" customHeight="1" x14ac:dyDescent="0.25">
      <c r="A1832" s="5" t="s">
        <v>6707</v>
      </c>
      <c r="B1832" s="6" t="s">
        <v>6113</v>
      </c>
      <c r="C1832" s="6" t="s">
        <v>6646</v>
      </c>
      <c r="D1832" s="6" t="s">
        <v>6647</v>
      </c>
      <c r="E1832" s="6" t="s">
        <v>6708</v>
      </c>
      <c r="F1832" s="6" t="s">
        <v>6709</v>
      </c>
      <c r="G1832" s="9" t="s">
        <v>6710</v>
      </c>
      <c r="H1832" s="9" t="s">
        <v>18</v>
      </c>
      <c r="I1832" s="16" t="str">
        <f>VLOOKUP(F1832,[1]完整分类结果!$E:$G,3,0)</f>
        <v>黑色金属冶炼及压延加工业</v>
      </c>
      <c r="J1832" s="16">
        <f>VLOOKUP(I1832,[2]行业排放因子!$A:$B,2,0)</f>
        <v>1891.5323606152201</v>
      </c>
      <c r="K1832" s="9" t="s">
        <v>756</v>
      </c>
    </row>
    <row r="1833" spans="1:11" ht="12.5" customHeight="1" x14ac:dyDescent="0.25">
      <c r="A1833" s="5" t="s">
        <v>6711</v>
      </c>
      <c r="B1833" s="6" t="s">
        <v>6113</v>
      </c>
      <c r="C1833" s="6" t="s">
        <v>6646</v>
      </c>
      <c r="D1833" s="6" t="s">
        <v>6647</v>
      </c>
      <c r="E1833" s="6" t="s">
        <v>6712</v>
      </c>
      <c r="F1833" s="6" t="s">
        <v>6713</v>
      </c>
      <c r="G1833" s="9" t="s">
        <v>6714</v>
      </c>
      <c r="H1833" s="9" t="s">
        <v>18</v>
      </c>
      <c r="I1833" s="16" t="str">
        <f>VLOOKUP(F1833,[1]完整分类结果!$E:$G,3,0)</f>
        <v>金属制品业</v>
      </c>
      <c r="J1833" s="16">
        <f>VLOOKUP(I1833,[2]行业排放因子!$A:$B,2,0)</f>
        <v>27.1093085906552</v>
      </c>
      <c r="K1833" s="9" t="s">
        <v>756</v>
      </c>
    </row>
    <row r="1834" spans="1:11" ht="12.5" customHeight="1" x14ac:dyDescent="0.25">
      <c r="A1834" s="5" t="s">
        <v>6715</v>
      </c>
      <c r="B1834" s="6" t="s">
        <v>6113</v>
      </c>
      <c r="C1834" s="6" t="s">
        <v>6646</v>
      </c>
      <c r="D1834" s="6" t="s">
        <v>6647</v>
      </c>
      <c r="E1834" s="6" t="s">
        <v>6716</v>
      </c>
      <c r="F1834" s="6" t="s">
        <v>6717</v>
      </c>
      <c r="G1834" s="9" t="s">
        <v>6718</v>
      </c>
      <c r="H1834" s="9" t="s">
        <v>18</v>
      </c>
      <c r="I1834" s="16" t="str">
        <f>VLOOKUP(F1834,[1]完整分类结果!$E:$G,3,0)</f>
        <v>金属制品业</v>
      </c>
      <c r="J1834" s="16">
        <f>VLOOKUP(I1834,[2]行业排放因子!$A:$B,2,0)</f>
        <v>27.1093085906552</v>
      </c>
      <c r="K1834" s="9" t="s">
        <v>756</v>
      </c>
    </row>
    <row r="1835" spans="1:11" ht="12.5" customHeight="1" x14ac:dyDescent="0.25">
      <c r="A1835" s="5" t="s">
        <v>6719</v>
      </c>
      <c r="B1835" s="6" t="s">
        <v>6113</v>
      </c>
      <c r="C1835" s="6" t="s">
        <v>6646</v>
      </c>
      <c r="D1835" s="6" t="s">
        <v>6647</v>
      </c>
      <c r="E1835" s="6" t="s">
        <v>6720</v>
      </c>
      <c r="F1835" s="6" t="s">
        <v>6721</v>
      </c>
      <c r="G1835" s="9" t="s">
        <v>6722</v>
      </c>
      <c r="H1835" s="9" t="s">
        <v>18</v>
      </c>
      <c r="I1835" s="16" t="str">
        <f>VLOOKUP(F1835,[1]完整分类结果!$E:$G,3,0)</f>
        <v>黑色金属冶炼及压延加工业</v>
      </c>
      <c r="J1835" s="16">
        <f>VLOOKUP(I1835,[2]行业排放因子!$A:$B,2,0)</f>
        <v>1891.5323606152201</v>
      </c>
      <c r="K1835" s="9" t="s">
        <v>756</v>
      </c>
    </row>
    <row r="1836" spans="1:11" ht="12.5" customHeight="1" x14ac:dyDescent="0.25">
      <c r="A1836" s="5" t="s">
        <v>6723</v>
      </c>
      <c r="B1836" s="6" t="s">
        <v>6113</v>
      </c>
      <c r="C1836" s="6" t="s">
        <v>6646</v>
      </c>
      <c r="D1836" s="6" t="s">
        <v>6647</v>
      </c>
      <c r="E1836" s="6" t="s">
        <v>6724</v>
      </c>
      <c r="F1836" s="6" t="s">
        <v>6725</v>
      </c>
      <c r="G1836" s="9" t="s">
        <v>6726</v>
      </c>
      <c r="H1836" s="9" t="s">
        <v>18</v>
      </c>
      <c r="I1836" s="16" t="str">
        <f>VLOOKUP(F1836,[1]完整分类结果!$E:$G,3,0)</f>
        <v>金属制品业</v>
      </c>
      <c r="J1836" s="16">
        <f>VLOOKUP(I1836,[2]行业排放因子!$A:$B,2,0)</f>
        <v>27.1093085906552</v>
      </c>
      <c r="K1836" s="9" t="s">
        <v>756</v>
      </c>
    </row>
    <row r="1837" spans="1:11" ht="12.5" customHeight="1" x14ac:dyDescent="0.25">
      <c r="A1837" s="5" t="s">
        <v>6727</v>
      </c>
      <c r="B1837" s="6" t="s">
        <v>6113</v>
      </c>
      <c r="C1837" s="6" t="s">
        <v>6646</v>
      </c>
      <c r="D1837" s="6" t="s">
        <v>6647</v>
      </c>
      <c r="E1837" s="6" t="s">
        <v>6728</v>
      </c>
      <c r="F1837" s="6" t="s">
        <v>6729</v>
      </c>
      <c r="G1837" s="9" t="s">
        <v>6730</v>
      </c>
      <c r="H1837" s="9" t="s">
        <v>18</v>
      </c>
      <c r="I1837" s="16" t="str">
        <f>VLOOKUP(F1837,[1]完整分类结果!$E:$G,3,0)</f>
        <v>黑色金属冶炼及压延加工业</v>
      </c>
      <c r="J1837" s="16">
        <f>VLOOKUP(I1837,[2]行业排放因子!$A:$B,2,0)</f>
        <v>1891.5323606152201</v>
      </c>
      <c r="K1837" s="9" t="s">
        <v>756</v>
      </c>
    </row>
    <row r="1838" spans="1:11" ht="12.5" customHeight="1" x14ac:dyDescent="0.25">
      <c r="A1838" s="5" t="s">
        <v>6731</v>
      </c>
      <c r="B1838" s="6" t="s">
        <v>6113</v>
      </c>
      <c r="C1838" s="6" t="s">
        <v>6646</v>
      </c>
      <c r="D1838" s="6" t="s">
        <v>6647</v>
      </c>
      <c r="E1838" s="6" t="s">
        <v>6732</v>
      </c>
      <c r="F1838" s="6" t="s">
        <v>6733</v>
      </c>
      <c r="G1838" s="9" t="s">
        <v>6734</v>
      </c>
      <c r="H1838" s="9" t="s">
        <v>18</v>
      </c>
      <c r="I1838" s="16" t="str">
        <f>VLOOKUP(F1838,[1]完整分类结果!$E:$G,3,0)</f>
        <v>黑色金属冶炼及压延加工业</v>
      </c>
      <c r="J1838" s="16">
        <f>VLOOKUP(I1838,[2]行业排放因子!$A:$B,2,0)</f>
        <v>1891.5323606152201</v>
      </c>
      <c r="K1838" s="9" t="s">
        <v>756</v>
      </c>
    </row>
    <row r="1839" spans="1:11" ht="12.5" customHeight="1" x14ac:dyDescent="0.25">
      <c r="A1839" s="5" t="s">
        <v>6735</v>
      </c>
      <c r="B1839" s="6" t="s">
        <v>6113</v>
      </c>
      <c r="C1839" s="6" t="s">
        <v>6646</v>
      </c>
      <c r="D1839" s="6" t="s">
        <v>6647</v>
      </c>
      <c r="E1839" s="6" t="s">
        <v>6736</v>
      </c>
      <c r="F1839" s="6" t="s">
        <v>6737</v>
      </c>
      <c r="G1839" s="9" t="s">
        <v>6738</v>
      </c>
      <c r="H1839" s="9" t="s">
        <v>18</v>
      </c>
      <c r="I1839" s="16" t="str">
        <f>VLOOKUP(F1839,[1]完整分类结果!$E:$G,3,0)</f>
        <v>黑色金属冶炼及压延加工业</v>
      </c>
      <c r="J1839" s="16">
        <f>VLOOKUP(I1839,[2]行业排放因子!$A:$B,2,0)</f>
        <v>1891.5323606152201</v>
      </c>
      <c r="K1839" s="9" t="s">
        <v>756</v>
      </c>
    </row>
    <row r="1840" spans="1:11" ht="12.5" customHeight="1" x14ac:dyDescent="0.25">
      <c r="A1840" s="5" t="s">
        <v>6739</v>
      </c>
      <c r="B1840" s="6" t="s">
        <v>6113</v>
      </c>
      <c r="C1840" s="6" t="s">
        <v>6646</v>
      </c>
      <c r="D1840" s="6" t="s">
        <v>6647</v>
      </c>
      <c r="E1840" s="6" t="s">
        <v>6740</v>
      </c>
      <c r="F1840" s="6" t="s">
        <v>6741</v>
      </c>
      <c r="G1840" s="9" t="s">
        <v>6742</v>
      </c>
      <c r="H1840" s="9" t="s">
        <v>18</v>
      </c>
      <c r="I1840" s="16" t="str">
        <f>VLOOKUP(F1840,[1]完整分类结果!$E:$G,3,0)</f>
        <v>黑色金属冶炼及压延加工业</v>
      </c>
      <c r="J1840" s="16">
        <f>VLOOKUP(I1840,[2]行业排放因子!$A:$B,2,0)</f>
        <v>1891.5323606152201</v>
      </c>
      <c r="K1840" s="9" t="s">
        <v>756</v>
      </c>
    </row>
    <row r="1841" spans="1:11" ht="12.5" customHeight="1" x14ac:dyDescent="0.25">
      <c r="A1841" s="5" t="s">
        <v>6743</v>
      </c>
      <c r="B1841" s="6" t="s">
        <v>6113</v>
      </c>
      <c r="C1841" s="6" t="s">
        <v>6646</v>
      </c>
      <c r="D1841" s="6" t="s">
        <v>6647</v>
      </c>
      <c r="E1841" s="6" t="s">
        <v>6744</v>
      </c>
      <c r="F1841" s="6" t="s">
        <v>6745</v>
      </c>
      <c r="G1841" s="9" t="s">
        <v>6746</v>
      </c>
      <c r="H1841" s="9" t="s">
        <v>18</v>
      </c>
      <c r="I1841" s="16" t="str">
        <f>VLOOKUP(F1841,[1]完整分类结果!$E:$G,3,0)</f>
        <v>金属制品业</v>
      </c>
      <c r="J1841" s="16">
        <f>VLOOKUP(I1841,[2]行业排放因子!$A:$B,2,0)</f>
        <v>27.1093085906552</v>
      </c>
      <c r="K1841" s="9" t="s">
        <v>756</v>
      </c>
    </row>
    <row r="1842" spans="1:11" ht="12.5" customHeight="1" x14ac:dyDescent="0.25">
      <c r="A1842" s="5" t="s">
        <v>6747</v>
      </c>
      <c r="B1842" s="6" t="s">
        <v>6113</v>
      </c>
      <c r="C1842" s="6" t="s">
        <v>6748</v>
      </c>
      <c r="D1842" s="6" t="s">
        <v>6749</v>
      </c>
      <c r="E1842" s="6" t="s">
        <v>6750</v>
      </c>
      <c r="F1842" s="6" t="s">
        <v>6751</v>
      </c>
      <c r="G1842" s="9" t="s">
        <v>6752</v>
      </c>
      <c r="H1842" s="9" t="s">
        <v>18</v>
      </c>
      <c r="I1842" s="16" t="str">
        <f>VLOOKUP(F1842,[1]完整分类结果!$E:$G,3,0)</f>
        <v>金属制品业</v>
      </c>
      <c r="J1842" s="16">
        <f>VLOOKUP(I1842,[2]行业排放因子!$A:$B,2,0)</f>
        <v>27.1093085906552</v>
      </c>
      <c r="K1842" s="9" t="s">
        <v>756</v>
      </c>
    </row>
    <row r="1843" spans="1:11" ht="12.5" customHeight="1" x14ac:dyDescent="0.25">
      <c r="A1843" s="5" t="s">
        <v>6753</v>
      </c>
      <c r="B1843" s="6" t="s">
        <v>6113</v>
      </c>
      <c r="C1843" s="6" t="s">
        <v>6748</v>
      </c>
      <c r="D1843" s="6" t="s">
        <v>6749</v>
      </c>
      <c r="E1843" s="6" t="s">
        <v>6754</v>
      </c>
      <c r="F1843" s="6" t="s">
        <v>6755</v>
      </c>
      <c r="G1843" s="9" t="s">
        <v>6756</v>
      </c>
      <c r="H1843" s="9" t="s">
        <v>18</v>
      </c>
      <c r="I1843" s="16" t="str">
        <f>VLOOKUP(F1843,[1]完整分类结果!$E:$G,3,0)</f>
        <v>金属制品业</v>
      </c>
      <c r="J1843" s="16">
        <f>VLOOKUP(I1843,[2]行业排放因子!$A:$B,2,0)</f>
        <v>27.1093085906552</v>
      </c>
      <c r="K1843" s="9" t="s">
        <v>756</v>
      </c>
    </row>
    <row r="1844" spans="1:11" ht="12.5" customHeight="1" x14ac:dyDescent="0.25">
      <c r="A1844" s="5" t="s">
        <v>6757</v>
      </c>
      <c r="B1844" s="6" t="s">
        <v>6113</v>
      </c>
      <c r="C1844" s="6" t="s">
        <v>6748</v>
      </c>
      <c r="D1844" s="6" t="s">
        <v>6749</v>
      </c>
      <c r="E1844" s="6" t="s">
        <v>6758</v>
      </c>
      <c r="F1844" s="6" t="s">
        <v>6759</v>
      </c>
      <c r="G1844" s="9" t="s">
        <v>6760</v>
      </c>
      <c r="H1844" s="9" t="s">
        <v>18</v>
      </c>
      <c r="I1844" s="16" t="str">
        <f>VLOOKUP(F1844,[1]完整分类结果!$E:$G,3,0)</f>
        <v>金属制品业</v>
      </c>
      <c r="J1844" s="16">
        <f>VLOOKUP(I1844,[2]行业排放因子!$A:$B,2,0)</f>
        <v>27.1093085906552</v>
      </c>
      <c r="K1844" s="9" t="s">
        <v>756</v>
      </c>
    </row>
    <row r="1845" spans="1:11" ht="12.5" customHeight="1" x14ac:dyDescent="0.25">
      <c r="A1845" s="5" t="s">
        <v>6761</v>
      </c>
      <c r="B1845" s="6" t="s">
        <v>6113</v>
      </c>
      <c r="C1845" s="6" t="s">
        <v>6748</v>
      </c>
      <c r="D1845" s="6" t="s">
        <v>6749</v>
      </c>
      <c r="E1845" s="6" t="s">
        <v>6762</v>
      </c>
      <c r="F1845" s="6" t="s">
        <v>6763</v>
      </c>
      <c r="G1845" s="9" t="s">
        <v>6764</v>
      </c>
      <c r="H1845" s="9" t="s">
        <v>18</v>
      </c>
      <c r="I1845" s="16" t="str">
        <f>VLOOKUP(F1845,[1]完整分类结果!$E:$G,3,0)</f>
        <v>金属制品业</v>
      </c>
      <c r="J1845" s="16">
        <f>VLOOKUP(I1845,[2]行业排放因子!$A:$B,2,0)</f>
        <v>27.1093085906552</v>
      </c>
      <c r="K1845" s="9" t="s">
        <v>756</v>
      </c>
    </row>
    <row r="1846" spans="1:11" ht="12.5" customHeight="1" x14ac:dyDescent="0.25">
      <c r="A1846" s="5" t="s">
        <v>6765</v>
      </c>
      <c r="B1846" s="6" t="s">
        <v>6113</v>
      </c>
      <c r="C1846" s="6" t="s">
        <v>6748</v>
      </c>
      <c r="D1846" s="6" t="s">
        <v>6749</v>
      </c>
      <c r="E1846" s="6" t="s">
        <v>6766</v>
      </c>
      <c r="F1846" s="6" t="s">
        <v>6767</v>
      </c>
      <c r="G1846" s="9" t="s">
        <v>6768</v>
      </c>
      <c r="H1846" s="9" t="s">
        <v>18</v>
      </c>
      <c r="I1846" s="16" t="str">
        <f>VLOOKUP(F1846,[1]完整分类结果!$E:$G,3,0)</f>
        <v>金属制品业</v>
      </c>
      <c r="J1846" s="16">
        <f>VLOOKUP(I1846,[2]行业排放因子!$A:$B,2,0)</f>
        <v>27.1093085906552</v>
      </c>
      <c r="K1846" s="9" t="s">
        <v>756</v>
      </c>
    </row>
    <row r="1847" spans="1:11" ht="12.5" customHeight="1" x14ac:dyDescent="0.25">
      <c r="A1847" s="5" t="s">
        <v>6769</v>
      </c>
      <c r="B1847" s="6" t="s">
        <v>6113</v>
      </c>
      <c r="C1847" s="6" t="s">
        <v>6748</v>
      </c>
      <c r="D1847" s="6" t="s">
        <v>6749</v>
      </c>
      <c r="E1847" s="6" t="s">
        <v>6770</v>
      </c>
      <c r="F1847" s="6" t="s">
        <v>6771</v>
      </c>
      <c r="G1847" s="9" t="s">
        <v>6772</v>
      </c>
      <c r="H1847" s="9" t="s">
        <v>18</v>
      </c>
      <c r="I1847" s="16" t="str">
        <f>VLOOKUP(F1847,[1]完整分类结果!$E:$G,3,0)</f>
        <v>金属制品业</v>
      </c>
      <c r="J1847" s="16">
        <f>VLOOKUP(I1847,[2]行业排放因子!$A:$B,2,0)</f>
        <v>27.1093085906552</v>
      </c>
      <c r="K1847" s="9" t="s">
        <v>756</v>
      </c>
    </row>
    <row r="1848" spans="1:11" ht="12.5" customHeight="1" x14ac:dyDescent="0.25">
      <c r="A1848" s="5" t="s">
        <v>6773</v>
      </c>
      <c r="B1848" s="6" t="s">
        <v>6113</v>
      </c>
      <c r="C1848" s="6" t="s">
        <v>6748</v>
      </c>
      <c r="D1848" s="6" t="s">
        <v>6749</v>
      </c>
      <c r="E1848" s="6" t="s">
        <v>6774</v>
      </c>
      <c r="F1848" s="6" t="s">
        <v>6775</v>
      </c>
      <c r="G1848" s="9" t="s">
        <v>6776</v>
      </c>
      <c r="H1848" s="9" t="s">
        <v>18</v>
      </c>
      <c r="I1848" s="16" t="str">
        <f>VLOOKUP(F1848,[1]完整分类结果!$E:$G,3,0)</f>
        <v>金属制品业</v>
      </c>
      <c r="J1848" s="16">
        <f>VLOOKUP(I1848,[2]行业排放因子!$A:$B,2,0)</f>
        <v>27.1093085906552</v>
      </c>
      <c r="K1848" s="9" t="s">
        <v>756</v>
      </c>
    </row>
    <row r="1849" spans="1:11" ht="12.5" customHeight="1" x14ac:dyDescent="0.25">
      <c r="A1849" s="5" t="s">
        <v>6777</v>
      </c>
      <c r="B1849" s="6" t="s">
        <v>6113</v>
      </c>
      <c r="C1849" s="6" t="s">
        <v>6748</v>
      </c>
      <c r="D1849" s="6" t="s">
        <v>6749</v>
      </c>
      <c r="E1849" s="6" t="s">
        <v>6778</v>
      </c>
      <c r="F1849" s="6" t="s">
        <v>6779</v>
      </c>
      <c r="G1849" s="9" t="s">
        <v>6780</v>
      </c>
      <c r="H1849" s="9" t="s">
        <v>18</v>
      </c>
      <c r="I1849" s="16" t="str">
        <f>VLOOKUP(F1849,[1]完整分类结果!$E:$G,3,0)</f>
        <v>金属制品业</v>
      </c>
      <c r="J1849" s="16">
        <f>VLOOKUP(I1849,[2]行业排放因子!$A:$B,2,0)</f>
        <v>27.1093085906552</v>
      </c>
      <c r="K1849" s="9" t="s">
        <v>756</v>
      </c>
    </row>
    <row r="1850" spans="1:11" ht="12.5" customHeight="1" x14ac:dyDescent="0.25">
      <c r="A1850" s="5" t="s">
        <v>6781</v>
      </c>
      <c r="B1850" s="6" t="s">
        <v>6113</v>
      </c>
      <c r="C1850" s="6" t="s">
        <v>6748</v>
      </c>
      <c r="D1850" s="6" t="s">
        <v>6749</v>
      </c>
      <c r="E1850" s="6" t="s">
        <v>6782</v>
      </c>
      <c r="F1850" s="6" t="s">
        <v>6783</v>
      </c>
      <c r="G1850" s="9" t="s">
        <v>6784</v>
      </c>
      <c r="H1850" s="9" t="s">
        <v>18</v>
      </c>
      <c r="I1850" s="16" t="str">
        <f>VLOOKUP(F1850,[1]完整分类结果!$E:$G,3,0)</f>
        <v>金属制品业</v>
      </c>
      <c r="J1850" s="16">
        <f>VLOOKUP(I1850,[2]行业排放因子!$A:$B,2,0)</f>
        <v>27.1093085906552</v>
      </c>
      <c r="K1850" s="9" t="s">
        <v>756</v>
      </c>
    </row>
    <row r="1851" spans="1:11" ht="12.5" customHeight="1" x14ac:dyDescent="0.25">
      <c r="A1851" s="5" t="s">
        <v>6785</v>
      </c>
      <c r="B1851" s="6" t="s">
        <v>6113</v>
      </c>
      <c r="C1851" s="6" t="s">
        <v>6748</v>
      </c>
      <c r="D1851" s="6" t="s">
        <v>6749</v>
      </c>
      <c r="E1851" s="6" t="s">
        <v>6786</v>
      </c>
      <c r="F1851" s="6" t="s">
        <v>6787</v>
      </c>
      <c r="G1851" s="9" t="s">
        <v>6788</v>
      </c>
      <c r="H1851" s="9" t="s">
        <v>18</v>
      </c>
      <c r="I1851" s="16" t="str">
        <f>VLOOKUP(F1851,[1]完整分类结果!$E:$G,3,0)</f>
        <v>金属制品业</v>
      </c>
      <c r="J1851" s="16">
        <f>VLOOKUP(I1851,[2]行业排放因子!$A:$B,2,0)</f>
        <v>27.1093085906552</v>
      </c>
      <c r="K1851" s="9" t="s">
        <v>756</v>
      </c>
    </row>
    <row r="1852" spans="1:11" ht="12.5" customHeight="1" x14ac:dyDescent="0.25">
      <c r="A1852" s="5" t="s">
        <v>6789</v>
      </c>
      <c r="B1852" s="6" t="s">
        <v>6113</v>
      </c>
      <c r="C1852" s="6" t="s">
        <v>6748</v>
      </c>
      <c r="D1852" s="6" t="s">
        <v>6749</v>
      </c>
      <c r="E1852" s="6" t="s">
        <v>6790</v>
      </c>
      <c r="F1852" s="6" t="s">
        <v>6791</v>
      </c>
      <c r="G1852" s="9" t="s">
        <v>6792</v>
      </c>
      <c r="H1852" s="9" t="s">
        <v>18</v>
      </c>
      <c r="I1852" s="16" t="str">
        <f>VLOOKUP(F1852,[1]完整分类结果!$E:$G,3,0)</f>
        <v>金属制品业</v>
      </c>
      <c r="J1852" s="16">
        <f>VLOOKUP(I1852,[2]行业排放因子!$A:$B,2,0)</f>
        <v>27.1093085906552</v>
      </c>
      <c r="K1852" s="9" t="s">
        <v>756</v>
      </c>
    </row>
    <row r="1853" spans="1:11" ht="12.5" customHeight="1" x14ac:dyDescent="0.25">
      <c r="A1853" s="5" t="s">
        <v>6793</v>
      </c>
      <c r="B1853" s="6" t="s">
        <v>6113</v>
      </c>
      <c r="C1853" s="6" t="s">
        <v>6748</v>
      </c>
      <c r="D1853" s="6" t="s">
        <v>6749</v>
      </c>
      <c r="E1853" s="6" t="s">
        <v>6794</v>
      </c>
      <c r="F1853" s="6" t="s">
        <v>6795</v>
      </c>
      <c r="G1853" s="9" t="s">
        <v>6796</v>
      </c>
      <c r="H1853" s="9" t="s">
        <v>18</v>
      </c>
      <c r="I1853" s="16" t="str">
        <f>VLOOKUP(F1853,[1]完整分类结果!$E:$G,3,0)</f>
        <v>金属制品业</v>
      </c>
      <c r="J1853" s="16">
        <f>VLOOKUP(I1853,[2]行业排放因子!$A:$B,2,0)</f>
        <v>27.1093085906552</v>
      </c>
      <c r="K1853" s="9" t="s">
        <v>756</v>
      </c>
    </row>
    <row r="1854" spans="1:11" ht="12.5" customHeight="1" x14ac:dyDescent="0.25">
      <c r="A1854" s="5" t="s">
        <v>6797</v>
      </c>
      <c r="B1854" s="6" t="s">
        <v>6113</v>
      </c>
      <c r="C1854" s="6" t="s">
        <v>6748</v>
      </c>
      <c r="D1854" s="6" t="s">
        <v>6749</v>
      </c>
      <c r="E1854" s="6" t="s">
        <v>6798</v>
      </c>
      <c r="F1854" s="6" t="s">
        <v>6799</v>
      </c>
      <c r="G1854" s="9" t="s">
        <v>6800</v>
      </c>
      <c r="H1854" s="9" t="s">
        <v>18</v>
      </c>
      <c r="I1854" s="16" t="str">
        <f>VLOOKUP(F1854,[1]完整分类结果!$E:$G,3,0)</f>
        <v>金属制品业</v>
      </c>
      <c r="J1854" s="16">
        <f>VLOOKUP(I1854,[2]行业排放因子!$A:$B,2,0)</f>
        <v>27.1093085906552</v>
      </c>
      <c r="K1854" s="9" t="s">
        <v>756</v>
      </c>
    </row>
    <row r="1855" spans="1:11" ht="12.5" customHeight="1" x14ac:dyDescent="0.25">
      <c r="A1855" s="5" t="s">
        <v>6801</v>
      </c>
      <c r="B1855" s="6" t="s">
        <v>6113</v>
      </c>
      <c r="C1855" s="6" t="s">
        <v>6748</v>
      </c>
      <c r="D1855" s="6" t="s">
        <v>6749</v>
      </c>
      <c r="E1855" s="6" t="s">
        <v>6802</v>
      </c>
      <c r="F1855" s="6" t="s">
        <v>6803</v>
      </c>
      <c r="G1855" s="9" t="s">
        <v>6804</v>
      </c>
      <c r="H1855" s="9" t="s">
        <v>18</v>
      </c>
      <c r="I1855" s="16" t="str">
        <f>VLOOKUP(F1855,[1]完整分类结果!$E:$G,3,0)</f>
        <v>金属制品业</v>
      </c>
      <c r="J1855" s="16">
        <f>VLOOKUP(I1855,[2]行业排放因子!$A:$B,2,0)</f>
        <v>27.1093085906552</v>
      </c>
      <c r="K1855" s="9" t="s">
        <v>756</v>
      </c>
    </row>
    <row r="1856" spans="1:11" ht="12.5" customHeight="1" x14ac:dyDescent="0.25">
      <c r="A1856" s="5" t="s">
        <v>6805</v>
      </c>
      <c r="B1856" s="6" t="s">
        <v>6113</v>
      </c>
      <c r="C1856" s="6" t="s">
        <v>6748</v>
      </c>
      <c r="D1856" s="6" t="s">
        <v>6749</v>
      </c>
      <c r="E1856" s="6" t="s">
        <v>6806</v>
      </c>
      <c r="F1856" s="6" t="s">
        <v>6807</v>
      </c>
      <c r="G1856" s="9" t="s">
        <v>6808</v>
      </c>
      <c r="H1856" s="9" t="s">
        <v>18</v>
      </c>
      <c r="I1856" s="16" t="str">
        <f>VLOOKUP(F1856,[1]完整分类结果!$E:$G,3,0)</f>
        <v>金属制品业</v>
      </c>
      <c r="J1856" s="16">
        <f>VLOOKUP(I1856,[2]行业排放因子!$A:$B,2,0)</f>
        <v>27.1093085906552</v>
      </c>
      <c r="K1856" s="9" t="s">
        <v>756</v>
      </c>
    </row>
    <row r="1857" spans="1:11" ht="12.5" customHeight="1" x14ac:dyDescent="0.25">
      <c r="A1857" s="5" t="s">
        <v>6809</v>
      </c>
      <c r="B1857" s="6" t="s">
        <v>6113</v>
      </c>
      <c r="C1857" s="6" t="s">
        <v>6748</v>
      </c>
      <c r="D1857" s="6" t="s">
        <v>6749</v>
      </c>
      <c r="E1857" s="6" t="s">
        <v>6810</v>
      </c>
      <c r="F1857" s="6" t="s">
        <v>6811</v>
      </c>
      <c r="G1857" s="9"/>
      <c r="H1857" s="9" t="s">
        <v>18</v>
      </c>
      <c r="I1857" s="16" t="str">
        <f>VLOOKUP(F1857,[1]完整分类结果!$E:$G,3,0)</f>
        <v>金属制品业</v>
      </c>
      <c r="J1857" s="16">
        <f>VLOOKUP(I1857,[2]行业排放因子!$A:$B,2,0)</f>
        <v>27.1093085906552</v>
      </c>
      <c r="K1857" s="9" t="s">
        <v>756</v>
      </c>
    </row>
    <row r="1858" spans="1:11" ht="12.5" customHeight="1" x14ac:dyDescent="0.25">
      <c r="A1858" s="5" t="s">
        <v>6812</v>
      </c>
      <c r="B1858" s="6" t="s">
        <v>6113</v>
      </c>
      <c r="C1858" s="6" t="s">
        <v>6748</v>
      </c>
      <c r="D1858" s="6" t="s">
        <v>6813</v>
      </c>
      <c r="E1858" s="6" t="s">
        <v>6814</v>
      </c>
      <c r="F1858" s="6" t="s">
        <v>6815</v>
      </c>
      <c r="G1858" s="9"/>
      <c r="H1858" s="9" t="s">
        <v>18</v>
      </c>
      <c r="I1858" s="16" t="str">
        <f>VLOOKUP(F1858,[1]完整分类结果!$E:$G,3,0)</f>
        <v>金属制品业</v>
      </c>
      <c r="J1858" s="16">
        <f>VLOOKUP(I1858,[2]行业排放因子!$A:$B,2,0)</f>
        <v>27.1093085906552</v>
      </c>
      <c r="K1858" s="9" t="s">
        <v>756</v>
      </c>
    </row>
    <row r="1859" spans="1:11" ht="12.5" customHeight="1" x14ac:dyDescent="0.25">
      <c r="A1859" s="5" t="s">
        <v>6816</v>
      </c>
      <c r="B1859" s="6" t="s">
        <v>6113</v>
      </c>
      <c r="C1859" s="6" t="s">
        <v>6748</v>
      </c>
      <c r="D1859" s="6" t="s">
        <v>6813</v>
      </c>
      <c r="E1859" s="6" t="s">
        <v>6817</v>
      </c>
      <c r="F1859" s="6" t="s">
        <v>6818</v>
      </c>
      <c r="G1859" s="9"/>
      <c r="H1859" s="9" t="s">
        <v>18</v>
      </c>
      <c r="I1859" s="16" t="str">
        <f>VLOOKUP(F1859,[1]完整分类结果!$E:$G,3,0)</f>
        <v>金属制品业</v>
      </c>
      <c r="J1859" s="16">
        <f>VLOOKUP(I1859,[2]行业排放因子!$A:$B,2,0)</f>
        <v>27.1093085906552</v>
      </c>
      <c r="K1859" s="9" t="s">
        <v>756</v>
      </c>
    </row>
    <row r="1860" spans="1:11" ht="12.5" customHeight="1" x14ac:dyDescent="0.25">
      <c r="A1860" s="5" t="s">
        <v>6819</v>
      </c>
      <c r="B1860" s="6" t="s">
        <v>6113</v>
      </c>
      <c r="C1860" s="6" t="s">
        <v>6748</v>
      </c>
      <c r="D1860" s="6" t="s">
        <v>6820</v>
      </c>
      <c r="E1860" s="6" t="s">
        <v>6821</v>
      </c>
      <c r="F1860" s="6" t="s">
        <v>6820</v>
      </c>
      <c r="G1860" s="9" t="s">
        <v>6822</v>
      </c>
      <c r="H1860" s="9" t="s">
        <v>18</v>
      </c>
      <c r="I1860" s="16" t="str">
        <f>VLOOKUP(F1860,[1]完整分类结果!$E:$G,3,0)</f>
        <v>金属制品业</v>
      </c>
      <c r="J1860" s="16">
        <f>VLOOKUP(I1860,[2]行业排放因子!$A:$B,2,0)</f>
        <v>27.1093085906552</v>
      </c>
      <c r="K1860" s="9" t="s">
        <v>756</v>
      </c>
    </row>
    <row r="1861" spans="1:11" ht="12.5" customHeight="1" x14ac:dyDescent="0.25">
      <c r="A1861" s="5" t="s">
        <v>6823</v>
      </c>
      <c r="B1861" s="6" t="s">
        <v>6113</v>
      </c>
      <c r="C1861" s="6" t="s">
        <v>6748</v>
      </c>
      <c r="D1861" s="6" t="s">
        <v>6824</v>
      </c>
      <c r="E1861" s="6" t="s">
        <v>6825</v>
      </c>
      <c r="F1861" s="6" t="s">
        <v>6824</v>
      </c>
      <c r="G1861" s="9" t="s">
        <v>6826</v>
      </c>
      <c r="H1861" s="9" t="s">
        <v>18</v>
      </c>
      <c r="I1861" s="16" t="str">
        <f>VLOOKUP(F1861,[1]完整分类结果!$E:$G,3,0)</f>
        <v>金属制品业</v>
      </c>
      <c r="J1861" s="16">
        <f>VLOOKUP(I1861,[2]行业排放因子!$A:$B,2,0)</f>
        <v>27.1093085906552</v>
      </c>
      <c r="K1861" s="9" t="s">
        <v>756</v>
      </c>
    </row>
    <row r="1862" spans="1:11" ht="12.5" customHeight="1" x14ac:dyDescent="0.25">
      <c r="A1862" s="5" t="s">
        <v>6827</v>
      </c>
      <c r="B1862" s="6" t="s">
        <v>6113</v>
      </c>
      <c r="C1862" s="6" t="s">
        <v>6748</v>
      </c>
      <c r="D1862" s="6" t="s">
        <v>6828</v>
      </c>
      <c r="E1862" s="6" t="s">
        <v>6829</v>
      </c>
      <c r="F1862" s="6" t="s">
        <v>6828</v>
      </c>
      <c r="G1862" s="9" t="s">
        <v>6830</v>
      </c>
      <c r="H1862" s="9" t="s">
        <v>18</v>
      </c>
      <c r="I1862" s="16" t="str">
        <f>VLOOKUP(F1862,[1]完整分类结果!$E:$G,3,0)</f>
        <v>金属制品业</v>
      </c>
      <c r="J1862" s="16">
        <f>VLOOKUP(I1862,[2]行业排放因子!$A:$B,2,0)</f>
        <v>27.1093085906552</v>
      </c>
      <c r="K1862" s="9" t="s">
        <v>756</v>
      </c>
    </row>
    <row r="1863" spans="1:11" ht="12.5" customHeight="1" x14ac:dyDescent="0.25">
      <c r="A1863" s="5" t="s">
        <v>6831</v>
      </c>
      <c r="B1863" s="6" t="s">
        <v>6113</v>
      </c>
      <c r="C1863" s="6" t="s">
        <v>6748</v>
      </c>
      <c r="D1863" s="6" t="s">
        <v>6832</v>
      </c>
      <c r="E1863" s="6" t="s">
        <v>6833</v>
      </c>
      <c r="F1863" s="6" t="s">
        <v>6832</v>
      </c>
      <c r="G1863" s="9" t="s">
        <v>6834</v>
      </c>
      <c r="H1863" s="9" t="s">
        <v>18</v>
      </c>
      <c r="I1863" s="16" t="str">
        <f>VLOOKUP(F1863,[1]完整分类结果!$E:$G,3,0)</f>
        <v>金属制品业</v>
      </c>
      <c r="J1863" s="16">
        <f>VLOOKUP(I1863,[2]行业排放因子!$A:$B,2,0)</f>
        <v>27.1093085906552</v>
      </c>
      <c r="K1863" s="9" t="s">
        <v>756</v>
      </c>
    </row>
    <row r="1864" spans="1:11" ht="12.5" customHeight="1" x14ac:dyDescent="0.25">
      <c r="A1864" s="5" t="s">
        <v>6835</v>
      </c>
      <c r="B1864" s="6" t="s">
        <v>6113</v>
      </c>
      <c r="C1864" s="6" t="s">
        <v>6748</v>
      </c>
      <c r="D1864" s="6" t="s">
        <v>6836</v>
      </c>
      <c r="E1864" s="6" t="s">
        <v>6837</v>
      </c>
      <c r="F1864" s="6" t="s">
        <v>6836</v>
      </c>
      <c r="G1864" s="9" t="s">
        <v>6838</v>
      </c>
      <c r="H1864" s="9" t="s">
        <v>18</v>
      </c>
      <c r="I1864" s="16" t="str">
        <f>VLOOKUP(F1864,[1]完整分类结果!$E:$G,3,0)</f>
        <v>金属制品业</v>
      </c>
      <c r="J1864" s="16">
        <f>VLOOKUP(I1864,[2]行业排放因子!$A:$B,2,0)</f>
        <v>27.1093085906552</v>
      </c>
      <c r="K1864" s="9" t="s">
        <v>756</v>
      </c>
    </row>
    <row r="1865" spans="1:11" ht="12.5" customHeight="1" x14ac:dyDescent="0.25">
      <c r="A1865" s="5" t="s">
        <v>6839</v>
      </c>
      <c r="B1865" s="6" t="s">
        <v>6113</v>
      </c>
      <c r="C1865" s="6" t="s">
        <v>6748</v>
      </c>
      <c r="D1865" s="6" t="s">
        <v>6840</v>
      </c>
      <c r="E1865" s="6" t="s">
        <v>6841</v>
      </c>
      <c r="F1865" s="6" t="s">
        <v>6840</v>
      </c>
      <c r="G1865" s="9" t="s">
        <v>6838</v>
      </c>
      <c r="H1865" s="9" t="s">
        <v>18</v>
      </c>
      <c r="I1865" s="16" t="str">
        <f>VLOOKUP(F1865,[1]完整分类结果!$E:$G,3,0)</f>
        <v>金属制品业</v>
      </c>
      <c r="J1865" s="16">
        <f>VLOOKUP(I1865,[2]行业排放因子!$A:$B,2,0)</f>
        <v>27.1093085906552</v>
      </c>
      <c r="K1865" s="9" t="s">
        <v>756</v>
      </c>
    </row>
    <row r="1866" spans="1:11" ht="12.5" customHeight="1" x14ac:dyDescent="0.25">
      <c r="A1866" s="5" t="s">
        <v>6842</v>
      </c>
      <c r="B1866" s="6" t="s">
        <v>6113</v>
      </c>
      <c r="C1866" s="6" t="s">
        <v>6748</v>
      </c>
      <c r="D1866" s="6" t="s">
        <v>6843</v>
      </c>
      <c r="E1866" s="6" t="s">
        <v>6844</v>
      </c>
      <c r="F1866" s="6" t="s">
        <v>6845</v>
      </c>
      <c r="G1866" s="9" t="s">
        <v>6846</v>
      </c>
      <c r="H1866" s="9" t="s">
        <v>18</v>
      </c>
      <c r="I1866" s="16" t="str">
        <f>VLOOKUP(F1866,[1]完整分类结果!$E:$G,3,0)</f>
        <v>金属制品业</v>
      </c>
      <c r="J1866" s="16">
        <f>VLOOKUP(I1866,[2]行业排放因子!$A:$B,2,0)</f>
        <v>27.1093085906552</v>
      </c>
      <c r="K1866" s="9" t="s">
        <v>756</v>
      </c>
    </row>
    <row r="1867" spans="1:11" ht="12.5" customHeight="1" x14ac:dyDescent="0.25">
      <c r="A1867" s="5" t="s">
        <v>6847</v>
      </c>
      <c r="B1867" s="6" t="s">
        <v>6113</v>
      </c>
      <c r="C1867" s="6" t="s">
        <v>6748</v>
      </c>
      <c r="D1867" s="6" t="s">
        <v>6843</v>
      </c>
      <c r="E1867" s="6" t="s">
        <v>6848</v>
      </c>
      <c r="F1867" s="6" t="s">
        <v>6849</v>
      </c>
      <c r="G1867" s="9" t="s">
        <v>6850</v>
      </c>
      <c r="H1867" s="9" t="s">
        <v>18</v>
      </c>
      <c r="I1867" s="16" t="str">
        <f>VLOOKUP(F1867,[1]完整分类结果!$E:$G,3,0)</f>
        <v>金属制品业</v>
      </c>
      <c r="J1867" s="16">
        <f>VLOOKUP(I1867,[2]行业排放因子!$A:$B,2,0)</f>
        <v>27.1093085906552</v>
      </c>
      <c r="K1867" s="9" t="s">
        <v>756</v>
      </c>
    </row>
    <row r="1868" spans="1:11" ht="12.5" customHeight="1" x14ac:dyDescent="0.25">
      <c r="A1868" s="5" t="s">
        <v>6851</v>
      </c>
      <c r="B1868" s="6" t="s">
        <v>6113</v>
      </c>
      <c r="C1868" s="6" t="s">
        <v>6748</v>
      </c>
      <c r="D1868" s="6" t="s">
        <v>6843</v>
      </c>
      <c r="E1868" s="6" t="s">
        <v>6852</v>
      </c>
      <c r="F1868" s="6" t="s">
        <v>6853</v>
      </c>
      <c r="G1868" s="9" t="s">
        <v>6854</v>
      </c>
      <c r="H1868" s="9" t="s">
        <v>18</v>
      </c>
      <c r="I1868" s="16" t="str">
        <f>VLOOKUP(F1868,[1]完整分类结果!$E:$G,3,0)</f>
        <v>金属制品业</v>
      </c>
      <c r="J1868" s="16">
        <f>VLOOKUP(I1868,[2]行业排放因子!$A:$B,2,0)</f>
        <v>27.1093085906552</v>
      </c>
      <c r="K1868" s="9" t="s">
        <v>756</v>
      </c>
    </row>
    <row r="1869" spans="1:11" ht="12.5" customHeight="1" x14ac:dyDescent="0.25">
      <c r="A1869" s="5" t="s">
        <v>6855</v>
      </c>
      <c r="B1869" s="6" t="s">
        <v>6113</v>
      </c>
      <c r="C1869" s="6" t="s">
        <v>6748</v>
      </c>
      <c r="D1869" s="6" t="s">
        <v>6843</v>
      </c>
      <c r="E1869" s="6" t="s">
        <v>6856</v>
      </c>
      <c r="F1869" s="6" t="s">
        <v>6857</v>
      </c>
      <c r="G1869" s="9" t="s">
        <v>6858</v>
      </c>
      <c r="H1869" s="9" t="s">
        <v>18</v>
      </c>
      <c r="I1869" s="16" t="str">
        <f>VLOOKUP(F1869,[1]完整分类结果!$E:$G,3,0)</f>
        <v>金属制品业</v>
      </c>
      <c r="J1869" s="16">
        <f>VLOOKUP(I1869,[2]行业排放因子!$A:$B,2,0)</f>
        <v>27.1093085906552</v>
      </c>
      <c r="K1869" s="9" t="s">
        <v>756</v>
      </c>
    </row>
    <row r="1870" spans="1:11" ht="12.5" customHeight="1" x14ac:dyDescent="0.25">
      <c r="A1870" s="5" t="s">
        <v>6859</v>
      </c>
      <c r="B1870" s="6" t="s">
        <v>6113</v>
      </c>
      <c r="C1870" s="6" t="s">
        <v>6748</v>
      </c>
      <c r="D1870" s="6" t="s">
        <v>6843</v>
      </c>
      <c r="E1870" s="6" t="s">
        <v>6860</v>
      </c>
      <c r="F1870" s="6" t="s">
        <v>6861</v>
      </c>
      <c r="G1870" s="9" t="s">
        <v>6862</v>
      </c>
      <c r="H1870" s="9" t="s">
        <v>18</v>
      </c>
      <c r="I1870" s="16" t="str">
        <f>VLOOKUP(F1870,[1]完整分类结果!$E:$G,3,0)</f>
        <v>金属制品业</v>
      </c>
      <c r="J1870" s="16">
        <f>VLOOKUP(I1870,[2]行业排放因子!$A:$B,2,0)</f>
        <v>27.1093085906552</v>
      </c>
      <c r="K1870" s="9" t="s">
        <v>756</v>
      </c>
    </row>
    <row r="1871" spans="1:11" ht="12.5" customHeight="1" x14ac:dyDescent="0.25">
      <c r="A1871" s="5" t="s">
        <v>6863</v>
      </c>
      <c r="B1871" s="6" t="s">
        <v>6113</v>
      </c>
      <c r="C1871" s="6" t="s">
        <v>6748</v>
      </c>
      <c r="D1871" s="6" t="s">
        <v>6843</v>
      </c>
      <c r="E1871" s="6" t="s">
        <v>6864</v>
      </c>
      <c r="F1871" s="6" t="s">
        <v>6865</v>
      </c>
      <c r="G1871" s="9" t="s">
        <v>6866</v>
      </c>
      <c r="H1871" s="9" t="s">
        <v>18</v>
      </c>
      <c r="I1871" s="16" t="str">
        <f>VLOOKUP(F1871,[1]完整分类结果!$E:$G,3,0)</f>
        <v>金属制品业</v>
      </c>
      <c r="J1871" s="16">
        <f>VLOOKUP(I1871,[2]行业排放因子!$A:$B,2,0)</f>
        <v>27.1093085906552</v>
      </c>
      <c r="K1871" s="9" t="s">
        <v>756</v>
      </c>
    </row>
    <row r="1872" spans="1:11" ht="12.5" customHeight="1" x14ac:dyDescent="0.25">
      <c r="A1872" s="5" t="s">
        <v>6867</v>
      </c>
      <c r="B1872" s="6" t="s">
        <v>6113</v>
      </c>
      <c r="C1872" s="6" t="s">
        <v>6748</v>
      </c>
      <c r="D1872" s="6" t="s">
        <v>6843</v>
      </c>
      <c r="E1872" s="6" t="s">
        <v>6868</v>
      </c>
      <c r="F1872" s="6" t="s">
        <v>6869</v>
      </c>
      <c r="G1872" s="9" t="s">
        <v>6870</v>
      </c>
      <c r="H1872" s="9" t="s">
        <v>18</v>
      </c>
      <c r="I1872" s="16" t="str">
        <f>VLOOKUP(F1872,[1]完整分类结果!$E:$G,3,0)</f>
        <v>金属制品业</v>
      </c>
      <c r="J1872" s="16">
        <f>VLOOKUP(I1872,[2]行业排放因子!$A:$B,2,0)</f>
        <v>27.1093085906552</v>
      </c>
      <c r="K1872" s="9" t="s">
        <v>756</v>
      </c>
    </row>
    <row r="1873" spans="1:11" ht="12.5" customHeight="1" x14ac:dyDescent="0.25">
      <c r="A1873" s="5" t="s">
        <v>6871</v>
      </c>
      <c r="B1873" s="6" t="s">
        <v>6113</v>
      </c>
      <c r="C1873" s="6" t="s">
        <v>6748</v>
      </c>
      <c r="D1873" s="6" t="s">
        <v>6843</v>
      </c>
      <c r="E1873" s="6" t="s">
        <v>6872</v>
      </c>
      <c r="F1873" s="6" t="s">
        <v>6843</v>
      </c>
      <c r="G1873" s="9"/>
      <c r="H1873" s="9" t="s">
        <v>18</v>
      </c>
      <c r="I1873" s="16" t="str">
        <f>VLOOKUP(F1873,[1]完整分类结果!$E:$G,3,0)</f>
        <v>金属制品业</v>
      </c>
      <c r="J1873" s="16">
        <f>VLOOKUP(I1873,[2]行业排放因子!$A:$B,2,0)</f>
        <v>27.1093085906552</v>
      </c>
      <c r="K1873" s="9" t="s">
        <v>756</v>
      </c>
    </row>
    <row r="1874" spans="1:11" ht="12.5" customHeight="1" x14ac:dyDescent="0.25">
      <c r="A1874" s="5" t="s">
        <v>6873</v>
      </c>
      <c r="B1874" s="6" t="s">
        <v>6113</v>
      </c>
      <c r="C1874" s="6" t="s">
        <v>6748</v>
      </c>
      <c r="D1874" s="6" t="s">
        <v>6874</v>
      </c>
      <c r="E1874" s="6" t="s">
        <v>6875</v>
      </c>
      <c r="F1874" s="6" t="s">
        <v>6876</v>
      </c>
      <c r="G1874" s="9" t="s">
        <v>6877</v>
      </c>
      <c r="H1874" s="9" t="s">
        <v>18</v>
      </c>
      <c r="I1874" s="16" t="str">
        <f>VLOOKUP(F1874,[1]完整分类结果!$E:$G,3,0)</f>
        <v>金属制品业</v>
      </c>
      <c r="J1874" s="16">
        <f>VLOOKUP(I1874,[2]行业排放因子!$A:$B,2,0)</f>
        <v>27.1093085906552</v>
      </c>
      <c r="K1874" s="9" t="s">
        <v>756</v>
      </c>
    </row>
    <row r="1875" spans="1:11" ht="12.5" customHeight="1" x14ac:dyDescent="0.25">
      <c r="A1875" s="5" t="s">
        <v>6878</v>
      </c>
      <c r="B1875" s="6" t="s">
        <v>6113</v>
      </c>
      <c r="C1875" s="6" t="s">
        <v>6748</v>
      </c>
      <c r="D1875" s="6" t="s">
        <v>6874</v>
      </c>
      <c r="E1875" s="6" t="s">
        <v>6879</v>
      </c>
      <c r="F1875" s="6" t="s">
        <v>6880</v>
      </c>
      <c r="G1875" s="9" t="s">
        <v>6881</v>
      </c>
      <c r="H1875" s="9" t="s">
        <v>18</v>
      </c>
      <c r="I1875" s="16" t="str">
        <f>VLOOKUP(F1875,[1]完整分类结果!$E:$G,3,0)</f>
        <v>金属制品业</v>
      </c>
      <c r="J1875" s="16">
        <f>VLOOKUP(I1875,[2]行业排放因子!$A:$B,2,0)</f>
        <v>27.1093085906552</v>
      </c>
      <c r="K1875" s="9" t="s">
        <v>756</v>
      </c>
    </row>
    <row r="1876" spans="1:11" ht="12.5" customHeight="1" x14ac:dyDescent="0.25">
      <c r="A1876" s="5" t="s">
        <v>6882</v>
      </c>
      <c r="B1876" s="6" t="s">
        <v>6113</v>
      </c>
      <c r="C1876" s="6" t="s">
        <v>6748</v>
      </c>
      <c r="D1876" s="6" t="s">
        <v>6874</v>
      </c>
      <c r="E1876" s="6" t="s">
        <v>6883</v>
      </c>
      <c r="F1876" s="6" t="s">
        <v>6884</v>
      </c>
      <c r="G1876" s="9" t="s">
        <v>6885</v>
      </c>
      <c r="H1876" s="9" t="s">
        <v>18</v>
      </c>
      <c r="I1876" s="16" t="str">
        <f>VLOOKUP(F1876,[1]完整分类结果!$E:$G,3,0)</f>
        <v>金属制品业</v>
      </c>
      <c r="J1876" s="16">
        <f>VLOOKUP(I1876,[2]行业排放因子!$A:$B,2,0)</f>
        <v>27.1093085906552</v>
      </c>
      <c r="K1876" s="9" t="s">
        <v>756</v>
      </c>
    </row>
    <row r="1877" spans="1:11" ht="12.5" customHeight="1" x14ac:dyDescent="0.25">
      <c r="A1877" s="5" t="s">
        <v>6886</v>
      </c>
      <c r="B1877" s="6" t="s">
        <v>6113</v>
      </c>
      <c r="C1877" s="6" t="s">
        <v>6748</v>
      </c>
      <c r="D1877" s="6" t="s">
        <v>6874</v>
      </c>
      <c r="E1877" s="6" t="s">
        <v>6887</v>
      </c>
      <c r="F1877" s="6" t="s">
        <v>6888</v>
      </c>
      <c r="G1877" s="9" t="s">
        <v>6889</v>
      </c>
      <c r="H1877" s="9" t="s">
        <v>18</v>
      </c>
      <c r="I1877" s="16" t="str">
        <f>VLOOKUP(F1877,[1]完整分类结果!$E:$G,3,0)</f>
        <v>金属制品业</v>
      </c>
      <c r="J1877" s="16">
        <f>VLOOKUP(I1877,[2]行业排放因子!$A:$B,2,0)</f>
        <v>27.1093085906552</v>
      </c>
      <c r="K1877" s="9" t="s">
        <v>756</v>
      </c>
    </row>
    <row r="1878" spans="1:11" ht="12.5" customHeight="1" x14ac:dyDescent="0.25">
      <c r="A1878" s="5" t="s">
        <v>6890</v>
      </c>
      <c r="B1878" s="6" t="s">
        <v>6113</v>
      </c>
      <c r="C1878" s="6" t="s">
        <v>6748</v>
      </c>
      <c r="D1878" s="6" t="s">
        <v>6874</v>
      </c>
      <c r="E1878" s="6" t="s">
        <v>6891</v>
      </c>
      <c r="F1878" s="6" t="s">
        <v>6892</v>
      </c>
      <c r="G1878" s="9" t="s">
        <v>6893</v>
      </c>
      <c r="H1878" s="9" t="s">
        <v>18</v>
      </c>
      <c r="I1878" s="16" t="str">
        <f>VLOOKUP(F1878,[1]完整分类结果!$E:$G,3,0)</f>
        <v>金属制品业</v>
      </c>
      <c r="J1878" s="16">
        <f>VLOOKUP(I1878,[2]行业排放因子!$A:$B,2,0)</f>
        <v>27.1093085906552</v>
      </c>
      <c r="K1878" s="9" t="s">
        <v>756</v>
      </c>
    </row>
    <row r="1879" spans="1:11" ht="12.5" customHeight="1" x14ac:dyDescent="0.25">
      <c r="A1879" s="5" t="s">
        <v>6894</v>
      </c>
      <c r="B1879" s="6" t="s">
        <v>6113</v>
      </c>
      <c r="C1879" s="6" t="s">
        <v>6748</v>
      </c>
      <c r="D1879" s="6" t="s">
        <v>6874</v>
      </c>
      <c r="E1879" s="6" t="s">
        <v>6895</v>
      </c>
      <c r="F1879" s="6" t="s">
        <v>6896</v>
      </c>
      <c r="G1879" s="9" t="s">
        <v>6897</v>
      </c>
      <c r="H1879" s="9" t="s">
        <v>18</v>
      </c>
      <c r="I1879" s="16" t="str">
        <f>VLOOKUP(F1879,[1]完整分类结果!$E:$G,3,0)</f>
        <v>金属制品业</v>
      </c>
      <c r="J1879" s="16">
        <f>VLOOKUP(I1879,[2]行业排放因子!$A:$B,2,0)</f>
        <v>27.1093085906552</v>
      </c>
      <c r="K1879" s="9" t="s">
        <v>756</v>
      </c>
    </row>
    <row r="1880" spans="1:11" ht="12.5" customHeight="1" x14ac:dyDescent="0.25">
      <c r="A1880" s="5" t="s">
        <v>6898</v>
      </c>
      <c r="B1880" s="6" t="s">
        <v>6113</v>
      </c>
      <c r="C1880" s="6" t="s">
        <v>6748</v>
      </c>
      <c r="D1880" s="6" t="s">
        <v>6874</v>
      </c>
      <c r="E1880" s="6" t="s">
        <v>6899</v>
      </c>
      <c r="F1880" s="6" t="s">
        <v>6900</v>
      </c>
      <c r="G1880" s="9" t="s">
        <v>6901</v>
      </c>
      <c r="H1880" s="9" t="s">
        <v>18</v>
      </c>
      <c r="I1880" s="16" t="str">
        <f>VLOOKUP(F1880,[1]完整分类结果!$E:$G,3,0)</f>
        <v>金属制品业</v>
      </c>
      <c r="J1880" s="16">
        <f>VLOOKUP(I1880,[2]行业排放因子!$A:$B,2,0)</f>
        <v>27.1093085906552</v>
      </c>
      <c r="K1880" s="9" t="s">
        <v>756</v>
      </c>
    </row>
    <row r="1881" spans="1:11" ht="12.5" customHeight="1" x14ac:dyDescent="0.25">
      <c r="A1881" s="5" t="s">
        <v>6902</v>
      </c>
      <c r="B1881" s="6" t="s">
        <v>6113</v>
      </c>
      <c r="C1881" s="6" t="s">
        <v>6748</v>
      </c>
      <c r="D1881" s="6" t="s">
        <v>6874</v>
      </c>
      <c r="E1881" s="6" t="s">
        <v>6903</v>
      </c>
      <c r="F1881" s="6" t="s">
        <v>6904</v>
      </c>
      <c r="G1881" s="9" t="s">
        <v>6905</v>
      </c>
      <c r="H1881" s="9" t="s">
        <v>18</v>
      </c>
      <c r="I1881" s="16" t="str">
        <f>VLOOKUP(F1881,[1]完整分类结果!$E:$G,3,0)</f>
        <v>金属制品业</v>
      </c>
      <c r="J1881" s="16">
        <f>VLOOKUP(I1881,[2]行业排放因子!$A:$B,2,0)</f>
        <v>27.1093085906552</v>
      </c>
      <c r="K1881" s="9" t="s">
        <v>756</v>
      </c>
    </row>
    <row r="1882" spans="1:11" ht="12.5" customHeight="1" x14ac:dyDescent="0.25">
      <c r="A1882" s="5" t="s">
        <v>6906</v>
      </c>
      <c r="B1882" s="6" t="s">
        <v>6113</v>
      </c>
      <c r="C1882" s="6" t="s">
        <v>6748</v>
      </c>
      <c r="D1882" s="6" t="s">
        <v>6874</v>
      </c>
      <c r="E1882" s="6" t="s">
        <v>6907</v>
      </c>
      <c r="F1882" s="6" t="s">
        <v>6908</v>
      </c>
      <c r="G1882" s="9" t="s">
        <v>6909</v>
      </c>
      <c r="H1882" s="9" t="s">
        <v>18</v>
      </c>
      <c r="I1882" s="16" t="str">
        <f>VLOOKUP(F1882,[1]完整分类结果!$E:$G,3,0)</f>
        <v>金属制品业</v>
      </c>
      <c r="J1882" s="16">
        <f>VLOOKUP(I1882,[2]行业排放因子!$A:$B,2,0)</f>
        <v>27.1093085906552</v>
      </c>
      <c r="K1882" s="9" t="s">
        <v>756</v>
      </c>
    </row>
    <row r="1883" spans="1:11" ht="12.5" customHeight="1" x14ac:dyDescent="0.25">
      <c r="A1883" s="5" t="s">
        <v>6910</v>
      </c>
      <c r="B1883" s="6" t="s">
        <v>6113</v>
      </c>
      <c r="C1883" s="6" t="s">
        <v>6748</v>
      </c>
      <c r="D1883" s="6" t="s">
        <v>6874</v>
      </c>
      <c r="E1883" s="6" t="s">
        <v>6911</v>
      </c>
      <c r="F1883" s="6" t="s">
        <v>6912</v>
      </c>
      <c r="G1883" s="9" t="s">
        <v>6913</v>
      </c>
      <c r="H1883" s="9" t="s">
        <v>18</v>
      </c>
      <c r="I1883" s="16" t="str">
        <f>VLOOKUP(F1883,[1]完整分类结果!$E:$G,3,0)</f>
        <v>金属制品业</v>
      </c>
      <c r="J1883" s="16">
        <f>VLOOKUP(I1883,[2]行业排放因子!$A:$B,2,0)</f>
        <v>27.1093085906552</v>
      </c>
      <c r="K1883" s="9" t="s">
        <v>756</v>
      </c>
    </row>
    <row r="1884" spans="1:11" ht="12.5" customHeight="1" x14ac:dyDescent="0.25">
      <c r="A1884" s="5" t="s">
        <v>6914</v>
      </c>
      <c r="B1884" s="6" t="s">
        <v>6113</v>
      </c>
      <c r="C1884" s="6" t="s">
        <v>6748</v>
      </c>
      <c r="D1884" s="6" t="s">
        <v>6874</v>
      </c>
      <c r="E1884" s="6" t="s">
        <v>6915</v>
      </c>
      <c r="F1884" s="6" t="s">
        <v>6916</v>
      </c>
      <c r="G1884" s="9" t="s">
        <v>6917</v>
      </c>
      <c r="H1884" s="9" t="s">
        <v>18</v>
      </c>
      <c r="I1884" s="16" t="str">
        <f>VLOOKUP(F1884,[1]完整分类结果!$E:$G,3,0)</f>
        <v>金属制品业</v>
      </c>
      <c r="J1884" s="16">
        <f>VLOOKUP(I1884,[2]行业排放因子!$A:$B,2,0)</f>
        <v>27.1093085906552</v>
      </c>
      <c r="K1884" s="9" t="s">
        <v>756</v>
      </c>
    </row>
    <row r="1885" spans="1:11" ht="12.5" customHeight="1" x14ac:dyDescent="0.25">
      <c r="A1885" s="5" t="s">
        <v>6918</v>
      </c>
      <c r="B1885" s="6" t="s">
        <v>6113</v>
      </c>
      <c r="C1885" s="6" t="s">
        <v>6748</v>
      </c>
      <c r="D1885" s="6" t="s">
        <v>6874</v>
      </c>
      <c r="E1885" s="6" t="s">
        <v>6919</v>
      </c>
      <c r="F1885" s="6" t="s">
        <v>6920</v>
      </c>
      <c r="G1885" s="9"/>
      <c r="H1885" s="9" t="s">
        <v>18</v>
      </c>
      <c r="I1885" s="16" t="str">
        <f>VLOOKUP(F1885,[1]完整分类结果!$E:$G,3,0)</f>
        <v>金属制品业</v>
      </c>
      <c r="J1885" s="16">
        <f>VLOOKUP(I1885,[2]行业排放因子!$A:$B,2,0)</f>
        <v>27.1093085906552</v>
      </c>
      <c r="K1885" s="9" t="s">
        <v>756</v>
      </c>
    </row>
    <row r="1886" spans="1:11" ht="12.5" customHeight="1" x14ac:dyDescent="0.25">
      <c r="A1886" s="5" t="s">
        <v>6921</v>
      </c>
      <c r="B1886" s="6" t="s">
        <v>6113</v>
      </c>
      <c r="C1886" s="6" t="s">
        <v>6748</v>
      </c>
      <c r="D1886" s="6" t="s">
        <v>6922</v>
      </c>
      <c r="E1886" s="6" t="s">
        <v>6923</v>
      </c>
      <c r="F1886" s="6" t="s">
        <v>6924</v>
      </c>
      <c r="G1886" s="9"/>
      <c r="H1886" s="9" t="s">
        <v>18</v>
      </c>
      <c r="I1886" s="16" t="str">
        <f>VLOOKUP(F1886,[1]完整分类结果!$E:$G,3,0)</f>
        <v>金属制品业</v>
      </c>
      <c r="J1886" s="16">
        <f>VLOOKUP(I1886,[2]行业排放因子!$A:$B,2,0)</f>
        <v>27.1093085906552</v>
      </c>
      <c r="K1886" s="9" t="s">
        <v>756</v>
      </c>
    </row>
    <row r="1887" spans="1:11" ht="12.5" customHeight="1" x14ac:dyDescent="0.25">
      <c r="A1887" s="5" t="s">
        <v>6925</v>
      </c>
      <c r="B1887" s="6" t="s">
        <v>6113</v>
      </c>
      <c r="C1887" s="6" t="s">
        <v>6748</v>
      </c>
      <c r="D1887" s="6" t="s">
        <v>6922</v>
      </c>
      <c r="E1887" s="6" t="s">
        <v>6926</v>
      </c>
      <c r="F1887" s="6" t="s">
        <v>6927</v>
      </c>
      <c r="G1887" s="9" t="s">
        <v>6928</v>
      </c>
      <c r="H1887" s="9" t="s">
        <v>18</v>
      </c>
      <c r="I1887" s="16" t="str">
        <f>VLOOKUP(F1887,[1]完整分类结果!$E:$G,3,0)</f>
        <v>金属制品业</v>
      </c>
      <c r="J1887" s="16">
        <f>VLOOKUP(I1887,[2]行业排放因子!$A:$B,2,0)</f>
        <v>27.1093085906552</v>
      </c>
      <c r="K1887" s="9" t="s">
        <v>756</v>
      </c>
    </row>
    <row r="1888" spans="1:11" ht="12.5" customHeight="1" x14ac:dyDescent="0.25">
      <c r="A1888" s="5" t="s">
        <v>6929</v>
      </c>
      <c r="B1888" s="6" t="s">
        <v>6113</v>
      </c>
      <c r="C1888" s="6" t="s">
        <v>6748</v>
      </c>
      <c r="D1888" s="6" t="s">
        <v>6922</v>
      </c>
      <c r="E1888" s="6" t="s">
        <v>6930</v>
      </c>
      <c r="F1888" s="6" t="s">
        <v>6931</v>
      </c>
      <c r="G1888" s="9"/>
      <c r="H1888" s="9" t="s">
        <v>18</v>
      </c>
      <c r="I1888" s="16" t="str">
        <f>VLOOKUP(F1888,[1]完整分类结果!$E:$G,3,0)</f>
        <v>金属制品业</v>
      </c>
      <c r="J1888" s="16">
        <f>VLOOKUP(I1888,[2]行业排放因子!$A:$B,2,0)</f>
        <v>27.1093085906552</v>
      </c>
      <c r="K1888" s="9" t="s">
        <v>756</v>
      </c>
    </row>
    <row r="1889" spans="1:11" ht="12.5" customHeight="1" x14ac:dyDescent="0.25">
      <c r="A1889" s="5" t="s">
        <v>6932</v>
      </c>
      <c r="B1889" s="6" t="s">
        <v>6113</v>
      </c>
      <c r="C1889" s="6" t="s">
        <v>6748</v>
      </c>
      <c r="D1889" s="6" t="s">
        <v>6922</v>
      </c>
      <c r="E1889" s="6" t="s">
        <v>6933</v>
      </c>
      <c r="F1889" s="6" t="s">
        <v>6934</v>
      </c>
      <c r="G1889" s="9" t="s">
        <v>6935</v>
      </c>
      <c r="H1889" s="9" t="s">
        <v>18</v>
      </c>
      <c r="I1889" s="16" t="str">
        <f>VLOOKUP(F1889,[1]完整分类结果!$E:$G,3,0)</f>
        <v>金属制品业</v>
      </c>
      <c r="J1889" s="16">
        <f>VLOOKUP(I1889,[2]行业排放因子!$A:$B,2,0)</f>
        <v>27.1093085906552</v>
      </c>
      <c r="K1889" s="9" t="s">
        <v>756</v>
      </c>
    </row>
    <row r="1890" spans="1:11" ht="12.5" customHeight="1" x14ac:dyDescent="0.25">
      <c r="A1890" s="5" t="s">
        <v>6936</v>
      </c>
      <c r="B1890" s="6" t="s">
        <v>6113</v>
      </c>
      <c r="C1890" s="6" t="s">
        <v>6748</v>
      </c>
      <c r="D1890" s="6" t="s">
        <v>6922</v>
      </c>
      <c r="E1890" s="6" t="s">
        <v>6937</v>
      </c>
      <c r="F1890" s="6" t="s">
        <v>6938</v>
      </c>
      <c r="G1890" s="9" t="s">
        <v>6939</v>
      </c>
      <c r="H1890" s="9" t="s">
        <v>18</v>
      </c>
      <c r="I1890" s="16" t="str">
        <f>VLOOKUP(F1890,[1]完整分类结果!$E:$G,3,0)</f>
        <v>金属制品业</v>
      </c>
      <c r="J1890" s="16">
        <f>VLOOKUP(I1890,[2]行业排放因子!$A:$B,2,0)</f>
        <v>27.1093085906552</v>
      </c>
      <c r="K1890" s="9" t="s">
        <v>756</v>
      </c>
    </row>
    <row r="1891" spans="1:11" ht="12.5" customHeight="1" x14ac:dyDescent="0.25">
      <c r="A1891" s="5" t="s">
        <v>6940</v>
      </c>
      <c r="B1891" s="6" t="s">
        <v>6113</v>
      </c>
      <c r="C1891" s="6" t="s">
        <v>6748</v>
      </c>
      <c r="D1891" s="6" t="s">
        <v>6922</v>
      </c>
      <c r="E1891" s="6" t="s">
        <v>6941</v>
      </c>
      <c r="F1891" s="6" t="s">
        <v>6942</v>
      </c>
      <c r="G1891" s="9"/>
      <c r="H1891" s="9" t="s">
        <v>18</v>
      </c>
      <c r="I1891" s="16" t="str">
        <f>VLOOKUP(F1891,[1]完整分类结果!$E:$G,3,0)</f>
        <v>金属制品业</v>
      </c>
      <c r="J1891" s="16">
        <f>VLOOKUP(I1891,[2]行业排放因子!$A:$B,2,0)</f>
        <v>27.1093085906552</v>
      </c>
      <c r="K1891" s="9" t="s">
        <v>756</v>
      </c>
    </row>
    <row r="1892" spans="1:11" ht="12.5" customHeight="1" x14ac:dyDescent="0.25">
      <c r="A1892" s="5" t="s">
        <v>6943</v>
      </c>
      <c r="B1892" s="6" t="s">
        <v>6113</v>
      </c>
      <c r="C1892" s="6" t="s">
        <v>6748</v>
      </c>
      <c r="D1892" s="6" t="s">
        <v>6922</v>
      </c>
      <c r="E1892" s="6" t="s">
        <v>6944</v>
      </c>
      <c r="F1892" s="6" t="s">
        <v>6945</v>
      </c>
      <c r="G1892" s="9"/>
      <c r="H1892" s="9" t="s">
        <v>18</v>
      </c>
      <c r="I1892" s="16" t="str">
        <f>VLOOKUP(F1892,[1]完整分类结果!$E:$G,3,0)</f>
        <v>金属制品业</v>
      </c>
      <c r="J1892" s="16">
        <f>VLOOKUP(I1892,[2]行业排放因子!$A:$B,2,0)</f>
        <v>27.1093085906552</v>
      </c>
      <c r="K1892" s="9" t="s">
        <v>756</v>
      </c>
    </row>
    <row r="1893" spans="1:11" ht="12.5" customHeight="1" x14ac:dyDescent="0.25">
      <c r="A1893" s="5" t="s">
        <v>6946</v>
      </c>
      <c r="B1893" s="6" t="s">
        <v>6113</v>
      </c>
      <c r="C1893" s="6" t="s">
        <v>6748</v>
      </c>
      <c r="D1893" s="6" t="s">
        <v>6922</v>
      </c>
      <c r="E1893" s="6" t="s">
        <v>6947</v>
      </c>
      <c r="F1893" s="6" t="s">
        <v>6948</v>
      </c>
      <c r="G1893" s="9"/>
      <c r="H1893" s="9" t="s">
        <v>18</v>
      </c>
      <c r="I1893" s="16" t="str">
        <f>VLOOKUP(F1893,[1]完整分类结果!$E:$G,3,0)</f>
        <v>金属制品业</v>
      </c>
      <c r="J1893" s="16">
        <f>VLOOKUP(I1893,[2]行业排放因子!$A:$B,2,0)</f>
        <v>27.1093085906552</v>
      </c>
      <c r="K1893" s="9" t="s">
        <v>756</v>
      </c>
    </row>
    <row r="1894" spans="1:11" ht="12.5" customHeight="1" x14ac:dyDescent="0.25">
      <c r="A1894" s="5" t="s">
        <v>6949</v>
      </c>
      <c r="B1894" s="6" t="s">
        <v>6113</v>
      </c>
      <c r="C1894" s="6" t="s">
        <v>6748</v>
      </c>
      <c r="D1894" s="6" t="s">
        <v>6922</v>
      </c>
      <c r="E1894" s="6" t="s">
        <v>6950</v>
      </c>
      <c r="F1894" s="6" t="s">
        <v>6951</v>
      </c>
      <c r="G1894" s="9"/>
      <c r="H1894" s="9" t="s">
        <v>18</v>
      </c>
      <c r="I1894" s="16" t="str">
        <f>VLOOKUP(F1894,[1]完整分类结果!$E:$G,3,0)</f>
        <v>金属制品业</v>
      </c>
      <c r="J1894" s="16">
        <f>VLOOKUP(I1894,[2]行业排放因子!$A:$B,2,0)</f>
        <v>27.1093085906552</v>
      </c>
      <c r="K1894" s="9" t="s">
        <v>756</v>
      </c>
    </row>
    <row r="1895" spans="1:11" ht="12.5" customHeight="1" x14ac:dyDescent="0.25">
      <c r="A1895" s="5" t="s">
        <v>6952</v>
      </c>
      <c r="B1895" s="6" t="s">
        <v>6113</v>
      </c>
      <c r="C1895" s="6" t="s">
        <v>6748</v>
      </c>
      <c r="D1895" s="6" t="s">
        <v>6922</v>
      </c>
      <c r="E1895" s="6" t="s">
        <v>6953</v>
      </c>
      <c r="F1895" s="6" t="s">
        <v>6954</v>
      </c>
      <c r="G1895" s="9"/>
      <c r="H1895" s="9" t="s">
        <v>18</v>
      </c>
      <c r="I1895" s="16" t="str">
        <f>VLOOKUP(F1895,[1]完整分类结果!$E:$G,3,0)</f>
        <v>金属制品业</v>
      </c>
      <c r="J1895" s="16">
        <f>VLOOKUP(I1895,[2]行业排放因子!$A:$B,2,0)</f>
        <v>27.1093085906552</v>
      </c>
      <c r="K1895" s="9" t="s">
        <v>756</v>
      </c>
    </row>
    <row r="1896" spans="1:11" ht="12.5" customHeight="1" x14ac:dyDescent="0.25">
      <c r="A1896" s="5" t="s">
        <v>6955</v>
      </c>
      <c r="B1896" s="6" t="s">
        <v>6113</v>
      </c>
      <c r="C1896" s="6" t="s">
        <v>6748</v>
      </c>
      <c r="D1896" s="6" t="s">
        <v>6956</v>
      </c>
      <c r="E1896" s="6" t="s">
        <v>6957</v>
      </c>
      <c r="F1896" s="6" t="s">
        <v>6958</v>
      </c>
      <c r="G1896" s="9" t="s">
        <v>6959</v>
      </c>
      <c r="H1896" s="9" t="s">
        <v>18</v>
      </c>
      <c r="I1896" s="16" t="str">
        <f>VLOOKUP(F1896,[1]完整分类结果!$E:$G,3,0)</f>
        <v>金属制品业</v>
      </c>
      <c r="J1896" s="16">
        <f>VLOOKUP(I1896,[2]行业排放因子!$A:$B,2,0)</f>
        <v>27.1093085906552</v>
      </c>
      <c r="K1896" s="9" t="s">
        <v>756</v>
      </c>
    </row>
    <row r="1897" spans="1:11" ht="12.5" customHeight="1" x14ac:dyDescent="0.25">
      <c r="A1897" s="5" t="s">
        <v>6960</v>
      </c>
      <c r="B1897" s="6" t="s">
        <v>6113</v>
      </c>
      <c r="C1897" s="6" t="s">
        <v>6748</v>
      </c>
      <c r="D1897" s="6" t="s">
        <v>6956</v>
      </c>
      <c r="E1897" s="6" t="s">
        <v>6961</v>
      </c>
      <c r="F1897" s="6" t="s">
        <v>6962</v>
      </c>
      <c r="G1897" s="9" t="s">
        <v>6963</v>
      </c>
      <c r="H1897" s="9" t="s">
        <v>18</v>
      </c>
      <c r="I1897" s="16" t="str">
        <f>VLOOKUP(F1897,[1]完整分类结果!$E:$G,3,0)</f>
        <v>金属制品业</v>
      </c>
      <c r="J1897" s="16">
        <f>VLOOKUP(I1897,[2]行业排放因子!$A:$B,2,0)</f>
        <v>27.1093085906552</v>
      </c>
      <c r="K1897" s="9" t="s">
        <v>756</v>
      </c>
    </row>
    <row r="1898" spans="1:11" ht="12.5" customHeight="1" x14ac:dyDescent="0.25">
      <c r="A1898" s="5" t="s">
        <v>6964</v>
      </c>
      <c r="B1898" s="6" t="s">
        <v>6113</v>
      </c>
      <c r="C1898" s="6" t="s">
        <v>6748</v>
      </c>
      <c r="D1898" s="6" t="s">
        <v>6956</v>
      </c>
      <c r="E1898" s="6" t="s">
        <v>6965</v>
      </c>
      <c r="F1898" s="6" t="s">
        <v>6966</v>
      </c>
      <c r="G1898" s="9" t="s">
        <v>6967</v>
      </c>
      <c r="H1898" s="9" t="s">
        <v>18</v>
      </c>
      <c r="I1898" s="16" t="str">
        <f>VLOOKUP(F1898,[1]完整分类结果!$E:$G,3,0)</f>
        <v>金属制品业</v>
      </c>
      <c r="J1898" s="16">
        <f>VLOOKUP(I1898,[2]行业排放因子!$A:$B,2,0)</f>
        <v>27.1093085906552</v>
      </c>
      <c r="K1898" s="9" t="s">
        <v>756</v>
      </c>
    </row>
    <row r="1899" spans="1:11" ht="12.5" customHeight="1" x14ac:dyDescent="0.25">
      <c r="A1899" s="5" t="s">
        <v>6968</v>
      </c>
      <c r="B1899" s="6" t="s">
        <v>6113</v>
      </c>
      <c r="C1899" s="6" t="s">
        <v>6748</v>
      </c>
      <c r="D1899" s="6" t="s">
        <v>6956</v>
      </c>
      <c r="E1899" s="6" t="s">
        <v>6969</v>
      </c>
      <c r="F1899" s="6" t="s">
        <v>6970</v>
      </c>
      <c r="G1899" s="9" t="s">
        <v>6971</v>
      </c>
      <c r="H1899" s="9" t="s">
        <v>18</v>
      </c>
      <c r="I1899" s="16" t="str">
        <f>VLOOKUP(F1899,[1]完整分类结果!$E:$G,3,0)</f>
        <v>金属制品业</v>
      </c>
      <c r="J1899" s="16">
        <f>VLOOKUP(I1899,[2]行业排放因子!$A:$B,2,0)</f>
        <v>27.1093085906552</v>
      </c>
      <c r="K1899" s="9" t="s">
        <v>756</v>
      </c>
    </row>
    <row r="1900" spans="1:11" ht="12.5" customHeight="1" x14ac:dyDescent="0.25">
      <c r="A1900" s="5" t="s">
        <v>6972</v>
      </c>
      <c r="B1900" s="6" t="s">
        <v>6113</v>
      </c>
      <c r="C1900" s="6" t="s">
        <v>6748</v>
      </c>
      <c r="D1900" s="6" t="s">
        <v>6956</v>
      </c>
      <c r="E1900" s="6" t="s">
        <v>6973</v>
      </c>
      <c r="F1900" s="6" t="s">
        <v>6974</v>
      </c>
      <c r="G1900" s="9" t="s">
        <v>6975</v>
      </c>
      <c r="H1900" s="9" t="s">
        <v>18</v>
      </c>
      <c r="I1900" s="16" t="str">
        <f>VLOOKUP(F1900,[1]完整分类结果!$E:$G,3,0)</f>
        <v>金属制品业</v>
      </c>
      <c r="J1900" s="16">
        <f>VLOOKUP(I1900,[2]行业排放因子!$A:$B,2,0)</f>
        <v>27.1093085906552</v>
      </c>
      <c r="K1900" s="9" t="s">
        <v>756</v>
      </c>
    </row>
    <row r="1901" spans="1:11" ht="12.5" customHeight="1" x14ac:dyDescent="0.25">
      <c r="A1901" s="5" t="s">
        <v>6976</v>
      </c>
      <c r="B1901" s="6" t="s">
        <v>6113</v>
      </c>
      <c r="C1901" s="6" t="s">
        <v>6748</v>
      </c>
      <c r="D1901" s="6" t="s">
        <v>6956</v>
      </c>
      <c r="E1901" s="6" t="s">
        <v>6977</v>
      </c>
      <c r="F1901" s="6" t="s">
        <v>6978</v>
      </c>
      <c r="G1901" s="9" t="s">
        <v>6979</v>
      </c>
      <c r="H1901" s="9" t="s">
        <v>18</v>
      </c>
      <c r="I1901" s="16" t="str">
        <f>VLOOKUP(F1901,[1]完整分类结果!$E:$G,3,0)</f>
        <v>金属制品业</v>
      </c>
      <c r="J1901" s="16">
        <f>VLOOKUP(I1901,[2]行业排放因子!$A:$B,2,0)</f>
        <v>27.1093085906552</v>
      </c>
      <c r="K1901" s="9" t="s">
        <v>756</v>
      </c>
    </row>
    <row r="1902" spans="1:11" ht="12.5" customHeight="1" x14ac:dyDescent="0.25">
      <c r="A1902" s="5" t="s">
        <v>6980</v>
      </c>
      <c r="B1902" s="6" t="s">
        <v>6113</v>
      </c>
      <c r="C1902" s="6" t="s">
        <v>6748</v>
      </c>
      <c r="D1902" s="6" t="s">
        <v>6956</v>
      </c>
      <c r="E1902" s="6" t="s">
        <v>6981</v>
      </c>
      <c r="F1902" s="6" t="s">
        <v>6982</v>
      </c>
      <c r="G1902" s="9" t="s">
        <v>6983</v>
      </c>
      <c r="H1902" s="9" t="s">
        <v>18</v>
      </c>
      <c r="I1902" s="16" t="str">
        <f>VLOOKUP(F1902,[1]完整分类结果!$E:$G,3,0)</f>
        <v>金属制品业</v>
      </c>
      <c r="J1902" s="16">
        <f>VLOOKUP(I1902,[2]行业排放因子!$A:$B,2,0)</f>
        <v>27.1093085906552</v>
      </c>
      <c r="K1902" s="9" t="s">
        <v>756</v>
      </c>
    </row>
    <row r="1903" spans="1:11" ht="12.5" customHeight="1" x14ac:dyDescent="0.25">
      <c r="A1903" s="5" t="s">
        <v>6984</v>
      </c>
      <c r="B1903" s="6" t="s">
        <v>6113</v>
      </c>
      <c r="C1903" s="6" t="s">
        <v>6748</v>
      </c>
      <c r="D1903" s="6" t="s">
        <v>6956</v>
      </c>
      <c r="E1903" s="6" t="s">
        <v>6985</v>
      </c>
      <c r="F1903" s="6" t="s">
        <v>6986</v>
      </c>
      <c r="G1903" s="9" t="s">
        <v>6987</v>
      </c>
      <c r="H1903" s="9" t="s">
        <v>18</v>
      </c>
      <c r="I1903" s="16" t="str">
        <f>VLOOKUP(F1903,[1]完整分类结果!$E:$G,3,0)</f>
        <v>金属制品业</v>
      </c>
      <c r="J1903" s="16">
        <f>VLOOKUP(I1903,[2]行业排放因子!$A:$B,2,0)</f>
        <v>27.1093085906552</v>
      </c>
      <c r="K1903" s="9" t="s">
        <v>756</v>
      </c>
    </row>
    <row r="1904" spans="1:11" ht="12.5" customHeight="1" x14ac:dyDescent="0.25">
      <c r="A1904" s="5" t="s">
        <v>6988</v>
      </c>
      <c r="B1904" s="6" t="s">
        <v>6113</v>
      </c>
      <c r="C1904" s="6" t="s">
        <v>6748</v>
      </c>
      <c r="D1904" s="6" t="s">
        <v>6956</v>
      </c>
      <c r="E1904" s="6" t="s">
        <v>6989</v>
      </c>
      <c r="F1904" s="6" t="s">
        <v>6990</v>
      </c>
      <c r="G1904" s="9" t="s">
        <v>6991</v>
      </c>
      <c r="H1904" s="9" t="s">
        <v>18</v>
      </c>
      <c r="I1904" s="16" t="str">
        <f>VLOOKUP(F1904,[1]完整分类结果!$E:$G,3,0)</f>
        <v>金属制品业</v>
      </c>
      <c r="J1904" s="16">
        <f>VLOOKUP(I1904,[2]行业排放因子!$A:$B,2,0)</f>
        <v>27.1093085906552</v>
      </c>
      <c r="K1904" s="9" t="s">
        <v>756</v>
      </c>
    </row>
    <row r="1905" spans="1:11" ht="12.5" customHeight="1" x14ac:dyDescent="0.25">
      <c r="A1905" s="5" t="s">
        <v>6992</v>
      </c>
      <c r="B1905" s="6" t="s">
        <v>6113</v>
      </c>
      <c r="C1905" s="6" t="s">
        <v>6748</v>
      </c>
      <c r="D1905" s="6" t="s">
        <v>6956</v>
      </c>
      <c r="E1905" s="6" t="s">
        <v>6993</v>
      </c>
      <c r="F1905" s="6" t="s">
        <v>6994</v>
      </c>
      <c r="G1905" s="9"/>
      <c r="H1905" s="9" t="s">
        <v>18</v>
      </c>
      <c r="I1905" s="16" t="str">
        <f>VLOOKUP(F1905,[1]完整分类结果!$E:$G,3,0)</f>
        <v>金属制品业</v>
      </c>
      <c r="J1905" s="16">
        <f>VLOOKUP(I1905,[2]行业排放因子!$A:$B,2,0)</f>
        <v>27.1093085906552</v>
      </c>
      <c r="K1905" s="9" t="s">
        <v>756</v>
      </c>
    </row>
    <row r="1906" spans="1:11" ht="12.5" customHeight="1" x14ac:dyDescent="0.25">
      <c r="A1906" s="5" t="s">
        <v>6995</v>
      </c>
      <c r="B1906" s="6" t="s">
        <v>6113</v>
      </c>
      <c r="C1906" s="6" t="s">
        <v>6748</v>
      </c>
      <c r="D1906" s="6" t="s">
        <v>6956</v>
      </c>
      <c r="E1906" s="6" t="s">
        <v>6996</v>
      </c>
      <c r="F1906" s="6" t="s">
        <v>6997</v>
      </c>
      <c r="G1906" s="9" t="s">
        <v>6998</v>
      </c>
      <c r="H1906" s="9" t="s">
        <v>18</v>
      </c>
      <c r="I1906" s="16" t="str">
        <f>VLOOKUP(F1906,[1]完整分类结果!$E:$G,3,0)</f>
        <v>金属制品业</v>
      </c>
      <c r="J1906" s="16">
        <f>VLOOKUP(I1906,[2]行业排放因子!$A:$B,2,0)</f>
        <v>27.1093085906552</v>
      </c>
      <c r="K1906" s="9" t="s">
        <v>756</v>
      </c>
    </row>
    <row r="1907" spans="1:11" ht="12.5" customHeight="1" x14ac:dyDescent="0.25">
      <c r="A1907" s="5" t="s">
        <v>6999</v>
      </c>
      <c r="B1907" s="6" t="s">
        <v>6113</v>
      </c>
      <c r="C1907" s="6" t="s">
        <v>6748</v>
      </c>
      <c r="D1907" s="6" t="s">
        <v>6956</v>
      </c>
      <c r="E1907" s="6" t="s">
        <v>7000</v>
      </c>
      <c r="F1907" s="6" t="s">
        <v>7001</v>
      </c>
      <c r="G1907" s="9"/>
      <c r="H1907" s="9" t="s">
        <v>18</v>
      </c>
      <c r="I1907" s="16" t="str">
        <f>VLOOKUP(F1907,[1]完整分类结果!$E:$G,3,0)</f>
        <v>金属制品业</v>
      </c>
      <c r="J1907" s="16">
        <f>VLOOKUP(I1907,[2]行业排放因子!$A:$B,2,0)</f>
        <v>27.1093085906552</v>
      </c>
      <c r="K1907" s="9" t="s">
        <v>756</v>
      </c>
    </row>
    <row r="1908" spans="1:11" ht="12.5" customHeight="1" x14ac:dyDescent="0.25">
      <c r="A1908" s="5" t="s">
        <v>7002</v>
      </c>
      <c r="B1908" s="6" t="s">
        <v>6113</v>
      </c>
      <c r="C1908" s="6" t="s">
        <v>6748</v>
      </c>
      <c r="D1908" s="6" t="s">
        <v>6956</v>
      </c>
      <c r="E1908" s="6" t="s">
        <v>7003</v>
      </c>
      <c r="F1908" s="6" t="s">
        <v>7004</v>
      </c>
      <c r="G1908" s="9" t="s">
        <v>7005</v>
      </c>
      <c r="H1908" s="9" t="s">
        <v>18</v>
      </c>
      <c r="I1908" s="16" t="str">
        <f>VLOOKUP(F1908,[1]完整分类结果!$E:$G,3,0)</f>
        <v>金属制品业</v>
      </c>
      <c r="J1908" s="16">
        <f>VLOOKUP(I1908,[2]行业排放因子!$A:$B,2,0)</f>
        <v>27.1093085906552</v>
      </c>
      <c r="K1908" s="9" t="s">
        <v>756</v>
      </c>
    </row>
    <row r="1909" spans="1:11" ht="12.5" customHeight="1" x14ac:dyDescent="0.25">
      <c r="A1909" s="5" t="s">
        <v>7006</v>
      </c>
      <c r="B1909" s="6" t="s">
        <v>6113</v>
      </c>
      <c r="C1909" s="6" t="s">
        <v>6748</v>
      </c>
      <c r="D1909" s="6" t="s">
        <v>6956</v>
      </c>
      <c r="E1909" s="6" t="s">
        <v>7007</v>
      </c>
      <c r="F1909" s="6" t="s">
        <v>7008</v>
      </c>
      <c r="G1909" s="9" t="s">
        <v>7009</v>
      </c>
      <c r="H1909" s="9" t="s">
        <v>18</v>
      </c>
      <c r="I1909" s="16" t="str">
        <f>VLOOKUP(F1909,[1]完整分类结果!$E:$G,3,0)</f>
        <v>金属制品业</v>
      </c>
      <c r="J1909" s="16">
        <f>VLOOKUP(I1909,[2]行业排放因子!$A:$B,2,0)</f>
        <v>27.1093085906552</v>
      </c>
      <c r="K1909" s="9" t="s">
        <v>756</v>
      </c>
    </row>
    <row r="1910" spans="1:11" ht="12.5" customHeight="1" x14ac:dyDescent="0.25">
      <c r="A1910" s="5" t="s">
        <v>7010</v>
      </c>
      <c r="B1910" s="6" t="s">
        <v>6113</v>
      </c>
      <c r="C1910" s="6" t="s">
        <v>6748</v>
      </c>
      <c r="D1910" s="6" t="s">
        <v>6956</v>
      </c>
      <c r="E1910" s="6" t="s">
        <v>7011</v>
      </c>
      <c r="F1910" s="6" t="s">
        <v>7012</v>
      </c>
      <c r="G1910" s="9" t="s">
        <v>7013</v>
      </c>
      <c r="H1910" s="9" t="s">
        <v>18</v>
      </c>
      <c r="I1910" s="16" t="str">
        <f>VLOOKUP(F1910,[1]完整分类结果!$E:$G,3,0)</f>
        <v>金属制品业</v>
      </c>
      <c r="J1910" s="16">
        <f>VLOOKUP(I1910,[2]行业排放因子!$A:$B,2,0)</f>
        <v>27.1093085906552</v>
      </c>
      <c r="K1910" s="9" t="s">
        <v>756</v>
      </c>
    </row>
    <row r="1911" spans="1:11" ht="12.5" customHeight="1" x14ac:dyDescent="0.25">
      <c r="A1911" s="5" t="s">
        <v>7014</v>
      </c>
      <c r="B1911" s="6" t="s">
        <v>6113</v>
      </c>
      <c r="C1911" s="6" t="s">
        <v>6748</v>
      </c>
      <c r="D1911" s="6" t="s">
        <v>6956</v>
      </c>
      <c r="E1911" s="6" t="s">
        <v>7015</v>
      </c>
      <c r="F1911" s="6" t="s">
        <v>7016</v>
      </c>
      <c r="G1911" s="9" t="s">
        <v>7017</v>
      </c>
      <c r="H1911" s="9" t="s">
        <v>18</v>
      </c>
      <c r="I1911" s="16" t="str">
        <f>VLOOKUP(F1911,[1]完整分类结果!$E:$G,3,0)</f>
        <v>金属制品业</v>
      </c>
      <c r="J1911" s="16">
        <f>VLOOKUP(I1911,[2]行业排放因子!$A:$B,2,0)</f>
        <v>27.1093085906552</v>
      </c>
      <c r="K1911" s="9" t="s">
        <v>756</v>
      </c>
    </row>
    <row r="1912" spans="1:11" ht="12.5" customHeight="1" x14ac:dyDescent="0.25">
      <c r="A1912" s="5" t="s">
        <v>7018</v>
      </c>
      <c r="B1912" s="6" t="s">
        <v>6113</v>
      </c>
      <c r="C1912" s="6" t="s">
        <v>6748</v>
      </c>
      <c r="D1912" s="6" t="s">
        <v>6956</v>
      </c>
      <c r="E1912" s="6" t="s">
        <v>7019</v>
      </c>
      <c r="F1912" s="6" t="s">
        <v>7020</v>
      </c>
      <c r="G1912" s="9" t="s">
        <v>7021</v>
      </c>
      <c r="H1912" s="9" t="s">
        <v>18</v>
      </c>
      <c r="I1912" s="16" t="str">
        <f>VLOOKUP(F1912,[1]完整分类结果!$E:$G,3,0)</f>
        <v>金属制品业</v>
      </c>
      <c r="J1912" s="16">
        <f>VLOOKUP(I1912,[2]行业排放因子!$A:$B,2,0)</f>
        <v>27.1093085906552</v>
      </c>
      <c r="K1912" s="9" t="s">
        <v>756</v>
      </c>
    </row>
    <row r="1913" spans="1:11" ht="12.5" customHeight="1" x14ac:dyDescent="0.25">
      <c r="A1913" s="5" t="s">
        <v>7022</v>
      </c>
      <c r="B1913" s="6" t="s">
        <v>6113</v>
      </c>
      <c r="C1913" s="6" t="s">
        <v>6748</v>
      </c>
      <c r="D1913" s="6" t="s">
        <v>6956</v>
      </c>
      <c r="E1913" s="6" t="s">
        <v>7023</v>
      </c>
      <c r="F1913" s="6" t="s">
        <v>7024</v>
      </c>
      <c r="G1913" s="9" t="s">
        <v>7025</v>
      </c>
      <c r="H1913" s="9" t="s">
        <v>18</v>
      </c>
      <c r="I1913" s="16" t="str">
        <f>VLOOKUP(F1913,[1]完整分类结果!$E:$G,3,0)</f>
        <v>金属制品业</v>
      </c>
      <c r="J1913" s="16">
        <f>VLOOKUP(I1913,[2]行业排放因子!$A:$B,2,0)</f>
        <v>27.1093085906552</v>
      </c>
      <c r="K1913" s="9" t="s">
        <v>756</v>
      </c>
    </row>
    <row r="1914" spans="1:11" ht="12.5" customHeight="1" x14ac:dyDescent="0.25">
      <c r="A1914" s="5" t="s">
        <v>7026</v>
      </c>
      <c r="B1914" s="6" t="s">
        <v>6113</v>
      </c>
      <c r="C1914" s="6" t="s">
        <v>6748</v>
      </c>
      <c r="D1914" s="6" t="s">
        <v>6956</v>
      </c>
      <c r="E1914" s="6" t="s">
        <v>7027</v>
      </c>
      <c r="F1914" s="6" t="s">
        <v>7028</v>
      </c>
      <c r="G1914" s="9" t="s">
        <v>7029</v>
      </c>
      <c r="H1914" s="9" t="s">
        <v>18</v>
      </c>
      <c r="I1914" s="16" t="str">
        <f>VLOOKUP(F1914,[1]完整分类结果!$E:$G,3,0)</f>
        <v>金属制品业</v>
      </c>
      <c r="J1914" s="16">
        <f>VLOOKUP(I1914,[2]行业排放因子!$A:$B,2,0)</f>
        <v>27.1093085906552</v>
      </c>
      <c r="K1914" s="9" t="s">
        <v>756</v>
      </c>
    </row>
    <row r="1915" spans="1:11" ht="12.5" customHeight="1" x14ac:dyDescent="0.25">
      <c r="A1915" s="5" t="s">
        <v>7030</v>
      </c>
      <c r="B1915" s="6" t="s">
        <v>6113</v>
      </c>
      <c r="C1915" s="6" t="s">
        <v>6748</v>
      </c>
      <c r="D1915" s="6" t="s">
        <v>6956</v>
      </c>
      <c r="E1915" s="6" t="s">
        <v>7031</v>
      </c>
      <c r="F1915" s="6" t="s">
        <v>7032</v>
      </c>
      <c r="G1915" s="9" t="s">
        <v>7033</v>
      </c>
      <c r="H1915" s="9" t="s">
        <v>18</v>
      </c>
      <c r="I1915" s="16" t="str">
        <f>VLOOKUP(F1915,[1]完整分类结果!$E:$G,3,0)</f>
        <v>金属制品业</v>
      </c>
      <c r="J1915" s="16">
        <f>VLOOKUP(I1915,[2]行业排放因子!$A:$B,2,0)</f>
        <v>27.1093085906552</v>
      </c>
      <c r="K1915" s="9" t="s">
        <v>756</v>
      </c>
    </row>
    <row r="1916" spans="1:11" ht="12.5" customHeight="1" x14ac:dyDescent="0.25">
      <c r="A1916" s="5" t="s">
        <v>7034</v>
      </c>
      <c r="B1916" s="6" t="s">
        <v>6113</v>
      </c>
      <c r="C1916" s="6" t="s">
        <v>6748</v>
      </c>
      <c r="D1916" s="6" t="s">
        <v>6956</v>
      </c>
      <c r="E1916" s="6" t="s">
        <v>7035</v>
      </c>
      <c r="F1916" s="6" t="s">
        <v>7036</v>
      </c>
      <c r="G1916" s="9"/>
      <c r="H1916" s="9" t="s">
        <v>18</v>
      </c>
      <c r="I1916" s="16" t="str">
        <f>VLOOKUP(F1916,[1]完整分类结果!$E:$G,3,0)</f>
        <v>金属制品业</v>
      </c>
      <c r="J1916" s="16">
        <f>VLOOKUP(I1916,[2]行业排放因子!$A:$B,2,0)</f>
        <v>27.1093085906552</v>
      </c>
      <c r="K1916" s="9" t="s">
        <v>756</v>
      </c>
    </row>
    <row r="1917" spans="1:11" ht="12.5" customHeight="1" x14ac:dyDescent="0.25">
      <c r="A1917" s="5" t="s">
        <v>7037</v>
      </c>
      <c r="B1917" s="6" t="s">
        <v>6113</v>
      </c>
      <c r="C1917" s="6" t="s">
        <v>6748</v>
      </c>
      <c r="D1917" s="6" t="s">
        <v>7038</v>
      </c>
      <c r="E1917" s="6" t="s">
        <v>7039</v>
      </c>
      <c r="F1917" s="6" t="s">
        <v>7040</v>
      </c>
      <c r="G1917" s="9" t="s">
        <v>7041</v>
      </c>
      <c r="H1917" s="9" t="s">
        <v>18</v>
      </c>
      <c r="I1917" s="16" t="str">
        <f>VLOOKUP(F1917,[1]完整分类结果!$E:$G,3,0)</f>
        <v>有色金属冶炼及压延加工业</v>
      </c>
      <c r="J1917" s="16">
        <f>VLOOKUP(I1917,[2]行业排放因子!$A:$B,2,0)</f>
        <v>63.160897558961601</v>
      </c>
      <c r="K1917" s="9" t="s">
        <v>756</v>
      </c>
    </row>
    <row r="1918" spans="1:11" ht="12.5" customHeight="1" x14ac:dyDescent="0.25">
      <c r="A1918" s="5" t="s">
        <v>7042</v>
      </c>
      <c r="B1918" s="6" t="s">
        <v>6113</v>
      </c>
      <c r="C1918" s="6" t="s">
        <v>6748</v>
      </c>
      <c r="D1918" s="6" t="s">
        <v>7038</v>
      </c>
      <c r="E1918" s="6" t="s">
        <v>7043</v>
      </c>
      <c r="F1918" s="6" t="s">
        <v>7044</v>
      </c>
      <c r="G1918" s="9" t="s">
        <v>7045</v>
      </c>
      <c r="H1918" s="9" t="s">
        <v>18</v>
      </c>
      <c r="I1918" s="16" t="str">
        <f>VLOOKUP(F1918,[1]完整分类结果!$E:$G,3,0)</f>
        <v>金属制品业</v>
      </c>
      <c r="J1918" s="16">
        <f>VLOOKUP(I1918,[2]行业排放因子!$A:$B,2,0)</f>
        <v>27.1093085906552</v>
      </c>
      <c r="K1918" s="9" t="s">
        <v>756</v>
      </c>
    </row>
    <row r="1919" spans="1:11" ht="12.5" customHeight="1" x14ac:dyDescent="0.25">
      <c r="A1919" s="5" t="s">
        <v>7046</v>
      </c>
      <c r="B1919" s="6" t="s">
        <v>6113</v>
      </c>
      <c r="C1919" s="6" t="s">
        <v>6748</v>
      </c>
      <c r="D1919" s="6" t="s">
        <v>7038</v>
      </c>
      <c r="E1919" s="6" t="s">
        <v>7047</v>
      </c>
      <c r="F1919" s="6" t="s">
        <v>7048</v>
      </c>
      <c r="G1919" s="9" t="s">
        <v>7049</v>
      </c>
      <c r="H1919" s="9" t="s">
        <v>18</v>
      </c>
      <c r="I1919" s="16" t="str">
        <f>VLOOKUP(F1919,[1]完整分类结果!$E:$G,3,0)</f>
        <v>金属制品业</v>
      </c>
      <c r="J1919" s="16">
        <f>VLOOKUP(I1919,[2]行业排放因子!$A:$B,2,0)</f>
        <v>27.1093085906552</v>
      </c>
      <c r="K1919" s="9" t="s">
        <v>756</v>
      </c>
    </row>
    <row r="1920" spans="1:11" ht="12.5" customHeight="1" x14ac:dyDescent="0.25">
      <c r="A1920" s="5" t="s">
        <v>7050</v>
      </c>
      <c r="B1920" s="6" t="s">
        <v>6113</v>
      </c>
      <c r="C1920" s="6" t="s">
        <v>6748</v>
      </c>
      <c r="D1920" s="6" t="s">
        <v>7038</v>
      </c>
      <c r="E1920" s="6" t="s">
        <v>7051</v>
      </c>
      <c r="F1920" s="6" t="s">
        <v>7052</v>
      </c>
      <c r="G1920" s="9" t="s">
        <v>7053</v>
      </c>
      <c r="H1920" s="9" t="s">
        <v>18</v>
      </c>
      <c r="I1920" s="16" t="str">
        <f>VLOOKUP(F1920,[1]完整分类结果!$E:$G,3,0)</f>
        <v>有色金属冶炼及压延加工业</v>
      </c>
      <c r="J1920" s="16">
        <f>VLOOKUP(I1920,[2]行业排放因子!$A:$B,2,0)</f>
        <v>63.160897558961601</v>
      </c>
      <c r="K1920" s="9" t="s">
        <v>756</v>
      </c>
    </row>
    <row r="1921" spans="1:11" ht="12.5" customHeight="1" x14ac:dyDescent="0.25">
      <c r="A1921" s="5" t="s">
        <v>7054</v>
      </c>
      <c r="B1921" s="6" t="s">
        <v>6113</v>
      </c>
      <c r="C1921" s="6" t="s">
        <v>6748</v>
      </c>
      <c r="D1921" s="6" t="s">
        <v>7038</v>
      </c>
      <c r="E1921" s="6" t="s">
        <v>7055</v>
      </c>
      <c r="F1921" s="6" t="s">
        <v>7056</v>
      </c>
      <c r="G1921" s="9" t="s">
        <v>7057</v>
      </c>
      <c r="H1921" s="9" t="s">
        <v>18</v>
      </c>
      <c r="I1921" s="16" t="str">
        <f>VLOOKUP(F1921,[1]完整分类结果!$E:$G,3,0)</f>
        <v>金属制品业</v>
      </c>
      <c r="J1921" s="16">
        <f>VLOOKUP(I1921,[2]行业排放因子!$A:$B,2,0)</f>
        <v>27.1093085906552</v>
      </c>
      <c r="K1921" s="9" t="s">
        <v>756</v>
      </c>
    </row>
    <row r="1922" spans="1:11" ht="12.5" customHeight="1" x14ac:dyDescent="0.25">
      <c r="A1922" s="5" t="s">
        <v>7058</v>
      </c>
      <c r="B1922" s="6" t="s">
        <v>6113</v>
      </c>
      <c r="C1922" s="6" t="s">
        <v>6748</v>
      </c>
      <c r="D1922" s="6" t="s">
        <v>7038</v>
      </c>
      <c r="E1922" s="6" t="s">
        <v>7059</v>
      </c>
      <c r="F1922" s="6" t="s">
        <v>7060</v>
      </c>
      <c r="G1922" s="9" t="s">
        <v>7061</v>
      </c>
      <c r="H1922" s="9" t="s">
        <v>18</v>
      </c>
      <c r="I1922" s="16" t="str">
        <f>VLOOKUP(F1922,[1]完整分类结果!$E:$G,3,0)</f>
        <v>金属制品业</v>
      </c>
      <c r="J1922" s="16">
        <f>VLOOKUP(I1922,[2]行业排放因子!$A:$B,2,0)</f>
        <v>27.1093085906552</v>
      </c>
      <c r="K1922" s="9" t="s">
        <v>756</v>
      </c>
    </row>
    <row r="1923" spans="1:11" ht="12.5" customHeight="1" x14ac:dyDescent="0.25">
      <c r="A1923" s="5" t="s">
        <v>7062</v>
      </c>
      <c r="B1923" s="6" t="s">
        <v>6113</v>
      </c>
      <c r="C1923" s="6" t="s">
        <v>6748</v>
      </c>
      <c r="D1923" s="6" t="s">
        <v>7038</v>
      </c>
      <c r="E1923" s="6" t="s">
        <v>7063</v>
      </c>
      <c r="F1923" s="6" t="s">
        <v>7064</v>
      </c>
      <c r="G1923" s="9" t="s">
        <v>7065</v>
      </c>
      <c r="H1923" s="9" t="s">
        <v>18</v>
      </c>
      <c r="I1923" s="16" t="str">
        <f>VLOOKUP(F1923,[1]完整分类结果!$E:$G,3,0)</f>
        <v>有色金属冶炼及压延加工业</v>
      </c>
      <c r="J1923" s="16">
        <f>VLOOKUP(I1923,[2]行业排放因子!$A:$B,2,0)</f>
        <v>63.160897558961601</v>
      </c>
      <c r="K1923" s="9" t="s">
        <v>756</v>
      </c>
    </row>
    <row r="1924" spans="1:11" ht="12.5" customHeight="1" x14ac:dyDescent="0.25">
      <c r="A1924" s="5" t="s">
        <v>7066</v>
      </c>
      <c r="B1924" s="6" t="s">
        <v>6113</v>
      </c>
      <c r="C1924" s="6" t="s">
        <v>6748</v>
      </c>
      <c r="D1924" s="6" t="s">
        <v>7038</v>
      </c>
      <c r="E1924" s="6" t="s">
        <v>7067</v>
      </c>
      <c r="F1924" s="6" t="s">
        <v>7068</v>
      </c>
      <c r="G1924" s="9" t="s">
        <v>7069</v>
      </c>
      <c r="H1924" s="9" t="s">
        <v>18</v>
      </c>
      <c r="I1924" s="16" t="str">
        <f>VLOOKUP(F1924,[1]完整分类结果!$E:$G,3,0)</f>
        <v>金属制品业</v>
      </c>
      <c r="J1924" s="16">
        <f>VLOOKUP(I1924,[2]行业排放因子!$A:$B,2,0)</f>
        <v>27.1093085906552</v>
      </c>
      <c r="K1924" s="9" t="s">
        <v>756</v>
      </c>
    </row>
    <row r="1925" spans="1:11" ht="12.5" customHeight="1" x14ac:dyDescent="0.25">
      <c r="A1925" s="5" t="s">
        <v>7070</v>
      </c>
      <c r="B1925" s="6" t="s">
        <v>6113</v>
      </c>
      <c r="C1925" s="6" t="s">
        <v>6748</v>
      </c>
      <c r="D1925" s="6" t="s">
        <v>7038</v>
      </c>
      <c r="E1925" s="6" t="s">
        <v>7071</v>
      </c>
      <c r="F1925" s="6" t="s">
        <v>7072</v>
      </c>
      <c r="G1925" s="9" t="s">
        <v>7073</v>
      </c>
      <c r="H1925" s="9" t="s">
        <v>18</v>
      </c>
      <c r="I1925" s="16" t="str">
        <f>VLOOKUP(F1925,[1]完整分类结果!$E:$G,3,0)</f>
        <v>有色金属冶炼及压延加工业</v>
      </c>
      <c r="J1925" s="16">
        <f>VLOOKUP(I1925,[2]行业排放因子!$A:$B,2,0)</f>
        <v>63.160897558961601</v>
      </c>
      <c r="K1925" s="9" t="s">
        <v>756</v>
      </c>
    </row>
    <row r="1926" spans="1:11" ht="12.5" customHeight="1" x14ac:dyDescent="0.25">
      <c r="A1926" s="5" t="s">
        <v>7074</v>
      </c>
      <c r="B1926" s="6" t="s">
        <v>6113</v>
      </c>
      <c r="C1926" s="6" t="s">
        <v>6748</v>
      </c>
      <c r="D1926" s="6" t="s">
        <v>7038</v>
      </c>
      <c r="E1926" s="6" t="s">
        <v>7075</v>
      </c>
      <c r="F1926" s="6" t="s">
        <v>7076</v>
      </c>
      <c r="G1926" s="9" t="s">
        <v>7077</v>
      </c>
      <c r="H1926" s="9" t="s">
        <v>18</v>
      </c>
      <c r="I1926" s="16" t="str">
        <f>VLOOKUP(F1926,[1]完整分类结果!$E:$G,3,0)</f>
        <v>金属制品业</v>
      </c>
      <c r="J1926" s="16">
        <f>VLOOKUP(I1926,[2]行业排放因子!$A:$B,2,0)</f>
        <v>27.1093085906552</v>
      </c>
      <c r="K1926" s="9" t="s">
        <v>756</v>
      </c>
    </row>
    <row r="1927" spans="1:11" ht="12.5" customHeight="1" x14ac:dyDescent="0.25">
      <c r="A1927" s="5" t="s">
        <v>7078</v>
      </c>
      <c r="B1927" s="6" t="s">
        <v>6113</v>
      </c>
      <c r="C1927" s="6" t="s">
        <v>6748</v>
      </c>
      <c r="D1927" s="6" t="s">
        <v>7038</v>
      </c>
      <c r="E1927" s="6" t="s">
        <v>7079</v>
      </c>
      <c r="F1927" s="6" t="s">
        <v>7080</v>
      </c>
      <c r="G1927" s="9" t="s">
        <v>7081</v>
      </c>
      <c r="H1927" s="9" t="s">
        <v>18</v>
      </c>
      <c r="I1927" s="16" t="str">
        <f>VLOOKUP(F1927,[1]完整分类结果!$E:$G,3,0)</f>
        <v>金属制品业</v>
      </c>
      <c r="J1927" s="16">
        <f>VLOOKUP(I1927,[2]行业排放因子!$A:$B,2,0)</f>
        <v>27.1093085906552</v>
      </c>
      <c r="K1927" s="9" t="s">
        <v>756</v>
      </c>
    </row>
    <row r="1928" spans="1:11" ht="12.5" customHeight="1" x14ac:dyDescent="0.25">
      <c r="A1928" s="5" t="s">
        <v>7082</v>
      </c>
      <c r="B1928" s="6" t="s">
        <v>6113</v>
      </c>
      <c r="C1928" s="6" t="s">
        <v>6748</v>
      </c>
      <c r="D1928" s="6" t="s">
        <v>7038</v>
      </c>
      <c r="E1928" s="6" t="s">
        <v>7083</v>
      </c>
      <c r="F1928" s="6" t="s">
        <v>7084</v>
      </c>
      <c r="G1928" s="9" t="s">
        <v>7085</v>
      </c>
      <c r="H1928" s="9" t="s">
        <v>18</v>
      </c>
      <c r="I1928" s="16" t="str">
        <f>VLOOKUP(F1928,[1]完整分类结果!$E:$G,3,0)</f>
        <v>金属制品业</v>
      </c>
      <c r="J1928" s="16">
        <f>VLOOKUP(I1928,[2]行业排放因子!$A:$B,2,0)</f>
        <v>27.1093085906552</v>
      </c>
      <c r="K1928" s="9" t="s">
        <v>756</v>
      </c>
    </row>
    <row r="1929" spans="1:11" ht="12.5" customHeight="1" x14ac:dyDescent="0.25">
      <c r="A1929" s="5" t="s">
        <v>7086</v>
      </c>
      <c r="B1929" s="6" t="s">
        <v>6113</v>
      </c>
      <c r="C1929" s="6" t="s">
        <v>6748</v>
      </c>
      <c r="D1929" s="6" t="s">
        <v>7038</v>
      </c>
      <c r="E1929" s="6" t="s">
        <v>7087</v>
      </c>
      <c r="F1929" s="6" t="s">
        <v>7088</v>
      </c>
      <c r="G1929" s="9" t="s">
        <v>7089</v>
      </c>
      <c r="H1929" s="9" t="s">
        <v>18</v>
      </c>
      <c r="I1929" s="16" t="str">
        <f>VLOOKUP(F1929,[1]完整分类结果!$E:$G,3,0)</f>
        <v>金属制品业</v>
      </c>
      <c r="J1929" s="16">
        <f>VLOOKUP(I1929,[2]行业排放因子!$A:$B,2,0)</f>
        <v>27.1093085906552</v>
      </c>
      <c r="K1929" s="9" t="s">
        <v>756</v>
      </c>
    </row>
    <row r="1930" spans="1:11" ht="12.5" customHeight="1" x14ac:dyDescent="0.25">
      <c r="A1930" s="5" t="s">
        <v>7090</v>
      </c>
      <c r="B1930" s="6" t="s">
        <v>6113</v>
      </c>
      <c r="C1930" s="6" t="s">
        <v>6748</v>
      </c>
      <c r="D1930" s="6" t="s">
        <v>7038</v>
      </c>
      <c r="E1930" s="6" t="s">
        <v>7091</v>
      </c>
      <c r="F1930" s="6" t="s">
        <v>7092</v>
      </c>
      <c r="G1930" s="9" t="s">
        <v>7093</v>
      </c>
      <c r="H1930" s="9" t="s">
        <v>18</v>
      </c>
      <c r="I1930" s="16" t="str">
        <f>VLOOKUP(F1930,[1]完整分类结果!$E:$G,3,0)</f>
        <v>金属制品业</v>
      </c>
      <c r="J1930" s="16">
        <f>VLOOKUP(I1930,[2]行业排放因子!$A:$B,2,0)</f>
        <v>27.1093085906552</v>
      </c>
      <c r="K1930" s="9" t="s">
        <v>756</v>
      </c>
    </row>
    <row r="1931" spans="1:11" ht="12.5" customHeight="1" x14ac:dyDescent="0.25">
      <c r="A1931" s="5" t="s">
        <v>7094</v>
      </c>
      <c r="B1931" s="6" t="s">
        <v>6113</v>
      </c>
      <c r="C1931" s="6" t="s">
        <v>6748</v>
      </c>
      <c r="D1931" s="6" t="s">
        <v>7038</v>
      </c>
      <c r="E1931" s="6" t="s">
        <v>7095</v>
      </c>
      <c r="F1931" s="6" t="s">
        <v>7096</v>
      </c>
      <c r="G1931" s="9" t="s">
        <v>7097</v>
      </c>
      <c r="H1931" s="9" t="s">
        <v>18</v>
      </c>
      <c r="I1931" s="16" t="str">
        <f>VLOOKUP(F1931,[1]完整分类结果!$E:$G,3,0)</f>
        <v>金属制品业</v>
      </c>
      <c r="J1931" s="16">
        <f>VLOOKUP(I1931,[2]行业排放因子!$A:$B,2,0)</f>
        <v>27.1093085906552</v>
      </c>
      <c r="K1931" s="9" t="s">
        <v>756</v>
      </c>
    </row>
    <row r="1932" spans="1:11" ht="12.5" customHeight="1" x14ac:dyDescent="0.25">
      <c r="A1932" s="5" t="s">
        <v>7098</v>
      </c>
      <c r="B1932" s="6" t="s">
        <v>6113</v>
      </c>
      <c r="C1932" s="6" t="s">
        <v>6748</v>
      </c>
      <c r="D1932" s="6" t="s">
        <v>7038</v>
      </c>
      <c r="E1932" s="6" t="s">
        <v>7099</v>
      </c>
      <c r="F1932" s="6" t="s">
        <v>7100</v>
      </c>
      <c r="G1932" s="9" t="s">
        <v>7101</v>
      </c>
      <c r="H1932" s="9" t="s">
        <v>18</v>
      </c>
      <c r="I1932" s="16" t="str">
        <f>VLOOKUP(F1932,[1]完整分类结果!$E:$G,3,0)</f>
        <v>金属制品业</v>
      </c>
      <c r="J1932" s="16">
        <f>VLOOKUP(I1932,[2]行业排放因子!$A:$B,2,0)</f>
        <v>27.1093085906552</v>
      </c>
      <c r="K1932" s="9" t="s">
        <v>756</v>
      </c>
    </row>
    <row r="1933" spans="1:11" ht="12.5" customHeight="1" x14ac:dyDescent="0.25">
      <c r="A1933" s="5" t="s">
        <v>7102</v>
      </c>
      <c r="B1933" s="6" t="s">
        <v>6113</v>
      </c>
      <c r="C1933" s="6" t="s">
        <v>6748</v>
      </c>
      <c r="D1933" s="6" t="s">
        <v>7038</v>
      </c>
      <c r="E1933" s="6" t="s">
        <v>7103</v>
      </c>
      <c r="F1933" s="6" t="s">
        <v>7104</v>
      </c>
      <c r="G1933" s="9" t="s">
        <v>7105</v>
      </c>
      <c r="H1933" s="9" t="s">
        <v>18</v>
      </c>
      <c r="I1933" s="16" t="str">
        <f>VLOOKUP(F1933,[1]完整分类结果!$E:$G,3,0)</f>
        <v>金属制品业</v>
      </c>
      <c r="J1933" s="16">
        <f>VLOOKUP(I1933,[2]行业排放因子!$A:$B,2,0)</f>
        <v>27.1093085906552</v>
      </c>
      <c r="K1933" s="9" t="s">
        <v>756</v>
      </c>
    </row>
    <row r="1934" spans="1:11" ht="12.5" customHeight="1" x14ac:dyDescent="0.25">
      <c r="A1934" s="5" t="s">
        <v>7106</v>
      </c>
      <c r="B1934" s="6" t="s">
        <v>6113</v>
      </c>
      <c r="C1934" s="6" t="s">
        <v>6748</v>
      </c>
      <c r="D1934" s="6" t="s">
        <v>7038</v>
      </c>
      <c r="E1934" s="6" t="s">
        <v>7107</v>
      </c>
      <c r="F1934" s="6" t="s">
        <v>7108</v>
      </c>
      <c r="G1934" s="9" t="s">
        <v>7109</v>
      </c>
      <c r="H1934" s="9" t="s">
        <v>18</v>
      </c>
      <c r="I1934" s="16" t="str">
        <f>VLOOKUP(F1934,[1]完整分类结果!$E:$G,3,0)</f>
        <v>金属制品业</v>
      </c>
      <c r="J1934" s="16">
        <f>VLOOKUP(I1934,[2]行业排放因子!$A:$B,2,0)</f>
        <v>27.1093085906552</v>
      </c>
      <c r="K1934" s="9" t="s">
        <v>756</v>
      </c>
    </row>
    <row r="1935" spans="1:11" ht="12.5" customHeight="1" x14ac:dyDescent="0.25">
      <c r="A1935" s="5" t="s">
        <v>7110</v>
      </c>
      <c r="B1935" s="6" t="s">
        <v>6113</v>
      </c>
      <c r="C1935" s="6" t="s">
        <v>6748</v>
      </c>
      <c r="D1935" s="6" t="s">
        <v>7038</v>
      </c>
      <c r="E1935" s="6" t="s">
        <v>7111</v>
      </c>
      <c r="F1935" s="6" t="s">
        <v>7112</v>
      </c>
      <c r="G1935" s="9"/>
      <c r="H1935" s="9" t="s">
        <v>18</v>
      </c>
      <c r="I1935" s="16" t="str">
        <f>VLOOKUP(F1935,[1]完整分类结果!$E:$G,3,0)</f>
        <v>金属制品业</v>
      </c>
      <c r="J1935" s="16">
        <f>VLOOKUP(I1935,[2]行业排放因子!$A:$B,2,0)</f>
        <v>27.1093085906552</v>
      </c>
      <c r="K1935" s="9" t="s">
        <v>756</v>
      </c>
    </row>
    <row r="1936" spans="1:11" ht="12.5" customHeight="1" x14ac:dyDescent="0.25">
      <c r="A1936" s="5" t="s">
        <v>7113</v>
      </c>
      <c r="B1936" s="6" t="s">
        <v>6113</v>
      </c>
      <c r="C1936" s="6" t="s">
        <v>6748</v>
      </c>
      <c r="D1936" s="6" t="s">
        <v>7114</v>
      </c>
      <c r="E1936" s="6" t="s">
        <v>7115</v>
      </c>
      <c r="F1936" s="6" t="s">
        <v>7114</v>
      </c>
      <c r="G1936" s="9" t="s">
        <v>7116</v>
      </c>
      <c r="H1936" s="9" t="s">
        <v>18</v>
      </c>
      <c r="I1936" s="16" t="str">
        <f>VLOOKUP(F1936,[1]完整分类结果!$E:$G,3,0)</f>
        <v>金属制品业</v>
      </c>
      <c r="J1936" s="16">
        <f>VLOOKUP(I1936,[2]行业排放因子!$A:$B,2,0)</f>
        <v>27.1093085906552</v>
      </c>
      <c r="K1936" s="9" t="s">
        <v>756</v>
      </c>
    </row>
    <row r="1937" spans="1:11" ht="12.5" customHeight="1" x14ac:dyDescent="0.25">
      <c r="A1937" s="5" t="s">
        <v>7117</v>
      </c>
      <c r="B1937" s="6" t="s">
        <v>6113</v>
      </c>
      <c r="C1937" s="6" t="s">
        <v>6748</v>
      </c>
      <c r="D1937" s="6" t="s">
        <v>7118</v>
      </c>
      <c r="E1937" s="6" t="s">
        <v>7119</v>
      </c>
      <c r="F1937" s="6" t="s">
        <v>7120</v>
      </c>
      <c r="G1937" s="9" t="s">
        <v>7121</v>
      </c>
      <c r="H1937" s="9" t="s">
        <v>18</v>
      </c>
      <c r="I1937" s="16" t="str">
        <f>VLOOKUP(F1937,[1]完整分类结果!$E:$G,3,0)</f>
        <v>金属制品业</v>
      </c>
      <c r="J1937" s="16">
        <f>VLOOKUP(I1937,[2]行业排放因子!$A:$B,2,0)</f>
        <v>27.1093085906552</v>
      </c>
      <c r="K1937" s="9" t="s">
        <v>756</v>
      </c>
    </row>
    <row r="1938" spans="1:11" ht="12.5" customHeight="1" x14ac:dyDescent="0.25">
      <c r="A1938" s="5" t="s">
        <v>7122</v>
      </c>
      <c r="B1938" s="6" t="s">
        <v>6113</v>
      </c>
      <c r="C1938" s="6" t="s">
        <v>6748</v>
      </c>
      <c r="D1938" s="6" t="s">
        <v>7118</v>
      </c>
      <c r="E1938" s="6" t="s">
        <v>7123</v>
      </c>
      <c r="F1938" s="6" t="s">
        <v>7124</v>
      </c>
      <c r="G1938" s="9" t="s">
        <v>7125</v>
      </c>
      <c r="H1938" s="9" t="s">
        <v>18</v>
      </c>
      <c r="I1938" s="16" t="str">
        <f>VLOOKUP(F1938,[1]完整分类结果!$E:$G,3,0)</f>
        <v>金属制品业</v>
      </c>
      <c r="J1938" s="16">
        <f>VLOOKUP(I1938,[2]行业排放因子!$A:$B,2,0)</f>
        <v>27.1093085906552</v>
      </c>
      <c r="K1938" s="9" t="s">
        <v>756</v>
      </c>
    </row>
    <row r="1939" spans="1:11" ht="12.5" customHeight="1" x14ac:dyDescent="0.25">
      <c r="A1939" s="5" t="s">
        <v>7126</v>
      </c>
      <c r="B1939" s="6" t="s">
        <v>6113</v>
      </c>
      <c r="C1939" s="6" t="s">
        <v>6748</v>
      </c>
      <c r="D1939" s="6" t="s">
        <v>7118</v>
      </c>
      <c r="E1939" s="6" t="s">
        <v>7127</v>
      </c>
      <c r="F1939" s="6" t="s">
        <v>7128</v>
      </c>
      <c r="G1939" s="9" t="s">
        <v>7129</v>
      </c>
      <c r="H1939" s="9" t="s">
        <v>18</v>
      </c>
      <c r="I1939" s="16" t="str">
        <f>VLOOKUP(F1939,[1]完整分类结果!$E:$G,3,0)</f>
        <v>金属制品业</v>
      </c>
      <c r="J1939" s="16">
        <f>VLOOKUP(I1939,[2]行业排放因子!$A:$B,2,0)</f>
        <v>27.1093085906552</v>
      </c>
      <c r="K1939" s="9" t="s">
        <v>756</v>
      </c>
    </row>
    <row r="1940" spans="1:11" ht="12.5" customHeight="1" x14ac:dyDescent="0.25">
      <c r="A1940" s="5" t="s">
        <v>7130</v>
      </c>
      <c r="B1940" s="6" t="s">
        <v>6113</v>
      </c>
      <c r="C1940" s="6" t="s">
        <v>6748</v>
      </c>
      <c r="D1940" s="6" t="s">
        <v>7118</v>
      </c>
      <c r="E1940" s="6" t="s">
        <v>7131</v>
      </c>
      <c r="F1940" s="6" t="s">
        <v>7132</v>
      </c>
      <c r="G1940" s="9" t="s">
        <v>7133</v>
      </c>
      <c r="H1940" s="9" t="s">
        <v>18</v>
      </c>
      <c r="I1940" s="16" t="str">
        <f>VLOOKUP(F1940,[1]完整分类结果!$E:$G,3,0)</f>
        <v>金属制品业</v>
      </c>
      <c r="J1940" s="16">
        <f>VLOOKUP(I1940,[2]行业排放因子!$A:$B,2,0)</f>
        <v>27.1093085906552</v>
      </c>
      <c r="K1940" s="9" t="s">
        <v>756</v>
      </c>
    </row>
    <row r="1941" spans="1:11" ht="12.5" customHeight="1" x14ac:dyDescent="0.25">
      <c r="A1941" s="5" t="s">
        <v>7134</v>
      </c>
      <c r="B1941" s="6" t="s">
        <v>6113</v>
      </c>
      <c r="C1941" s="6" t="s">
        <v>6748</v>
      </c>
      <c r="D1941" s="6" t="s">
        <v>7118</v>
      </c>
      <c r="E1941" s="6" t="s">
        <v>7135</v>
      </c>
      <c r="F1941" s="6" t="s">
        <v>7136</v>
      </c>
      <c r="G1941" s="9" t="s">
        <v>7137</v>
      </c>
      <c r="H1941" s="9" t="s">
        <v>18</v>
      </c>
      <c r="I1941" s="16" t="str">
        <f>VLOOKUP(F1941,[1]完整分类结果!$E:$G,3,0)</f>
        <v>金属制品业</v>
      </c>
      <c r="J1941" s="16">
        <f>VLOOKUP(I1941,[2]行业排放因子!$A:$B,2,0)</f>
        <v>27.1093085906552</v>
      </c>
      <c r="K1941" s="9" t="s">
        <v>756</v>
      </c>
    </row>
    <row r="1942" spans="1:11" ht="12.5" customHeight="1" x14ac:dyDescent="0.25">
      <c r="A1942" s="5" t="s">
        <v>7138</v>
      </c>
      <c r="B1942" s="6" t="s">
        <v>6113</v>
      </c>
      <c r="C1942" s="6" t="s">
        <v>6748</v>
      </c>
      <c r="D1942" s="6" t="s">
        <v>7118</v>
      </c>
      <c r="E1942" s="6" t="s">
        <v>7139</v>
      </c>
      <c r="F1942" s="6" t="s">
        <v>7140</v>
      </c>
      <c r="G1942" s="9" t="s">
        <v>7141</v>
      </c>
      <c r="H1942" s="9" t="s">
        <v>18</v>
      </c>
      <c r="I1942" s="16" t="str">
        <f>VLOOKUP(F1942,[1]完整分类结果!$E:$G,3,0)</f>
        <v>金属制品业</v>
      </c>
      <c r="J1942" s="16">
        <f>VLOOKUP(I1942,[2]行业排放因子!$A:$B,2,0)</f>
        <v>27.1093085906552</v>
      </c>
      <c r="K1942" s="9" t="s">
        <v>756</v>
      </c>
    </row>
    <row r="1943" spans="1:11" ht="12.5" customHeight="1" x14ac:dyDescent="0.25">
      <c r="A1943" s="5" t="s">
        <v>7142</v>
      </c>
      <c r="B1943" s="6" t="s">
        <v>6113</v>
      </c>
      <c r="C1943" s="6" t="s">
        <v>6748</v>
      </c>
      <c r="D1943" s="6" t="s">
        <v>7118</v>
      </c>
      <c r="E1943" s="6" t="s">
        <v>7143</v>
      </c>
      <c r="F1943" s="6" t="s">
        <v>7144</v>
      </c>
      <c r="G1943" s="9" t="s">
        <v>7145</v>
      </c>
      <c r="H1943" s="9" t="s">
        <v>18</v>
      </c>
      <c r="I1943" s="16" t="str">
        <f>VLOOKUP(F1943,[1]完整分类结果!$E:$G,3,0)</f>
        <v>金属制品业</v>
      </c>
      <c r="J1943" s="16">
        <f>VLOOKUP(I1943,[2]行业排放因子!$A:$B,2,0)</f>
        <v>27.1093085906552</v>
      </c>
      <c r="K1943" s="9" t="s">
        <v>756</v>
      </c>
    </row>
    <row r="1944" spans="1:11" ht="12.5" customHeight="1" x14ac:dyDescent="0.25">
      <c r="A1944" s="5" t="s">
        <v>7146</v>
      </c>
      <c r="B1944" s="6" t="s">
        <v>6113</v>
      </c>
      <c r="C1944" s="6" t="s">
        <v>6748</v>
      </c>
      <c r="D1944" s="6" t="s">
        <v>7118</v>
      </c>
      <c r="E1944" s="6" t="s">
        <v>7147</v>
      </c>
      <c r="F1944" s="6" t="s">
        <v>7148</v>
      </c>
      <c r="G1944" s="9"/>
      <c r="H1944" s="9" t="s">
        <v>18</v>
      </c>
      <c r="I1944" s="16" t="str">
        <f>VLOOKUP(F1944,[1]完整分类结果!$E:$G,3,0)</f>
        <v>金属制品业</v>
      </c>
      <c r="J1944" s="16">
        <f>VLOOKUP(I1944,[2]行业排放因子!$A:$B,2,0)</f>
        <v>27.1093085906552</v>
      </c>
      <c r="K1944" s="9" t="s">
        <v>756</v>
      </c>
    </row>
    <row r="1945" spans="1:11" ht="12.5" customHeight="1" x14ac:dyDescent="0.25">
      <c r="A1945" s="5" t="s">
        <v>7149</v>
      </c>
      <c r="B1945" s="6" t="s">
        <v>6113</v>
      </c>
      <c r="C1945" s="6" t="s">
        <v>6748</v>
      </c>
      <c r="D1945" s="6" t="s">
        <v>7150</v>
      </c>
      <c r="E1945" s="6" t="s">
        <v>7151</v>
      </c>
      <c r="F1945" s="6" t="s">
        <v>7152</v>
      </c>
      <c r="G1945" s="9" t="s">
        <v>7153</v>
      </c>
      <c r="H1945" s="9" t="s">
        <v>18</v>
      </c>
      <c r="I1945" s="16" t="str">
        <f>VLOOKUP(F1945,[1]完整分类结果!$E:$G,3,0)</f>
        <v>金属制品业</v>
      </c>
      <c r="J1945" s="16">
        <f>VLOOKUP(I1945,[2]行业排放因子!$A:$B,2,0)</f>
        <v>27.1093085906552</v>
      </c>
      <c r="K1945" s="9" t="s">
        <v>756</v>
      </c>
    </row>
    <row r="1946" spans="1:11" ht="12.5" customHeight="1" x14ac:dyDescent="0.25">
      <c r="A1946" s="5" t="s">
        <v>7154</v>
      </c>
      <c r="B1946" s="6" t="s">
        <v>6113</v>
      </c>
      <c r="C1946" s="6" t="s">
        <v>6748</v>
      </c>
      <c r="D1946" s="6" t="s">
        <v>7150</v>
      </c>
      <c r="E1946" s="6" t="s">
        <v>7155</v>
      </c>
      <c r="F1946" s="6" t="s">
        <v>7156</v>
      </c>
      <c r="G1946" s="9" t="s">
        <v>7157</v>
      </c>
      <c r="H1946" s="9" t="s">
        <v>18</v>
      </c>
      <c r="I1946" s="16" t="str">
        <f>VLOOKUP(F1946,[1]完整分类结果!$E:$G,3,0)</f>
        <v>金属制品业</v>
      </c>
      <c r="J1946" s="16">
        <f>VLOOKUP(I1946,[2]行业排放因子!$A:$B,2,0)</f>
        <v>27.1093085906552</v>
      </c>
      <c r="K1946" s="9" t="s">
        <v>756</v>
      </c>
    </row>
    <row r="1947" spans="1:11" ht="12.5" customHeight="1" x14ac:dyDescent="0.25">
      <c r="A1947" s="5" t="s">
        <v>7158</v>
      </c>
      <c r="B1947" s="6" t="s">
        <v>6113</v>
      </c>
      <c r="C1947" s="6" t="s">
        <v>6748</v>
      </c>
      <c r="D1947" s="6" t="s">
        <v>7150</v>
      </c>
      <c r="E1947" s="6" t="s">
        <v>7159</v>
      </c>
      <c r="F1947" s="6" t="s">
        <v>7160</v>
      </c>
      <c r="G1947" s="9" t="s">
        <v>7161</v>
      </c>
      <c r="H1947" s="9" t="s">
        <v>18</v>
      </c>
      <c r="I1947" s="16" t="str">
        <f>VLOOKUP(F1947,[1]完整分类结果!$E:$G,3,0)</f>
        <v>金属制品业</v>
      </c>
      <c r="J1947" s="16">
        <f>VLOOKUP(I1947,[2]行业排放因子!$A:$B,2,0)</f>
        <v>27.1093085906552</v>
      </c>
      <c r="K1947" s="9" t="s">
        <v>756</v>
      </c>
    </row>
    <row r="1948" spans="1:11" ht="12.5" customHeight="1" x14ac:dyDescent="0.25">
      <c r="A1948" s="5" t="s">
        <v>7162</v>
      </c>
      <c r="B1948" s="6" t="s">
        <v>6113</v>
      </c>
      <c r="C1948" s="6" t="s">
        <v>6748</v>
      </c>
      <c r="D1948" s="6" t="s">
        <v>7163</v>
      </c>
      <c r="E1948" s="6" t="s">
        <v>7164</v>
      </c>
      <c r="F1948" s="6" t="s">
        <v>7165</v>
      </c>
      <c r="G1948" s="9" t="s">
        <v>7166</v>
      </c>
      <c r="H1948" s="9" t="s">
        <v>18</v>
      </c>
      <c r="I1948" s="16" t="str">
        <f>VLOOKUP(F1948,[1]完整分类结果!$E:$G,3,0)</f>
        <v>金属制品业</v>
      </c>
      <c r="J1948" s="16">
        <f>VLOOKUP(I1948,[2]行业排放因子!$A:$B,2,0)</f>
        <v>27.1093085906552</v>
      </c>
      <c r="K1948" s="9" t="s">
        <v>756</v>
      </c>
    </row>
    <row r="1949" spans="1:11" ht="12.5" customHeight="1" x14ac:dyDescent="0.25">
      <c r="A1949" s="5" t="s">
        <v>7167</v>
      </c>
      <c r="B1949" s="6" t="s">
        <v>6113</v>
      </c>
      <c r="C1949" s="6" t="s">
        <v>6748</v>
      </c>
      <c r="D1949" s="6" t="s">
        <v>7163</v>
      </c>
      <c r="E1949" s="6" t="s">
        <v>7168</v>
      </c>
      <c r="F1949" s="6" t="s">
        <v>7169</v>
      </c>
      <c r="G1949" s="9" t="s">
        <v>7170</v>
      </c>
      <c r="H1949" s="9" t="s">
        <v>18</v>
      </c>
      <c r="I1949" s="16" t="str">
        <f>VLOOKUP(F1949,[1]完整分类结果!$E:$G,3,0)</f>
        <v>金属制品业</v>
      </c>
      <c r="J1949" s="16">
        <f>VLOOKUP(I1949,[2]行业排放因子!$A:$B,2,0)</f>
        <v>27.1093085906552</v>
      </c>
      <c r="K1949" s="9" t="s">
        <v>756</v>
      </c>
    </row>
    <row r="1950" spans="1:11" ht="12.5" customHeight="1" x14ac:dyDescent="0.25">
      <c r="A1950" s="5" t="s">
        <v>7171</v>
      </c>
      <c r="B1950" s="6" t="s">
        <v>6113</v>
      </c>
      <c r="C1950" s="6" t="s">
        <v>6748</v>
      </c>
      <c r="D1950" s="6" t="s">
        <v>7163</v>
      </c>
      <c r="E1950" s="6" t="s">
        <v>7172</v>
      </c>
      <c r="F1950" s="6" t="s">
        <v>7173</v>
      </c>
      <c r="G1950" s="9" t="s">
        <v>7174</v>
      </c>
      <c r="H1950" s="9" t="s">
        <v>18</v>
      </c>
      <c r="I1950" s="16" t="str">
        <f>VLOOKUP(F1950,[1]完整分类结果!$E:$G,3,0)</f>
        <v>金属制品业</v>
      </c>
      <c r="J1950" s="16">
        <f>VLOOKUP(I1950,[2]行业排放因子!$A:$B,2,0)</f>
        <v>27.1093085906552</v>
      </c>
      <c r="K1950" s="9" t="s">
        <v>756</v>
      </c>
    </row>
    <row r="1951" spans="1:11" ht="12.5" customHeight="1" x14ac:dyDescent="0.25">
      <c r="A1951" s="5" t="s">
        <v>7175</v>
      </c>
      <c r="B1951" s="6" t="s">
        <v>6113</v>
      </c>
      <c r="C1951" s="6" t="s">
        <v>6748</v>
      </c>
      <c r="D1951" s="6" t="s">
        <v>7163</v>
      </c>
      <c r="E1951" s="6" t="s">
        <v>7176</v>
      </c>
      <c r="F1951" s="6" t="s">
        <v>7177</v>
      </c>
      <c r="G1951" s="9" t="s">
        <v>7178</v>
      </c>
      <c r="H1951" s="9" t="s">
        <v>18</v>
      </c>
      <c r="I1951" s="16" t="str">
        <f>VLOOKUP(F1951,[1]完整分类结果!$E:$G,3,0)</f>
        <v>金属制品业</v>
      </c>
      <c r="J1951" s="16">
        <f>VLOOKUP(I1951,[2]行业排放因子!$A:$B,2,0)</f>
        <v>27.1093085906552</v>
      </c>
      <c r="K1951" s="9" t="s">
        <v>756</v>
      </c>
    </row>
    <row r="1952" spans="1:11" ht="12.5" customHeight="1" x14ac:dyDescent="0.25">
      <c r="A1952" s="5" t="s">
        <v>7179</v>
      </c>
      <c r="B1952" s="6" t="s">
        <v>6113</v>
      </c>
      <c r="C1952" s="6" t="s">
        <v>6748</v>
      </c>
      <c r="D1952" s="6" t="s">
        <v>7163</v>
      </c>
      <c r="E1952" s="6" t="s">
        <v>7180</v>
      </c>
      <c r="F1952" s="6" t="s">
        <v>7181</v>
      </c>
      <c r="G1952" s="9" t="s">
        <v>7182</v>
      </c>
      <c r="H1952" s="9" t="s">
        <v>18</v>
      </c>
      <c r="I1952" s="16" t="str">
        <f>VLOOKUP(F1952,[1]完整分类结果!$E:$G,3,0)</f>
        <v>金属制品业</v>
      </c>
      <c r="J1952" s="16">
        <f>VLOOKUP(I1952,[2]行业排放因子!$A:$B,2,0)</f>
        <v>27.1093085906552</v>
      </c>
      <c r="K1952" s="9" t="s">
        <v>756</v>
      </c>
    </row>
    <row r="1953" spans="1:11" ht="12.5" customHeight="1" x14ac:dyDescent="0.25">
      <c r="A1953" s="5" t="s">
        <v>7183</v>
      </c>
      <c r="B1953" s="6" t="s">
        <v>6113</v>
      </c>
      <c r="C1953" s="6" t="s">
        <v>6748</v>
      </c>
      <c r="D1953" s="6" t="s">
        <v>7163</v>
      </c>
      <c r="E1953" s="6" t="s">
        <v>7184</v>
      </c>
      <c r="F1953" s="6" t="s">
        <v>7185</v>
      </c>
      <c r="G1953" s="9" t="s">
        <v>7186</v>
      </c>
      <c r="H1953" s="9" t="s">
        <v>18</v>
      </c>
      <c r="I1953" s="16" t="str">
        <f>VLOOKUP(F1953,[1]完整分类结果!$E:$G,3,0)</f>
        <v>金属制品业</v>
      </c>
      <c r="J1953" s="16">
        <f>VLOOKUP(I1953,[2]行业排放因子!$A:$B,2,0)</f>
        <v>27.1093085906552</v>
      </c>
      <c r="K1953" s="9" t="s">
        <v>756</v>
      </c>
    </row>
    <row r="1954" spans="1:11" ht="12.5" customHeight="1" x14ac:dyDescent="0.25">
      <c r="A1954" s="5" t="s">
        <v>7187</v>
      </c>
      <c r="B1954" s="6" t="s">
        <v>6113</v>
      </c>
      <c r="C1954" s="6" t="s">
        <v>6748</v>
      </c>
      <c r="D1954" s="6" t="s">
        <v>7163</v>
      </c>
      <c r="E1954" s="6" t="s">
        <v>7188</v>
      </c>
      <c r="F1954" s="6" t="s">
        <v>7189</v>
      </c>
      <c r="G1954" s="9" t="s">
        <v>7190</v>
      </c>
      <c r="H1954" s="9" t="s">
        <v>18</v>
      </c>
      <c r="I1954" s="16" t="str">
        <f>VLOOKUP(F1954,[1]完整分类结果!$E:$G,3,0)</f>
        <v>金属制品业</v>
      </c>
      <c r="J1954" s="16">
        <f>VLOOKUP(I1954,[2]行业排放因子!$A:$B,2,0)</f>
        <v>27.1093085906552</v>
      </c>
      <c r="K1954" s="9" t="s">
        <v>756</v>
      </c>
    </row>
    <row r="1955" spans="1:11" ht="12.5" customHeight="1" x14ac:dyDescent="0.25">
      <c r="A1955" s="5" t="s">
        <v>7191</v>
      </c>
      <c r="B1955" s="6" t="s">
        <v>6113</v>
      </c>
      <c r="C1955" s="6" t="s">
        <v>6748</v>
      </c>
      <c r="D1955" s="6" t="s">
        <v>7163</v>
      </c>
      <c r="E1955" s="6" t="s">
        <v>7192</v>
      </c>
      <c r="F1955" s="6" t="s">
        <v>7193</v>
      </c>
      <c r="G1955" s="9" t="s">
        <v>7194</v>
      </c>
      <c r="H1955" s="9" t="s">
        <v>18</v>
      </c>
      <c r="I1955" s="16" t="str">
        <f>VLOOKUP(F1955,[1]完整分类结果!$E:$G,3,0)</f>
        <v>金属制品业</v>
      </c>
      <c r="J1955" s="16">
        <f>VLOOKUP(I1955,[2]行业排放因子!$A:$B,2,0)</f>
        <v>27.1093085906552</v>
      </c>
      <c r="K1955" s="9" t="s">
        <v>756</v>
      </c>
    </row>
    <row r="1956" spans="1:11" ht="12.5" customHeight="1" x14ac:dyDescent="0.25">
      <c r="A1956" s="5" t="s">
        <v>7195</v>
      </c>
      <c r="B1956" s="6" t="s">
        <v>6113</v>
      </c>
      <c r="C1956" s="6" t="s">
        <v>6748</v>
      </c>
      <c r="D1956" s="6" t="s">
        <v>7163</v>
      </c>
      <c r="E1956" s="6" t="s">
        <v>7196</v>
      </c>
      <c r="F1956" s="6" t="s">
        <v>7197</v>
      </c>
      <c r="G1956" s="9" t="s">
        <v>7198</v>
      </c>
      <c r="H1956" s="9" t="s">
        <v>18</v>
      </c>
      <c r="I1956" s="16" t="str">
        <f>VLOOKUP(F1956,[1]完整分类结果!$E:$G,3,0)</f>
        <v>金属制品业</v>
      </c>
      <c r="J1956" s="16">
        <f>VLOOKUP(I1956,[2]行业排放因子!$A:$B,2,0)</f>
        <v>27.1093085906552</v>
      </c>
      <c r="K1956" s="9" t="s">
        <v>756</v>
      </c>
    </row>
    <row r="1957" spans="1:11" ht="12.5" customHeight="1" x14ac:dyDescent="0.25">
      <c r="A1957" s="5" t="s">
        <v>7199</v>
      </c>
      <c r="B1957" s="6" t="s">
        <v>6113</v>
      </c>
      <c r="C1957" s="6" t="s">
        <v>6748</v>
      </c>
      <c r="D1957" s="6" t="s">
        <v>7163</v>
      </c>
      <c r="E1957" s="6" t="s">
        <v>7200</v>
      </c>
      <c r="F1957" s="6" t="s">
        <v>7201</v>
      </c>
      <c r="G1957" s="9"/>
      <c r="H1957" s="9" t="s">
        <v>18</v>
      </c>
      <c r="I1957" s="16" t="str">
        <f>VLOOKUP(F1957,[1]完整分类结果!$E:$G,3,0)</f>
        <v>金属制品业</v>
      </c>
      <c r="J1957" s="16">
        <f>VLOOKUP(I1957,[2]行业排放因子!$A:$B,2,0)</f>
        <v>27.1093085906552</v>
      </c>
      <c r="K1957" s="9" t="s">
        <v>756</v>
      </c>
    </row>
    <row r="1958" spans="1:11" ht="12.5" customHeight="1" x14ac:dyDescent="0.25">
      <c r="A1958" s="5" t="s">
        <v>7202</v>
      </c>
      <c r="B1958" s="6" t="s">
        <v>6113</v>
      </c>
      <c r="C1958" s="6" t="s">
        <v>6748</v>
      </c>
      <c r="D1958" s="6" t="s">
        <v>7163</v>
      </c>
      <c r="E1958" s="6" t="s">
        <v>7203</v>
      </c>
      <c r="F1958" s="6" t="s">
        <v>7204</v>
      </c>
      <c r="G1958" s="9"/>
      <c r="H1958" s="9" t="s">
        <v>18</v>
      </c>
      <c r="I1958" s="16" t="str">
        <f>VLOOKUP(F1958,[1]完整分类结果!$E:$G,3,0)</f>
        <v>金属制品业</v>
      </c>
      <c r="J1958" s="16">
        <f>VLOOKUP(I1958,[2]行业排放因子!$A:$B,2,0)</f>
        <v>27.1093085906552</v>
      </c>
      <c r="K1958" s="9" t="s">
        <v>756</v>
      </c>
    </row>
    <row r="1959" spans="1:11" ht="12.5" customHeight="1" x14ac:dyDescent="0.25">
      <c r="A1959" s="5" t="s">
        <v>7205</v>
      </c>
      <c r="B1959" s="6" t="s">
        <v>6113</v>
      </c>
      <c r="C1959" s="6" t="s">
        <v>6748</v>
      </c>
      <c r="D1959" s="6" t="s">
        <v>7163</v>
      </c>
      <c r="E1959" s="6" t="s">
        <v>7206</v>
      </c>
      <c r="F1959" s="6" t="s">
        <v>7207</v>
      </c>
      <c r="G1959" s="9"/>
      <c r="H1959" s="9" t="s">
        <v>18</v>
      </c>
      <c r="I1959" s="16" t="str">
        <f>VLOOKUP(F1959,[1]完整分类结果!$E:$G,3,0)</f>
        <v>金属制品业</v>
      </c>
      <c r="J1959" s="16">
        <f>VLOOKUP(I1959,[2]行业排放因子!$A:$B,2,0)</f>
        <v>27.1093085906552</v>
      </c>
      <c r="K1959" s="9" t="s">
        <v>756</v>
      </c>
    </row>
    <row r="1960" spans="1:11" ht="12.5" customHeight="1" x14ac:dyDescent="0.25">
      <c r="A1960" s="5" t="s">
        <v>7208</v>
      </c>
      <c r="B1960" s="6" t="s">
        <v>6113</v>
      </c>
      <c r="C1960" s="6" t="s">
        <v>6748</v>
      </c>
      <c r="D1960" s="6" t="s">
        <v>7163</v>
      </c>
      <c r="E1960" s="6" t="s">
        <v>7209</v>
      </c>
      <c r="F1960" s="6" t="s">
        <v>7210</v>
      </c>
      <c r="G1960" s="9"/>
      <c r="H1960" s="9" t="s">
        <v>18</v>
      </c>
      <c r="I1960" s="16" t="str">
        <f>VLOOKUP(F1960,[1]完整分类结果!$E:$G,3,0)</f>
        <v>金属制品业</v>
      </c>
      <c r="J1960" s="16">
        <f>VLOOKUP(I1960,[2]行业排放因子!$A:$B,2,0)</f>
        <v>27.1093085906552</v>
      </c>
      <c r="K1960" s="9" t="s">
        <v>756</v>
      </c>
    </row>
    <row r="1961" spans="1:11" ht="12.5" customHeight="1" x14ac:dyDescent="0.25">
      <c r="A1961" s="5" t="s">
        <v>7211</v>
      </c>
      <c r="B1961" s="6" t="s">
        <v>6113</v>
      </c>
      <c r="C1961" s="6" t="s">
        <v>6748</v>
      </c>
      <c r="D1961" s="6" t="s">
        <v>7163</v>
      </c>
      <c r="E1961" s="6" t="s">
        <v>7212</v>
      </c>
      <c r="F1961" s="6" t="s">
        <v>7213</v>
      </c>
      <c r="G1961" s="9"/>
      <c r="H1961" s="9" t="s">
        <v>18</v>
      </c>
      <c r="I1961" s="16" t="str">
        <f>VLOOKUP(F1961,[1]完整分类结果!$E:$G,3,0)</f>
        <v>金属制品业</v>
      </c>
      <c r="J1961" s="16">
        <f>VLOOKUP(I1961,[2]行业排放因子!$A:$B,2,0)</f>
        <v>27.1093085906552</v>
      </c>
      <c r="K1961" s="9" t="s">
        <v>756</v>
      </c>
    </row>
    <row r="1962" spans="1:11" ht="12.5" customHeight="1" x14ac:dyDescent="0.25">
      <c r="A1962" s="5" t="s">
        <v>7214</v>
      </c>
      <c r="B1962" s="6" t="s">
        <v>6113</v>
      </c>
      <c r="C1962" s="6" t="s">
        <v>6748</v>
      </c>
      <c r="D1962" s="6" t="s">
        <v>7163</v>
      </c>
      <c r="E1962" s="6" t="s">
        <v>7215</v>
      </c>
      <c r="F1962" s="6" t="s">
        <v>7216</v>
      </c>
      <c r="G1962" s="9"/>
      <c r="H1962" s="9" t="s">
        <v>18</v>
      </c>
      <c r="I1962" s="16" t="str">
        <f>VLOOKUP(F1962,[1]完整分类结果!$E:$G,3,0)</f>
        <v>金属制品业</v>
      </c>
      <c r="J1962" s="16">
        <f>VLOOKUP(I1962,[2]行业排放因子!$A:$B,2,0)</f>
        <v>27.1093085906552</v>
      </c>
      <c r="K1962" s="9" t="s">
        <v>756</v>
      </c>
    </row>
    <row r="1963" spans="1:11" ht="12.5" customHeight="1" x14ac:dyDescent="0.25">
      <c r="A1963" s="5" t="s">
        <v>7217</v>
      </c>
      <c r="B1963" s="6" t="s">
        <v>6113</v>
      </c>
      <c r="C1963" s="6" t="s">
        <v>6748</v>
      </c>
      <c r="D1963" s="6" t="s">
        <v>7218</v>
      </c>
      <c r="E1963" s="6" t="s">
        <v>7219</v>
      </c>
      <c r="F1963" s="6" t="s">
        <v>7220</v>
      </c>
      <c r="G1963" s="9" t="s">
        <v>7221</v>
      </c>
      <c r="H1963" s="9" t="s">
        <v>18</v>
      </c>
      <c r="I1963" s="16" t="str">
        <f>VLOOKUP(F1963,[1]完整分类结果!$E:$G,3,0)</f>
        <v>金属制品业</v>
      </c>
      <c r="J1963" s="16">
        <f>VLOOKUP(I1963,[2]行业排放因子!$A:$B,2,0)</f>
        <v>27.1093085906552</v>
      </c>
      <c r="K1963" s="9" t="s">
        <v>756</v>
      </c>
    </row>
    <row r="1964" spans="1:11" ht="12.5" customHeight="1" x14ac:dyDescent="0.25">
      <c r="A1964" s="5" t="s">
        <v>7222</v>
      </c>
      <c r="B1964" s="6" t="s">
        <v>6113</v>
      </c>
      <c r="C1964" s="6" t="s">
        <v>7223</v>
      </c>
      <c r="D1964" s="6" t="s">
        <v>7223</v>
      </c>
      <c r="E1964" s="6" t="s">
        <v>7224</v>
      </c>
      <c r="F1964" s="6" t="s">
        <v>7225</v>
      </c>
      <c r="G1964" s="9" t="s">
        <v>7226</v>
      </c>
      <c r="H1964" s="9" t="s">
        <v>18</v>
      </c>
      <c r="I1964" s="16" t="str">
        <f>VLOOKUP(F1964,[1]完整分类结果!$E:$G,3,0)</f>
        <v>黑色金属冶炼及压延加工业</v>
      </c>
      <c r="J1964" s="16">
        <f>VLOOKUP(I1964,[2]行业排放因子!$A:$B,2,0)</f>
        <v>1891.5323606152201</v>
      </c>
      <c r="K1964" s="9" t="s">
        <v>756</v>
      </c>
    </row>
    <row r="1965" spans="1:11" ht="12.5" customHeight="1" x14ac:dyDescent="0.25">
      <c r="A1965" s="5" t="s">
        <v>7227</v>
      </c>
      <c r="B1965" s="6" t="s">
        <v>6113</v>
      </c>
      <c r="C1965" s="6" t="s">
        <v>7223</v>
      </c>
      <c r="D1965" s="6" t="s">
        <v>7223</v>
      </c>
      <c r="E1965" s="6" t="s">
        <v>7228</v>
      </c>
      <c r="F1965" s="6" t="s">
        <v>7229</v>
      </c>
      <c r="G1965" s="9" t="s">
        <v>7230</v>
      </c>
      <c r="H1965" s="9" t="s">
        <v>18</v>
      </c>
      <c r="I1965" s="16" t="str">
        <f>VLOOKUP(F1965,[1]完整分类结果!$E:$G,3,0)</f>
        <v>金属制品业</v>
      </c>
      <c r="J1965" s="16">
        <f>VLOOKUP(I1965,[2]行业排放因子!$A:$B,2,0)</f>
        <v>27.1093085906552</v>
      </c>
      <c r="K1965" s="9" t="s">
        <v>756</v>
      </c>
    </row>
    <row r="1966" spans="1:11" ht="12.5" customHeight="1" x14ac:dyDescent="0.25">
      <c r="A1966" s="5" t="s">
        <v>7231</v>
      </c>
      <c r="B1966" s="6" t="s">
        <v>6113</v>
      </c>
      <c r="C1966" s="6" t="s">
        <v>7223</v>
      </c>
      <c r="D1966" s="6" t="s">
        <v>7223</v>
      </c>
      <c r="E1966" s="6" t="s">
        <v>7232</v>
      </c>
      <c r="F1966" s="6" t="s">
        <v>7233</v>
      </c>
      <c r="G1966" s="9"/>
      <c r="H1966" s="9" t="s">
        <v>18</v>
      </c>
      <c r="I1966" s="16" t="str">
        <f>VLOOKUP(F1966,[1]完整分类结果!$E:$G,3,0)</f>
        <v>金属制品业</v>
      </c>
      <c r="J1966" s="16">
        <f>VLOOKUP(I1966,[2]行业排放因子!$A:$B,2,0)</f>
        <v>27.1093085906552</v>
      </c>
      <c r="K1966" s="9" t="s">
        <v>756</v>
      </c>
    </row>
    <row r="1967" spans="1:11" ht="12.5" customHeight="1" x14ac:dyDescent="0.25">
      <c r="A1967" s="5" t="s">
        <v>7234</v>
      </c>
      <c r="B1967" s="6" t="s">
        <v>6113</v>
      </c>
      <c r="C1967" s="6" t="s">
        <v>7223</v>
      </c>
      <c r="D1967" s="6" t="s">
        <v>7223</v>
      </c>
      <c r="E1967" s="6" t="s">
        <v>7235</v>
      </c>
      <c r="F1967" s="6" t="s">
        <v>7236</v>
      </c>
      <c r="G1967" s="9" t="s">
        <v>7237</v>
      </c>
      <c r="H1967" s="9" t="s">
        <v>18</v>
      </c>
      <c r="I1967" s="16" t="str">
        <f>VLOOKUP(F1967,[1]完整分类结果!$E:$G,3,0)</f>
        <v>金属制品业</v>
      </c>
      <c r="J1967" s="16">
        <f>VLOOKUP(I1967,[2]行业排放因子!$A:$B,2,0)</f>
        <v>27.1093085906552</v>
      </c>
      <c r="K1967" s="9" t="s">
        <v>756</v>
      </c>
    </row>
    <row r="1968" spans="1:11" ht="12.5" customHeight="1" x14ac:dyDescent="0.25">
      <c r="A1968" s="5" t="s">
        <v>7238</v>
      </c>
      <c r="B1968" s="6" t="s">
        <v>6113</v>
      </c>
      <c r="C1968" s="6" t="s">
        <v>7223</v>
      </c>
      <c r="D1968" s="6" t="s">
        <v>7223</v>
      </c>
      <c r="E1968" s="6" t="s">
        <v>7239</v>
      </c>
      <c r="F1968" s="6" t="s">
        <v>7240</v>
      </c>
      <c r="G1968" s="9" t="s">
        <v>7241</v>
      </c>
      <c r="H1968" s="9" t="s">
        <v>18</v>
      </c>
      <c r="I1968" s="16" t="str">
        <f>VLOOKUP(F1968,[1]完整分类结果!$E:$G,3,0)</f>
        <v>金属制品业</v>
      </c>
      <c r="J1968" s="16">
        <f>VLOOKUP(I1968,[2]行业排放因子!$A:$B,2,0)</f>
        <v>27.1093085906552</v>
      </c>
      <c r="K1968" s="9" t="s">
        <v>756</v>
      </c>
    </row>
    <row r="1969" spans="1:11" ht="12.5" customHeight="1" x14ac:dyDescent="0.25">
      <c r="A1969" s="5" t="s">
        <v>7242</v>
      </c>
      <c r="B1969" s="6" t="s">
        <v>6113</v>
      </c>
      <c r="C1969" s="6" t="s">
        <v>7223</v>
      </c>
      <c r="D1969" s="6" t="s">
        <v>7223</v>
      </c>
      <c r="E1969" s="6" t="s">
        <v>7243</v>
      </c>
      <c r="F1969" s="6" t="s">
        <v>7244</v>
      </c>
      <c r="G1969" s="9" t="s">
        <v>7245</v>
      </c>
      <c r="H1969" s="9" t="s">
        <v>18</v>
      </c>
      <c r="I1969" s="16" t="str">
        <f>VLOOKUP(F1969,[1]完整分类结果!$E:$G,3,0)</f>
        <v>金属制品业</v>
      </c>
      <c r="J1969" s="16">
        <f>VLOOKUP(I1969,[2]行业排放因子!$A:$B,2,0)</f>
        <v>27.1093085906552</v>
      </c>
      <c r="K1969" s="9" t="s">
        <v>756</v>
      </c>
    </row>
    <row r="1970" spans="1:11" ht="12.5" customHeight="1" x14ac:dyDescent="0.25">
      <c r="A1970" s="5" t="s">
        <v>7246</v>
      </c>
      <c r="B1970" s="6" t="s">
        <v>6113</v>
      </c>
      <c r="C1970" s="6" t="s">
        <v>7223</v>
      </c>
      <c r="D1970" s="6" t="s">
        <v>7223</v>
      </c>
      <c r="E1970" s="6" t="s">
        <v>7247</v>
      </c>
      <c r="F1970" s="6" t="s">
        <v>7248</v>
      </c>
      <c r="G1970" s="9" t="s">
        <v>7249</v>
      </c>
      <c r="H1970" s="9" t="s">
        <v>18</v>
      </c>
      <c r="I1970" s="16" t="str">
        <f>VLOOKUP(F1970,[1]完整分类结果!$E:$G,3,0)</f>
        <v>金属制品业</v>
      </c>
      <c r="J1970" s="16">
        <f>VLOOKUP(I1970,[2]行业排放因子!$A:$B,2,0)</f>
        <v>27.1093085906552</v>
      </c>
      <c r="K1970" s="9" t="s">
        <v>756</v>
      </c>
    </row>
    <row r="1971" spans="1:11" ht="12.5" customHeight="1" x14ac:dyDescent="0.25">
      <c r="A1971" s="5" t="s">
        <v>7250</v>
      </c>
      <c r="B1971" s="6" t="s">
        <v>6113</v>
      </c>
      <c r="C1971" s="6" t="s">
        <v>7223</v>
      </c>
      <c r="D1971" s="6" t="s">
        <v>7223</v>
      </c>
      <c r="E1971" s="6" t="s">
        <v>7251</v>
      </c>
      <c r="F1971" s="6" t="s">
        <v>7252</v>
      </c>
      <c r="G1971" s="9" t="s">
        <v>7253</v>
      </c>
      <c r="H1971" s="9" t="s">
        <v>18</v>
      </c>
      <c r="I1971" s="16" t="str">
        <f>VLOOKUP(F1971,[1]完整分类结果!$E:$G,3,0)</f>
        <v>金属制品业</v>
      </c>
      <c r="J1971" s="16">
        <f>VLOOKUP(I1971,[2]行业排放因子!$A:$B,2,0)</f>
        <v>27.1093085906552</v>
      </c>
      <c r="K1971" s="9" t="s">
        <v>756</v>
      </c>
    </row>
    <row r="1972" spans="1:11" ht="12.5" customHeight="1" x14ac:dyDescent="0.25">
      <c r="A1972" s="5" t="s">
        <v>7254</v>
      </c>
      <c r="B1972" s="6" t="s">
        <v>6113</v>
      </c>
      <c r="C1972" s="6" t="s">
        <v>7223</v>
      </c>
      <c r="D1972" s="6" t="s">
        <v>7223</v>
      </c>
      <c r="E1972" s="6" t="s">
        <v>7255</v>
      </c>
      <c r="F1972" s="6" t="s">
        <v>7256</v>
      </c>
      <c r="G1972" s="9" t="s">
        <v>7257</v>
      </c>
      <c r="H1972" s="9" t="s">
        <v>18</v>
      </c>
      <c r="I1972" s="16" t="str">
        <f>VLOOKUP(F1972,[1]完整分类结果!$E:$G,3,0)</f>
        <v>金属制品业</v>
      </c>
      <c r="J1972" s="16">
        <f>VLOOKUP(I1972,[2]行业排放因子!$A:$B,2,0)</f>
        <v>27.1093085906552</v>
      </c>
      <c r="K1972" s="9" t="s">
        <v>756</v>
      </c>
    </row>
    <row r="1973" spans="1:11" ht="12.5" customHeight="1" x14ac:dyDescent="0.25">
      <c r="A1973" s="5" t="s">
        <v>7258</v>
      </c>
      <c r="B1973" s="6" t="s">
        <v>6113</v>
      </c>
      <c r="C1973" s="6" t="s">
        <v>7223</v>
      </c>
      <c r="D1973" s="6" t="s">
        <v>7223</v>
      </c>
      <c r="E1973" s="6" t="s">
        <v>7259</v>
      </c>
      <c r="F1973" s="6" t="s">
        <v>7260</v>
      </c>
      <c r="G1973" s="9"/>
      <c r="H1973" s="9" t="s">
        <v>18</v>
      </c>
      <c r="I1973" s="16" t="str">
        <f>VLOOKUP(F1973,[1]完整分类结果!$E:$G,3,0)</f>
        <v>金属制品业</v>
      </c>
      <c r="J1973" s="16">
        <f>VLOOKUP(I1973,[2]行业排放因子!$A:$B,2,0)</f>
        <v>27.1093085906552</v>
      </c>
      <c r="K1973" s="9" t="s">
        <v>756</v>
      </c>
    </row>
    <row r="1974" spans="1:11" ht="12.5" customHeight="1" x14ac:dyDescent="0.25">
      <c r="A1974" s="5" t="s">
        <v>7261</v>
      </c>
      <c r="B1974" s="6" t="s">
        <v>6113</v>
      </c>
      <c r="C1974" s="6" t="s">
        <v>7223</v>
      </c>
      <c r="D1974" s="6" t="s">
        <v>7223</v>
      </c>
      <c r="E1974" s="6" t="s">
        <v>7262</v>
      </c>
      <c r="F1974" s="6" t="s">
        <v>7263</v>
      </c>
      <c r="G1974" s="9" t="s">
        <v>7264</v>
      </c>
      <c r="H1974" s="9" t="s">
        <v>18</v>
      </c>
      <c r="I1974" s="16" t="str">
        <f>VLOOKUP(F1974,[1]完整分类结果!$E:$G,3,0)</f>
        <v>金属制品业</v>
      </c>
      <c r="J1974" s="16">
        <f>VLOOKUP(I1974,[2]行业排放因子!$A:$B,2,0)</f>
        <v>27.1093085906552</v>
      </c>
      <c r="K1974" s="9" t="s">
        <v>756</v>
      </c>
    </row>
    <row r="1975" spans="1:11" ht="12.5" customHeight="1" x14ac:dyDescent="0.25">
      <c r="A1975" s="5" t="s">
        <v>7265</v>
      </c>
      <c r="B1975" s="6" t="s">
        <v>6113</v>
      </c>
      <c r="C1975" s="6" t="s">
        <v>7223</v>
      </c>
      <c r="D1975" s="6" t="s">
        <v>7223</v>
      </c>
      <c r="E1975" s="6" t="s">
        <v>7266</v>
      </c>
      <c r="F1975" s="6" t="s">
        <v>7267</v>
      </c>
      <c r="G1975" s="9" t="s">
        <v>7268</v>
      </c>
      <c r="H1975" s="9" t="s">
        <v>18</v>
      </c>
      <c r="I1975" s="16" t="str">
        <f>VLOOKUP(F1975,[1]完整分类结果!$E:$G,3,0)</f>
        <v>金属制品业</v>
      </c>
      <c r="J1975" s="16">
        <f>VLOOKUP(I1975,[2]行业排放因子!$A:$B,2,0)</f>
        <v>27.1093085906552</v>
      </c>
      <c r="K1975" s="9" t="s">
        <v>756</v>
      </c>
    </row>
    <row r="1976" spans="1:11" ht="12.5" customHeight="1" x14ac:dyDescent="0.25">
      <c r="A1976" s="5" t="s">
        <v>7269</v>
      </c>
      <c r="B1976" s="6" t="s">
        <v>6113</v>
      </c>
      <c r="C1976" s="6" t="s">
        <v>7223</v>
      </c>
      <c r="D1976" s="6" t="s">
        <v>7223</v>
      </c>
      <c r="E1976" s="6" t="s">
        <v>7270</v>
      </c>
      <c r="F1976" s="6" t="s">
        <v>7271</v>
      </c>
      <c r="G1976" s="9" t="s">
        <v>7272</v>
      </c>
      <c r="H1976" s="9" t="s">
        <v>18</v>
      </c>
      <c r="I1976" s="16" t="str">
        <f>VLOOKUP(F1976,[1]完整分类结果!$E:$G,3,0)</f>
        <v>金属制品业</v>
      </c>
      <c r="J1976" s="16">
        <f>VLOOKUP(I1976,[2]行业排放因子!$A:$B,2,0)</f>
        <v>27.1093085906552</v>
      </c>
      <c r="K1976" s="9" t="s">
        <v>756</v>
      </c>
    </row>
    <row r="1977" spans="1:11" ht="12.5" customHeight="1" x14ac:dyDescent="0.25">
      <c r="A1977" s="5" t="s">
        <v>7273</v>
      </c>
      <c r="B1977" s="6" t="s">
        <v>6113</v>
      </c>
      <c r="C1977" s="6" t="s">
        <v>7223</v>
      </c>
      <c r="D1977" s="6" t="s">
        <v>7223</v>
      </c>
      <c r="E1977" s="6" t="s">
        <v>7274</v>
      </c>
      <c r="F1977" s="6" t="s">
        <v>7275</v>
      </c>
      <c r="G1977" s="9" t="s">
        <v>7276</v>
      </c>
      <c r="H1977" s="9" t="s">
        <v>18</v>
      </c>
      <c r="I1977" s="16" t="str">
        <f>VLOOKUP(F1977,[1]完整分类结果!$E:$G,3,0)</f>
        <v>金属制品业</v>
      </c>
      <c r="J1977" s="16">
        <f>VLOOKUP(I1977,[2]行业排放因子!$A:$B,2,0)</f>
        <v>27.1093085906552</v>
      </c>
      <c r="K1977" s="9" t="s">
        <v>756</v>
      </c>
    </row>
    <row r="1978" spans="1:11" ht="12.5" customHeight="1" x14ac:dyDescent="0.25">
      <c r="A1978" s="5" t="s">
        <v>7277</v>
      </c>
      <c r="B1978" s="6" t="s">
        <v>6113</v>
      </c>
      <c r="C1978" s="6" t="s">
        <v>7223</v>
      </c>
      <c r="D1978" s="6" t="s">
        <v>7223</v>
      </c>
      <c r="E1978" s="6" t="s">
        <v>7278</v>
      </c>
      <c r="F1978" s="6" t="s">
        <v>7279</v>
      </c>
      <c r="G1978" s="9" t="s">
        <v>7280</v>
      </c>
      <c r="H1978" s="9" t="s">
        <v>18</v>
      </c>
      <c r="I1978" s="16" t="str">
        <f>VLOOKUP(F1978,[1]完整分类结果!$E:$G,3,0)</f>
        <v>金属制品业</v>
      </c>
      <c r="J1978" s="16">
        <f>VLOOKUP(I1978,[2]行业排放因子!$A:$B,2,0)</f>
        <v>27.1093085906552</v>
      </c>
      <c r="K1978" s="9" t="s">
        <v>756</v>
      </c>
    </row>
    <row r="1979" spans="1:11" ht="12.5" customHeight="1" x14ac:dyDescent="0.25">
      <c r="A1979" s="5" t="s">
        <v>7281</v>
      </c>
      <c r="B1979" s="6" t="s">
        <v>6113</v>
      </c>
      <c r="C1979" s="6" t="s">
        <v>7223</v>
      </c>
      <c r="D1979" s="6" t="s">
        <v>7223</v>
      </c>
      <c r="E1979" s="6" t="s">
        <v>7282</v>
      </c>
      <c r="F1979" s="6" t="s">
        <v>7283</v>
      </c>
      <c r="G1979" s="9" t="s">
        <v>7284</v>
      </c>
      <c r="H1979" s="9" t="s">
        <v>18</v>
      </c>
      <c r="I1979" s="16" t="str">
        <f>VLOOKUP(F1979,[1]完整分类结果!$E:$G,3,0)</f>
        <v>金属制品业</v>
      </c>
      <c r="J1979" s="16">
        <f>VLOOKUP(I1979,[2]行业排放因子!$A:$B,2,0)</f>
        <v>27.1093085906552</v>
      </c>
      <c r="K1979" s="9" t="s">
        <v>756</v>
      </c>
    </row>
    <row r="1980" spans="1:11" ht="12.5" customHeight="1" x14ac:dyDescent="0.25">
      <c r="A1980" s="5" t="s">
        <v>7285</v>
      </c>
      <c r="B1980" s="6" t="s">
        <v>6113</v>
      </c>
      <c r="C1980" s="6" t="s">
        <v>7223</v>
      </c>
      <c r="D1980" s="6" t="s">
        <v>7223</v>
      </c>
      <c r="E1980" s="6" t="s">
        <v>7286</v>
      </c>
      <c r="F1980" s="6" t="s">
        <v>7287</v>
      </c>
      <c r="G1980" s="9" t="s">
        <v>7288</v>
      </c>
      <c r="H1980" s="9" t="s">
        <v>18</v>
      </c>
      <c r="I1980" s="16" t="str">
        <f>VLOOKUP(F1980,[1]完整分类结果!$E:$G,3,0)</f>
        <v>金属制品业</v>
      </c>
      <c r="J1980" s="16">
        <f>VLOOKUP(I1980,[2]行业排放因子!$A:$B,2,0)</f>
        <v>27.1093085906552</v>
      </c>
      <c r="K1980" s="9" t="s">
        <v>756</v>
      </c>
    </row>
    <row r="1981" spans="1:11" ht="12.5" customHeight="1" x14ac:dyDescent="0.25">
      <c r="A1981" s="5" t="s">
        <v>7289</v>
      </c>
      <c r="B1981" s="6" t="s">
        <v>6113</v>
      </c>
      <c r="C1981" s="6" t="s">
        <v>7223</v>
      </c>
      <c r="D1981" s="6" t="s">
        <v>7223</v>
      </c>
      <c r="E1981" s="6" t="s">
        <v>7290</v>
      </c>
      <c r="F1981" s="6" t="s">
        <v>7291</v>
      </c>
      <c r="G1981" s="9" t="s">
        <v>7292</v>
      </c>
      <c r="H1981" s="9" t="s">
        <v>18</v>
      </c>
      <c r="I1981" s="16" t="str">
        <f>VLOOKUP(F1981,[1]完整分类结果!$E:$G,3,0)</f>
        <v>金属制品业</v>
      </c>
      <c r="J1981" s="16">
        <f>VLOOKUP(I1981,[2]行业排放因子!$A:$B,2,0)</f>
        <v>27.1093085906552</v>
      </c>
      <c r="K1981" s="9" t="s">
        <v>756</v>
      </c>
    </row>
    <row r="1982" spans="1:11" ht="12.5" customHeight="1" x14ac:dyDescent="0.25">
      <c r="A1982" s="5" t="s">
        <v>7293</v>
      </c>
      <c r="B1982" s="6" t="s">
        <v>6113</v>
      </c>
      <c r="C1982" s="6" t="s">
        <v>7223</v>
      </c>
      <c r="D1982" s="6" t="s">
        <v>7223</v>
      </c>
      <c r="E1982" s="6" t="s">
        <v>7294</v>
      </c>
      <c r="F1982" s="6" t="s">
        <v>7295</v>
      </c>
      <c r="G1982" s="9" t="s">
        <v>7296</v>
      </c>
      <c r="H1982" s="9" t="s">
        <v>18</v>
      </c>
      <c r="I1982" s="16" t="str">
        <f>VLOOKUP(F1982,[1]完整分类结果!$E:$G,3,0)</f>
        <v>黑色金属冶炼及压延加工业</v>
      </c>
      <c r="J1982" s="16">
        <f>VLOOKUP(I1982,[2]行业排放因子!$A:$B,2,0)</f>
        <v>1891.5323606152201</v>
      </c>
      <c r="K1982" s="9" t="s">
        <v>756</v>
      </c>
    </row>
    <row r="1983" spans="1:11" ht="12.5" customHeight="1" x14ac:dyDescent="0.25">
      <c r="A1983" s="5" t="s">
        <v>7297</v>
      </c>
      <c r="B1983" s="6" t="s">
        <v>6113</v>
      </c>
      <c r="C1983" s="6" t="s">
        <v>7223</v>
      </c>
      <c r="D1983" s="6" t="s">
        <v>7223</v>
      </c>
      <c r="E1983" s="6" t="s">
        <v>7298</v>
      </c>
      <c r="F1983" s="6" t="s">
        <v>7299</v>
      </c>
      <c r="G1983" s="9" t="s">
        <v>7300</v>
      </c>
      <c r="H1983" s="9" t="s">
        <v>18</v>
      </c>
      <c r="I1983" s="16" t="str">
        <f>VLOOKUP(F1983,[1]完整分类结果!$E:$G,3,0)</f>
        <v>金属制品业</v>
      </c>
      <c r="J1983" s="16">
        <f>VLOOKUP(I1983,[2]行业排放因子!$A:$B,2,0)</f>
        <v>27.1093085906552</v>
      </c>
      <c r="K1983" s="9" t="s">
        <v>756</v>
      </c>
    </row>
    <row r="1984" spans="1:11" ht="12.5" customHeight="1" x14ac:dyDescent="0.25">
      <c r="A1984" s="5" t="s">
        <v>7301</v>
      </c>
      <c r="B1984" s="6" t="s">
        <v>6113</v>
      </c>
      <c r="C1984" s="6" t="s">
        <v>7223</v>
      </c>
      <c r="D1984" s="6" t="s">
        <v>7223</v>
      </c>
      <c r="E1984" s="6" t="s">
        <v>7302</v>
      </c>
      <c r="F1984" s="6" t="s">
        <v>7303</v>
      </c>
      <c r="G1984" s="9" t="s">
        <v>7304</v>
      </c>
      <c r="H1984" s="9" t="s">
        <v>18</v>
      </c>
      <c r="I1984" s="16" t="str">
        <f>VLOOKUP(F1984,[1]完整分类结果!$E:$G,3,0)</f>
        <v>金属制品业</v>
      </c>
      <c r="J1984" s="16">
        <f>VLOOKUP(I1984,[2]行业排放因子!$A:$B,2,0)</f>
        <v>27.1093085906552</v>
      </c>
      <c r="K1984" s="9" t="s">
        <v>756</v>
      </c>
    </row>
    <row r="1985" spans="1:11" ht="12.5" customHeight="1" x14ac:dyDescent="0.25">
      <c r="A1985" s="5" t="s">
        <v>7305</v>
      </c>
      <c r="B1985" s="6" t="s">
        <v>6113</v>
      </c>
      <c r="C1985" s="6" t="s">
        <v>7223</v>
      </c>
      <c r="D1985" s="6" t="s">
        <v>7223</v>
      </c>
      <c r="E1985" s="6" t="s">
        <v>7306</v>
      </c>
      <c r="F1985" s="6" t="s">
        <v>7307</v>
      </c>
      <c r="G1985" s="9" t="s">
        <v>7308</v>
      </c>
      <c r="H1985" s="9" t="s">
        <v>18</v>
      </c>
      <c r="I1985" s="16" t="str">
        <f>VLOOKUP(F1985,[1]完整分类结果!$E:$G,3,0)</f>
        <v>金属制品业</v>
      </c>
      <c r="J1985" s="16">
        <f>VLOOKUP(I1985,[2]行业排放因子!$A:$B,2,0)</f>
        <v>27.1093085906552</v>
      </c>
      <c r="K1985" s="9" t="s">
        <v>756</v>
      </c>
    </row>
    <row r="1986" spans="1:11" ht="12.5" customHeight="1" x14ac:dyDescent="0.25">
      <c r="A1986" s="5" t="s">
        <v>7309</v>
      </c>
      <c r="B1986" s="6" t="s">
        <v>6113</v>
      </c>
      <c r="C1986" s="6" t="s">
        <v>7223</v>
      </c>
      <c r="D1986" s="6" t="s">
        <v>7223</v>
      </c>
      <c r="E1986" s="6" t="s">
        <v>7310</v>
      </c>
      <c r="F1986" s="6" t="s">
        <v>7311</v>
      </c>
      <c r="G1986" s="9" t="s">
        <v>7312</v>
      </c>
      <c r="H1986" s="9" t="s">
        <v>18</v>
      </c>
      <c r="I1986" s="16" t="str">
        <f>VLOOKUP(F1986,[1]完整分类结果!$E:$G,3,0)</f>
        <v>金属制品业</v>
      </c>
      <c r="J1986" s="16">
        <f>VLOOKUP(I1986,[2]行业排放因子!$A:$B,2,0)</f>
        <v>27.1093085906552</v>
      </c>
      <c r="K1986" s="9" t="s">
        <v>756</v>
      </c>
    </row>
    <row r="1987" spans="1:11" ht="12.5" customHeight="1" x14ac:dyDescent="0.25">
      <c r="A1987" s="5" t="s">
        <v>7313</v>
      </c>
      <c r="B1987" s="6" t="s">
        <v>6113</v>
      </c>
      <c r="C1987" s="6" t="s">
        <v>7223</v>
      </c>
      <c r="D1987" s="6" t="s">
        <v>7223</v>
      </c>
      <c r="E1987" s="6" t="s">
        <v>7314</v>
      </c>
      <c r="F1987" s="6" t="s">
        <v>7315</v>
      </c>
      <c r="G1987" s="9" t="s">
        <v>7316</v>
      </c>
      <c r="H1987" s="9" t="s">
        <v>18</v>
      </c>
      <c r="I1987" s="16" t="str">
        <f>VLOOKUP(F1987,[1]完整分类结果!$E:$G,3,0)</f>
        <v>金属制品业</v>
      </c>
      <c r="J1987" s="16">
        <f>VLOOKUP(I1987,[2]行业排放因子!$A:$B,2,0)</f>
        <v>27.1093085906552</v>
      </c>
      <c r="K1987" s="9" t="s">
        <v>756</v>
      </c>
    </row>
    <row r="1988" spans="1:11" ht="12.5" customHeight="1" x14ac:dyDescent="0.25">
      <c r="A1988" s="5" t="s">
        <v>7317</v>
      </c>
      <c r="B1988" s="6" t="s">
        <v>6113</v>
      </c>
      <c r="C1988" s="6" t="s">
        <v>7223</v>
      </c>
      <c r="D1988" s="6" t="s">
        <v>7223</v>
      </c>
      <c r="E1988" s="6" t="s">
        <v>7318</v>
      </c>
      <c r="F1988" s="6" t="s">
        <v>7319</v>
      </c>
      <c r="G1988" s="9" t="s">
        <v>7320</v>
      </c>
      <c r="H1988" s="9" t="s">
        <v>18</v>
      </c>
      <c r="I1988" s="16" t="str">
        <f>VLOOKUP(F1988,[1]完整分类结果!$E:$G,3,0)</f>
        <v>金属制品业</v>
      </c>
      <c r="J1988" s="16">
        <f>VLOOKUP(I1988,[2]行业排放因子!$A:$B,2,0)</f>
        <v>27.1093085906552</v>
      </c>
      <c r="K1988" s="9" t="s">
        <v>756</v>
      </c>
    </row>
    <row r="1989" spans="1:11" ht="12.5" customHeight="1" x14ac:dyDescent="0.25">
      <c r="A1989" s="5" t="s">
        <v>7321</v>
      </c>
      <c r="B1989" s="6" t="s">
        <v>6113</v>
      </c>
      <c r="C1989" s="6" t="s">
        <v>7223</v>
      </c>
      <c r="D1989" s="6" t="s">
        <v>7223</v>
      </c>
      <c r="E1989" s="6" t="s">
        <v>7322</v>
      </c>
      <c r="F1989" s="6" t="s">
        <v>7323</v>
      </c>
      <c r="G1989" s="9" t="s">
        <v>7324</v>
      </c>
      <c r="H1989" s="9" t="s">
        <v>18</v>
      </c>
      <c r="I1989" s="16" t="str">
        <f>VLOOKUP(F1989,[1]完整分类结果!$E:$G,3,0)</f>
        <v>金属制品业</v>
      </c>
      <c r="J1989" s="16">
        <f>VLOOKUP(I1989,[2]行业排放因子!$A:$B,2,0)</f>
        <v>27.1093085906552</v>
      </c>
      <c r="K1989" s="9" t="s">
        <v>756</v>
      </c>
    </row>
    <row r="1990" spans="1:11" ht="12.5" customHeight="1" x14ac:dyDescent="0.25">
      <c r="A1990" s="5" t="s">
        <v>7325</v>
      </c>
      <c r="B1990" s="6" t="s">
        <v>6113</v>
      </c>
      <c r="C1990" s="6" t="s">
        <v>7223</v>
      </c>
      <c r="D1990" s="6" t="s">
        <v>7223</v>
      </c>
      <c r="E1990" s="6" t="s">
        <v>7326</v>
      </c>
      <c r="F1990" s="6" t="s">
        <v>7327</v>
      </c>
      <c r="G1990" s="9" t="s">
        <v>7328</v>
      </c>
      <c r="H1990" s="9" t="s">
        <v>18</v>
      </c>
      <c r="I1990" s="16" t="str">
        <f>VLOOKUP(F1990,[1]完整分类结果!$E:$G,3,0)</f>
        <v>金属制品业</v>
      </c>
      <c r="J1990" s="16">
        <f>VLOOKUP(I1990,[2]行业排放因子!$A:$B,2,0)</f>
        <v>27.1093085906552</v>
      </c>
      <c r="K1990" s="9" t="s">
        <v>756</v>
      </c>
    </row>
    <row r="1991" spans="1:11" ht="12.5" customHeight="1" x14ac:dyDescent="0.25">
      <c r="A1991" s="5" t="s">
        <v>7329</v>
      </c>
      <c r="B1991" s="6" t="s">
        <v>6113</v>
      </c>
      <c r="C1991" s="6" t="s">
        <v>7223</v>
      </c>
      <c r="D1991" s="6" t="s">
        <v>7223</v>
      </c>
      <c r="E1991" s="6" t="s">
        <v>7330</v>
      </c>
      <c r="F1991" s="6" t="s">
        <v>7331</v>
      </c>
      <c r="G1991" s="9" t="s">
        <v>7332</v>
      </c>
      <c r="H1991" s="9" t="s">
        <v>18</v>
      </c>
      <c r="I1991" s="16" t="str">
        <f>VLOOKUP(F1991,[1]完整分类结果!$E:$G,3,0)</f>
        <v>金属制品业</v>
      </c>
      <c r="J1991" s="16">
        <f>VLOOKUP(I1991,[2]行业排放因子!$A:$B,2,0)</f>
        <v>27.1093085906552</v>
      </c>
      <c r="K1991" s="9" t="s">
        <v>756</v>
      </c>
    </row>
    <row r="1992" spans="1:11" ht="12.5" customHeight="1" x14ac:dyDescent="0.25">
      <c r="A1992" s="5" t="s">
        <v>7333</v>
      </c>
      <c r="B1992" s="6" t="s">
        <v>6113</v>
      </c>
      <c r="C1992" s="6" t="s">
        <v>7223</v>
      </c>
      <c r="D1992" s="6" t="s">
        <v>7223</v>
      </c>
      <c r="E1992" s="6" t="s">
        <v>7334</v>
      </c>
      <c r="F1992" s="6" t="s">
        <v>7335</v>
      </c>
      <c r="G1992" s="9" t="s">
        <v>7336</v>
      </c>
      <c r="H1992" s="9" t="s">
        <v>18</v>
      </c>
      <c r="I1992" s="16" t="str">
        <f>VLOOKUP(F1992,[1]完整分类结果!$E:$G,3,0)</f>
        <v>金属制品业</v>
      </c>
      <c r="J1992" s="16">
        <f>VLOOKUP(I1992,[2]行业排放因子!$A:$B,2,0)</f>
        <v>27.1093085906552</v>
      </c>
      <c r="K1992" s="9" t="s">
        <v>756</v>
      </c>
    </row>
    <row r="1993" spans="1:11" ht="12.5" customHeight="1" x14ac:dyDescent="0.25">
      <c r="A1993" s="5" t="s">
        <v>7337</v>
      </c>
      <c r="B1993" s="6" t="s">
        <v>6113</v>
      </c>
      <c r="C1993" s="6" t="s">
        <v>7223</v>
      </c>
      <c r="D1993" s="6" t="s">
        <v>7223</v>
      </c>
      <c r="E1993" s="6" t="s">
        <v>7338</v>
      </c>
      <c r="F1993" s="6" t="s">
        <v>7339</v>
      </c>
      <c r="G1993" s="9" t="s">
        <v>7340</v>
      </c>
      <c r="H1993" s="9" t="s">
        <v>18</v>
      </c>
      <c r="I1993" s="16" t="str">
        <f>VLOOKUP(F1993,[1]完整分类结果!$E:$G,3,0)</f>
        <v>金属制品业</v>
      </c>
      <c r="J1993" s="16">
        <f>VLOOKUP(I1993,[2]行业排放因子!$A:$B,2,0)</f>
        <v>27.1093085906552</v>
      </c>
      <c r="K1993" s="9" t="s">
        <v>756</v>
      </c>
    </row>
    <row r="1994" spans="1:11" ht="12.5" customHeight="1" x14ac:dyDescent="0.25">
      <c r="A1994" s="5" t="s">
        <v>7341</v>
      </c>
      <c r="B1994" s="6" t="s">
        <v>6113</v>
      </c>
      <c r="C1994" s="6" t="s">
        <v>7223</v>
      </c>
      <c r="D1994" s="6" t="s">
        <v>7223</v>
      </c>
      <c r="E1994" s="6" t="s">
        <v>7342</v>
      </c>
      <c r="F1994" s="6" t="s">
        <v>7343</v>
      </c>
      <c r="G1994" s="9" t="s">
        <v>7344</v>
      </c>
      <c r="H1994" s="9" t="s">
        <v>18</v>
      </c>
      <c r="I1994" s="16" t="str">
        <f>VLOOKUP(F1994,[1]完整分类结果!$E:$G,3,0)</f>
        <v>金属制品业</v>
      </c>
      <c r="J1994" s="16">
        <f>VLOOKUP(I1994,[2]行业排放因子!$A:$B,2,0)</f>
        <v>27.1093085906552</v>
      </c>
      <c r="K1994" s="9" t="s">
        <v>756</v>
      </c>
    </row>
    <row r="1995" spans="1:11" ht="12.5" customHeight="1" x14ac:dyDescent="0.25">
      <c r="A1995" s="5" t="s">
        <v>7345</v>
      </c>
      <c r="B1995" s="6" t="s">
        <v>6113</v>
      </c>
      <c r="C1995" s="6" t="s">
        <v>7223</v>
      </c>
      <c r="D1995" s="6" t="s">
        <v>7223</v>
      </c>
      <c r="E1995" s="6" t="s">
        <v>7346</v>
      </c>
      <c r="F1995" s="6" t="s">
        <v>7347</v>
      </c>
      <c r="G1995" s="9"/>
      <c r="H1995" s="9" t="s">
        <v>18</v>
      </c>
      <c r="I1995" s="16" t="str">
        <f>VLOOKUP(F1995,[1]完整分类结果!$E:$G,3,0)</f>
        <v>金属制品业</v>
      </c>
      <c r="J1995" s="16">
        <f>VLOOKUP(I1995,[2]行业排放因子!$A:$B,2,0)</f>
        <v>27.1093085906552</v>
      </c>
      <c r="K1995" s="9" t="s">
        <v>756</v>
      </c>
    </row>
    <row r="1996" spans="1:11" ht="12.5" customHeight="1" x14ac:dyDescent="0.25">
      <c r="A1996" s="5" t="s">
        <v>7348</v>
      </c>
      <c r="B1996" s="6" t="s">
        <v>6113</v>
      </c>
      <c r="C1996" s="6" t="s">
        <v>7223</v>
      </c>
      <c r="D1996" s="6" t="s">
        <v>7223</v>
      </c>
      <c r="E1996" s="6" t="s">
        <v>7349</v>
      </c>
      <c r="F1996" s="6" t="s">
        <v>7350</v>
      </c>
      <c r="G1996" s="9" t="s">
        <v>7351</v>
      </c>
      <c r="H1996" s="9" t="s">
        <v>18</v>
      </c>
      <c r="I1996" s="16" t="str">
        <f>VLOOKUP(F1996,[1]完整分类结果!$E:$G,3,0)</f>
        <v>金属制品业</v>
      </c>
      <c r="J1996" s="16">
        <f>VLOOKUP(I1996,[2]行业排放因子!$A:$B,2,0)</f>
        <v>27.1093085906552</v>
      </c>
      <c r="K1996" s="9" t="s">
        <v>756</v>
      </c>
    </row>
    <row r="1997" spans="1:11" ht="12.5" customHeight="1" x14ac:dyDescent="0.25">
      <c r="A1997" s="5" t="s">
        <v>7352</v>
      </c>
      <c r="B1997" s="6" t="s">
        <v>6113</v>
      </c>
      <c r="C1997" s="6" t="s">
        <v>7223</v>
      </c>
      <c r="D1997" s="6" t="s">
        <v>7223</v>
      </c>
      <c r="E1997" s="6" t="s">
        <v>7353</v>
      </c>
      <c r="F1997" s="6" t="s">
        <v>7354</v>
      </c>
      <c r="G1997" s="9" t="s">
        <v>7355</v>
      </c>
      <c r="H1997" s="9" t="s">
        <v>18</v>
      </c>
      <c r="I1997" s="16" t="str">
        <f>VLOOKUP(F1997,[1]完整分类结果!$E:$G,3,0)</f>
        <v>金属制品业</v>
      </c>
      <c r="J1997" s="16">
        <f>VLOOKUP(I1997,[2]行业排放因子!$A:$B,2,0)</f>
        <v>27.1093085906552</v>
      </c>
      <c r="K1997" s="9" t="s">
        <v>756</v>
      </c>
    </row>
    <row r="1998" spans="1:11" ht="12.5" customHeight="1" x14ac:dyDescent="0.25">
      <c r="A1998" s="5" t="s">
        <v>7356</v>
      </c>
      <c r="B1998" s="6" t="s">
        <v>6113</v>
      </c>
      <c r="C1998" s="6" t="s">
        <v>7223</v>
      </c>
      <c r="D1998" s="6" t="s">
        <v>7223</v>
      </c>
      <c r="E1998" s="6" t="s">
        <v>7357</v>
      </c>
      <c r="F1998" s="6" t="s">
        <v>7358</v>
      </c>
      <c r="G1998" s="9" t="s">
        <v>7359</v>
      </c>
      <c r="H1998" s="9" t="s">
        <v>18</v>
      </c>
      <c r="I1998" s="16" t="str">
        <f>VLOOKUP(F1998,[1]完整分类结果!$E:$G,3,0)</f>
        <v>金属制品业</v>
      </c>
      <c r="J1998" s="16">
        <f>VLOOKUP(I1998,[2]行业排放因子!$A:$B,2,0)</f>
        <v>27.1093085906552</v>
      </c>
      <c r="K1998" s="9" t="s">
        <v>756</v>
      </c>
    </row>
    <row r="1999" spans="1:11" ht="12.5" customHeight="1" x14ac:dyDescent="0.25">
      <c r="A1999" s="5" t="s">
        <v>7360</v>
      </c>
      <c r="B1999" s="6" t="s">
        <v>6113</v>
      </c>
      <c r="C1999" s="6" t="s">
        <v>7223</v>
      </c>
      <c r="D1999" s="6" t="s">
        <v>7223</v>
      </c>
      <c r="E1999" s="6" t="s">
        <v>7361</v>
      </c>
      <c r="F1999" s="6" t="s">
        <v>7362</v>
      </c>
      <c r="G1999" s="9"/>
      <c r="H1999" s="9" t="s">
        <v>18</v>
      </c>
      <c r="I1999" s="16" t="str">
        <f>VLOOKUP(F1999,[1]完整分类结果!$E:$G,3,0)</f>
        <v>黑色金属冶炼及压延加工业</v>
      </c>
      <c r="J1999" s="16">
        <f>VLOOKUP(I1999,[2]行业排放因子!$A:$B,2,0)</f>
        <v>1891.5323606152201</v>
      </c>
      <c r="K1999" s="9" t="s">
        <v>756</v>
      </c>
    </row>
    <row r="2000" spans="1:11" ht="12.5" customHeight="1" x14ac:dyDescent="0.25">
      <c r="A2000" s="5" t="s">
        <v>7363</v>
      </c>
      <c r="B2000" s="6" t="s">
        <v>6113</v>
      </c>
      <c r="C2000" s="6" t="s">
        <v>7223</v>
      </c>
      <c r="D2000" s="6" t="s">
        <v>7223</v>
      </c>
      <c r="E2000" s="6" t="s">
        <v>7364</v>
      </c>
      <c r="F2000" s="6" t="s">
        <v>7365</v>
      </c>
      <c r="G2000" s="9" t="s">
        <v>7366</v>
      </c>
      <c r="H2000" s="9" t="s">
        <v>18</v>
      </c>
      <c r="I2000" s="16" t="str">
        <f>VLOOKUP(F2000,[1]完整分类结果!$E:$G,3,0)</f>
        <v>黑色金属冶炼及压延加工业</v>
      </c>
      <c r="J2000" s="16">
        <f>VLOOKUP(I2000,[2]行业排放因子!$A:$B,2,0)</f>
        <v>1891.5323606152201</v>
      </c>
      <c r="K2000" s="9" t="s">
        <v>756</v>
      </c>
    </row>
    <row r="2001" spans="1:11" ht="12.5" customHeight="1" x14ac:dyDescent="0.25">
      <c r="A2001" s="5" t="s">
        <v>7367</v>
      </c>
      <c r="B2001" s="6" t="s">
        <v>6113</v>
      </c>
      <c r="C2001" s="6" t="s">
        <v>7223</v>
      </c>
      <c r="D2001" s="6" t="s">
        <v>7223</v>
      </c>
      <c r="E2001" s="6" t="s">
        <v>7368</v>
      </c>
      <c r="F2001" s="6" t="s">
        <v>7369</v>
      </c>
      <c r="G2001" s="9" t="s">
        <v>7370</v>
      </c>
      <c r="H2001" s="9" t="s">
        <v>18</v>
      </c>
      <c r="I2001" s="16" t="str">
        <f>VLOOKUP(F2001,[1]完整分类结果!$E:$G,3,0)</f>
        <v>金属制品业</v>
      </c>
      <c r="J2001" s="16">
        <f>VLOOKUP(I2001,[2]行业排放因子!$A:$B,2,0)</f>
        <v>27.1093085906552</v>
      </c>
      <c r="K2001" s="9" t="s">
        <v>756</v>
      </c>
    </row>
    <row r="2002" spans="1:11" ht="12.5" customHeight="1" x14ac:dyDescent="0.25">
      <c r="A2002" s="5" t="s">
        <v>7371</v>
      </c>
      <c r="B2002" s="6" t="s">
        <v>6113</v>
      </c>
      <c r="C2002" s="6" t="s">
        <v>7223</v>
      </c>
      <c r="D2002" s="6" t="s">
        <v>7223</v>
      </c>
      <c r="E2002" s="6" t="s">
        <v>7372</v>
      </c>
      <c r="F2002" s="6" t="s">
        <v>7373</v>
      </c>
      <c r="G2002" s="9" t="s">
        <v>7374</v>
      </c>
      <c r="H2002" s="9" t="s">
        <v>18</v>
      </c>
      <c r="I2002" s="16" t="str">
        <f>VLOOKUP(F2002,[1]完整分类结果!$E:$G,3,0)</f>
        <v>金属制品业</v>
      </c>
      <c r="J2002" s="16">
        <f>VLOOKUP(I2002,[2]行业排放因子!$A:$B,2,0)</f>
        <v>27.1093085906552</v>
      </c>
      <c r="K2002" s="9" t="s">
        <v>756</v>
      </c>
    </row>
    <row r="2003" spans="1:11" ht="12.5" customHeight="1" x14ac:dyDescent="0.25">
      <c r="A2003" s="5" t="s">
        <v>7375</v>
      </c>
      <c r="B2003" s="6" t="s">
        <v>6113</v>
      </c>
      <c r="C2003" s="6" t="s">
        <v>7223</v>
      </c>
      <c r="D2003" s="6" t="s">
        <v>7223</v>
      </c>
      <c r="E2003" s="6" t="s">
        <v>7376</v>
      </c>
      <c r="F2003" s="6" t="s">
        <v>7377</v>
      </c>
      <c r="G2003" s="9" t="s">
        <v>7378</v>
      </c>
      <c r="H2003" s="9" t="s">
        <v>18</v>
      </c>
      <c r="I2003" s="16" t="str">
        <f>VLOOKUP(F2003,[1]完整分类结果!$E:$G,3,0)</f>
        <v>金属制品业</v>
      </c>
      <c r="J2003" s="16">
        <f>VLOOKUP(I2003,[2]行业排放因子!$A:$B,2,0)</f>
        <v>27.1093085906552</v>
      </c>
      <c r="K2003" s="9" t="s">
        <v>756</v>
      </c>
    </row>
    <row r="2004" spans="1:11" ht="12.5" customHeight="1" x14ac:dyDescent="0.25">
      <c r="A2004" s="5" t="s">
        <v>7379</v>
      </c>
      <c r="B2004" s="6" t="s">
        <v>6113</v>
      </c>
      <c r="C2004" s="6" t="s">
        <v>7223</v>
      </c>
      <c r="D2004" s="6" t="s">
        <v>7223</v>
      </c>
      <c r="E2004" s="6" t="s">
        <v>7380</v>
      </c>
      <c r="F2004" s="6" t="s">
        <v>7381</v>
      </c>
      <c r="G2004" s="9" t="s">
        <v>7382</v>
      </c>
      <c r="H2004" s="9" t="s">
        <v>18</v>
      </c>
      <c r="I2004" s="16" t="str">
        <f>VLOOKUP(F2004,[1]完整分类结果!$E:$G,3,0)</f>
        <v>金属制品业</v>
      </c>
      <c r="J2004" s="16">
        <f>VLOOKUP(I2004,[2]行业排放因子!$A:$B,2,0)</f>
        <v>27.1093085906552</v>
      </c>
      <c r="K2004" s="9" t="s">
        <v>756</v>
      </c>
    </row>
    <row r="2005" spans="1:11" ht="12.5" customHeight="1" x14ac:dyDescent="0.25">
      <c r="A2005" s="5" t="s">
        <v>7383</v>
      </c>
      <c r="B2005" s="6" t="s">
        <v>6113</v>
      </c>
      <c r="C2005" s="6" t="s">
        <v>7223</v>
      </c>
      <c r="D2005" s="6" t="s">
        <v>7223</v>
      </c>
      <c r="E2005" s="6" t="s">
        <v>7384</v>
      </c>
      <c r="F2005" s="6" t="s">
        <v>7385</v>
      </c>
      <c r="G2005" s="9" t="s">
        <v>7386</v>
      </c>
      <c r="H2005" s="9" t="s">
        <v>18</v>
      </c>
      <c r="I2005" s="16" t="str">
        <f>VLOOKUP(F2005,[1]完整分类结果!$E:$G,3,0)</f>
        <v>金属制品业</v>
      </c>
      <c r="J2005" s="16">
        <f>VLOOKUP(I2005,[2]行业排放因子!$A:$B,2,0)</f>
        <v>27.1093085906552</v>
      </c>
      <c r="K2005" s="9" t="s">
        <v>756</v>
      </c>
    </row>
    <row r="2006" spans="1:11" ht="12.5" customHeight="1" x14ac:dyDescent="0.25">
      <c r="A2006" s="5" t="s">
        <v>7387</v>
      </c>
      <c r="B2006" s="6" t="s">
        <v>6113</v>
      </c>
      <c r="C2006" s="6" t="s">
        <v>7223</v>
      </c>
      <c r="D2006" s="6" t="s">
        <v>7223</v>
      </c>
      <c r="E2006" s="6" t="s">
        <v>7388</v>
      </c>
      <c r="F2006" s="6" t="s">
        <v>7389</v>
      </c>
      <c r="G2006" s="9" t="s">
        <v>7390</v>
      </c>
      <c r="H2006" s="9" t="s">
        <v>18</v>
      </c>
      <c r="I2006" s="16" t="str">
        <f>VLOOKUP(F2006,[1]完整分类结果!$E:$G,3,0)</f>
        <v>金属制品业</v>
      </c>
      <c r="J2006" s="16">
        <f>VLOOKUP(I2006,[2]行业排放因子!$A:$B,2,0)</f>
        <v>27.1093085906552</v>
      </c>
      <c r="K2006" s="9" t="s">
        <v>756</v>
      </c>
    </row>
    <row r="2007" spans="1:11" ht="12.5" customHeight="1" x14ac:dyDescent="0.25">
      <c r="A2007" s="5" t="s">
        <v>7391</v>
      </c>
      <c r="B2007" s="6" t="s">
        <v>6113</v>
      </c>
      <c r="C2007" s="6" t="s">
        <v>7223</v>
      </c>
      <c r="D2007" s="6" t="s">
        <v>7223</v>
      </c>
      <c r="E2007" s="6" t="s">
        <v>7392</v>
      </c>
      <c r="F2007" s="6" t="s">
        <v>7393</v>
      </c>
      <c r="G2007" s="9" t="s">
        <v>7394</v>
      </c>
      <c r="H2007" s="9" t="s">
        <v>18</v>
      </c>
      <c r="I2007" s="16" t="str">
        <f>VLOOKUP(F2007,[1]完整分类结果!$E:$G,3,0)</f>
        <v>金属制品业</v>
      </c>
      <c r="J2007" s="16">
        <f>VLOOKUP(I2007,[2]行业排放因子!$A:$B,2,0)</f>
        <v>27.1093085906552</v>
      </c>
      <c r="K2007" s="9" t="s">
        <v>756</v>
      </c>
    </row>
    <row r="2008" spans="1:11" ht="12.5" customHeight="1" x14ac:dyDescent="0.25">
      <c r="A2008" s="5" t="s">
        <v>7395</v>
      </c>
      <c r="B2008" s="6" t="s">
        <v>6113</v>
      </c>
      <c r="C2008" s="6" t="s">
        <v>7223</v>
      </c>
      <c r="D2008" s="6" t="s">
        <v>7223</v>
      </c>
      <c r="E2008" s="6" t="s">
        <v>7396</v>
      </c>
      <c r="F2008" s="6" t="s">
        <v>7397</v>
      </c>
      <c r="G2008" s="9" t="s">
        <v>7398</v>
      </c>
      <c r="H2008" s="9" t="s">
        <v>18</v>
      </c>
      <c r="I2008" s="16" t="str">
        <f>VLOOKUP(F2008,[1]完整分类结果!$E:$G,3,0)</f>
        <v>金属制品业</v>
      </c>
      <c r="J2008" s="16">
        <f>VLOOKUP(I2008,[2]行业排放因子!$A:$B,2,0)</f>
        <v>27.1093085906552</v>
      </c>
      <c r="K2008" s="9" t="s">
        <v>756</v>
      </c>
    </row>
    <row r="2009" spans="1:11" ht="12.5" customHeight="1" x14ac:dyDescent="0.25">
      <c r="A2009" s="5" t="s">
        <v>7399</v>
      </c>
      <c r="B2009" s="6" t="s">
        <v>6113</v>
      </c>
      <c r="C2009" s="6" t="s">
        <v>7223</v>
      </c>
      <c r="D2009" s="6" t="s">
        <v>7223</v>
      </c>
      <c r="E2009" s="6" t="s">
        <v>7400</v>
      </c>
      <c r="F2009" s="6" t="s">
        <v>7401</v>
      </c>
      <c r="G2009" s="9" t="s">
        <v>7402</v>
      </c>
      <c r="H2009" s="9" t="s">
        <v>18</v>
      </c>
      <c r="I2009" s="16" t="str">
        <f>VLOOKUP(F2009,[1]完整分类结果!$E:$G,3,0)</f>
        <v>金属制品业</v>
      </c>
      <c r="J2009" s="16">
        <f>VLOOKUP(I2009,[2]行业排放因子!$A:$B,2,0)</f>
        <v>27.1093085906552</v>
      </c>
      <c r="K2009" s="9" t="s">
        <v>756</v>
      </c>
    </row>
    <row r="2010" spans="1:11" ht="12.5" customHeight="1" x14ac:dyDescent="0.25">
      <c r="A2010" s="5" t="s">
        <v>7403</v>
      </c>
      <c r="B2010" s="6" t="s">
        <v>6113</v>
      </c>
      <c r="C2010" s="6" t="s">
        <v>7223</v>
      </c>
      <c r="D2010" s="6" t="s">
        <v>7223</v>
      </c>
      <c r="E2010" s="6" t="s">
        <v>7404</v>
      </c>
      <c r="F2010" s="6" t="s">
        <v>7405</v>
      </c>
      <c r="G2010" s="9" t="s">
        <v>7406</v>
      </c>
      <c r="H2010" s="9" t="s">
        <v>18</v>
      </c>
      <c r="I2010" s="16" t="str">
        <f>VLOOKUP(F2010,[1]完整分类结果!$E:$G,3,0)</f>
        <v>金属制品业</v>
      </c>
      <c r="J2010" s="16">
        <f>VLOOKUP(I2010,[2]行业排放因子!$A:$B,2,0)</f>
        <v>27.1093085906552</v>
      </c>
      <c r="K2010" s="9" t="s">
        <v>756</v>
      </c>
    </row>
    <row r="2011" spans="1:11" ht="12.5" customHeight="1" x14ac:dyDescent="0.25">
      <c r="A2011" s="5" t="s">
        <v>7407</v>
      </c>
      <c r="B2011" s="6" t="s">
        <v>6113</v>
      </c>
      <c r="C2011" s="6" t="s">
        <v>7223</v>
      </c>
      <c r="D2011" s="6" t="s">
        <v>7223</v>
      </c>
      <c r="E2011" s="6" t="s">
        <v>7408</v>
      </c>
      <c r="F2011" s="6" t="s">
        <v>7409</v>
      </c>
      <c r="G2011" s="9"/>
      <c r="H2011" s="9" t="s">
        <v>18</v>
      </c>
      <c r="I2011" s="16" t="str">
        <f>VLOOKUP(F2011,[1]完整分类结果!$E:$G,3,0)</f>
        <v>金属制品业</v>
      </c>
      <c r="J2011" s="16">
        <f>VLOOKUP(I2011,[2]行业排放因子!$A:$B,2,0)</f>
        <v>27.1093085906552</v>
      </c>
      <c r="K2011" s="9" t="s">
        <v>756</v>
      </c>
    </row>
    <row r="2012" spans="1:11" ht="12.5" customHeight="1" x14ac:dyDescent="0.25">
      <c r="A2012" s="5" t="s">
        <v>7410</v>
      </c>
      <c r="B2012" s="6" t="s">
        <v>6113</v>
      </c>
      <c r="C2012" s="6" t="s">
        <v>7223</v>
      </c>
      <c r="D2012" s="6" t="s">
        <v>7223</v>
      </c>
      <c r="E2012" s="6" t="s">
        <v>7411</v>
      </c>
      <c r="F2012" s="6" t="s">
        <v>7412</v>
      </c>
      <c r="G2012" s="9"/>
      <c r="H2012" s="9" t="s">
        <v>18</v>
      </c>
      <c r="I2012" s="16" t="str">
        <f>VLOOKUP(F2012,[1]完整分类结果!$E:$G,3,0)</f>
        <v>金属制品业</v>
      </c>
      <c r="J2012" s="16">
        <f>VLOOKUP(I2012,[2]行业排放因子!$A:$B,2,0)</f>
        <v>27.1093085906552</v>
      </c>
      <c r="K2012" s="9" t="s">
        <v>756</v>
      </c>
    </row>
    <row r="2013" spans="1:11" ht="12.5" customHeight="1" x14ac:dyDescent="0.25">
      <c r="A2013" s="5" t="s">
        <v>7413</v>
      </c>
      <c r="B2013" s="6" t="s">
        <v>6113</v>
      </c>
      <c r="C2013" s="6" t="s">
        <v>7223</v>
      </c>
      <c r="D2013" s="6" t="s">
        <v>7223</v>
      </c>
      <c r="E2013" s="6" t="s">
        <v>7414</v>
      </c>
      <c r="F2013" s="6" t="s">
        <v>7415</v>
      </c>
      <c r="G2013" s="9" t="s">
        <v>7416</v>
      </c>
      <c r="H2013" s="9" t="s">
        <v>18</v>
      </c>
      <c r="I2013" s="16" t="str">
        <f>VLOOKUP(F2013,[1]完整分类结果!$E:$G,3,0)</f>
        <v>金属制品业</v>
      </c>
      <c r="J2013" s="16">
        <f>VLOOKUP(I2013,[2]行业排放因子!$A:$B,2,0)</f>
        <v>27.1093085906552</v>
      </c>
      <c r="K2013" s="9" t="s">
        <v>756</v>
      </c>
    </row>
    <row r="2014" spans="1:11" ht="12.5" customHeight="1" x14ac:dyDescent="0.25">
      <c r="A2014" s="5" t="s">
        <v>7417</v>
      </c>
      <c r="B2014" s="6" t="s">
        <v>6113</v>
      </c>
      <c r="C2014" s="6" t="s">
        <v>7223</v>
      </c>
      <c r="D2014" s="6" t="s">
        <v>7223</v>
      </c>
      <c r="E2014" s="6" t="s">
        <v>7418</v>
      </c>
      <c r="F2014" s="6" t="s">
        <v>7419</v>
      </c>
      <c r="G2014" s="9" t="s">
        <v>7420</v>
      </c>
      <c r="H2014" s="9" t="s">
        <v>18</v>
      </c>
      <c r="I2014" s="16" t="str">
        <f>VLOOKUP(F2014,[1]完整分类结果!$E:$G,3,0)</f>
        <v>金属制品业</v>
      </c>
      <c r="J2014" s="16">
        <f>VLOOKUP(I2014,[2]行业排放因子!$A:$B,2,0)</f>
        <v>27.1093085906552</v>
      </c>
      <c r="K2014" s="9" t="s">
        <v>756</v>
      </c>
    </row>
    <row r="2015" spans="1:11" ht="12.5" customHeight="1" x14ac:dyDescent="0.25">
      <c r="A2015" s="5" t="s">
        <v>7421</v>
      </c>
      <c r="B2015" s="6" t="s">
        <v>6113</v>
      </c>
      <c r="C2015" s="6" t="s">
        <v>7223</v>
      </c>
      <c r="D2015" s="6" t="s">
        <v>7223</v>
      </c>
      <c r="E2015" s="6" t="s">
        <v>7422</v>
      </c>
      <c r="F2015" s="6" t="s">
        <v>7423</v>
      </c>
      <c r="G2015" s="9" t="s">
        <v>7424</v>
      </c>
      <c r="H2015" s="9" t="s">
        <v>18</v>
      </c>
      <c r="I2015" s="16" t="str">
        <f>VLOOKUP(F2015,[1]完整分类结果!$E:$G,3,0)</f>
        <v>金属制品业</v>
      </c>
      <c r="J2015" s="16">
        <f>VLOOKUP(I2015,[2]行业排放因子!$A:$B,2,0)</f>
        <v>27.1093085906552</v>
      </c>
      <c r="K2015" s="9" t="s">
        <v>756</v>
      </c>
    </row>
    <row r="2016" spans="1:11" ht="12.5" customHeight="1" x14ac:dyDescent="0.25">
      <c r="A2016" s="5" t="s">
        <v>7425</v>
      </c>
      <c r="B2016" s="6" t="s">
        <v>6113</v>
      </c>
      <c r="C2016" s="6" t="s">
        <v>7223</v>
      </c>
      <c r="D2016" s="6" t="s">
        <v>7223</v>
      </c>
      <c r="E2016" s="6" t="s">
        <v>7426</v>
      </c>
      <c r="F2016" s="6" t="s">
        <v>7427</v>
      </c>
      <c r="G2016" s="9"/>
      <c r="H2016" s="9" t="s">
        <v>18</v>
      </c>
      <c r="I2016" s="16" t="str">
        <f>VLOOKUP(F2016,[1]完整分类结果!$E:$G,3,0)</f>
        <v>金属制品业</v>
      </c>
      <c r="J2016" s="16">
        <f>VLOOKUP(I2016,[2]行业排放因子!$A:$B,2,0)</f>
        <v>27.1093085906552</v>
      </c>
      <c r="K2016" s="9" t="s">
        <v>756</v>
      </c>
    </row>
    <row r="2017" spans="1:11" ht="12.5" customHeight="1" x14ac:dyDescent="0.25">
      <c r="A2017" s="5" t="s">
        <v>7428</v>
      </c>
      <c r="B2017" s="6" t="s">
        <v>6113</v>
      </c>
      <c r="C2017" s="6" t="s">
        <v>7223</v>
      </c>
      <c r="D2017" s="6" t="s">
        <v>7223</v>
      </c>
      <c r="E2017" s="6" t="s">
        <v>7429</v>
      </c>
      <c r="F2017" s="6" t="s">
        <v>7430</v>
      </c>
      <c r="G2017" s="9"/>
      <c r="H2017" s="9" t="s">
        <v>18</v>
      </c>
      <c r="I2017" s="16" t="str">
        <f>VLOOKUP(F2017,[1]完整分类结果!$E:$G,3,0)</f>
        <v>金属制品业</v>
      </c>
      <c r="J2017" s="16">
        <f>VLOOKUP(I2017,[2]行业排放因子!$A:$B,2,0)</f>
        <v>27.1093085906552</v>
      </c>
      <c r="K2017" s="9" t="s">
        <v>756</v>
      </c>
    </row>
    <row r="2018" spans="1:11" ht="12.5" customHeight="1" x14ac:dyDescent="0.25">
      <c r="A2018" s="5" t="s">
        <v>7431</v>
      </c>
      <c r="B2018" s="6" t="s">
        <v>6113</v>
      </c>
      <c r="C2018" s="6" t="s">
        <v>7223</v>
      </c>
      <c r="D2018" s="6" t="s">
        <v>7223</v>
      </c>
      <c r="E2018" s="6" t="s">
        <v>7432</v>
      </c>
      <c r="F2018" s="6" t="s">
        <v>7433</v>
      </c>
      <c r="G2018" s="9"/>
      <c r="H2018" s="9" t="s">
        <v>18</v>
      </c>
      <c r="I2018" s="16" t="str">
        <f>VLOOKUP(F2018,[1]完整分类结果!$E:$G,3,0)</f>
        <v>金属制品业</v>
      </c>
      <c r="J2018" s="16">
        <f>VLOOKUP(I2018,[2]行业排放因子!$A:$B,2,0)</f>
        <v>27.1093085906552</v>
      </c>
      <c r="K2018" s="9" t="s">
        <v>756</v>
      </c>
    </row>
    <row r="2019" spans="1:11" ht="12.5" customHeight="1" x14ac:dyDescent="0.25">
      <c r="A2019" s="5" t="s">
        <v>7434</v>
      </c>
      <c r="B2019" s="6" t="s">
        <v>6113</v>
      </c>
      <c r="C2019" s="6" t="s">
        <v>7223</v>
      </c>
      <c r="D2019" s="6" t="s">
        <v>7223</v>
      </c>
      <c r="E2019" s="6" t="s">
        <v>7435</v>
      </c>
      <c r="F2019" s="6" t="s">
        <v>7436</v>
      </c>
      <c r="G2019" s="9" t="s">
        <v>7437</v>
      </c>
      <c r="H2019" s="9" t="s">
        <v>18</v>
      </c>
      <c r="I2019" s="16" t="str">
        <f>VLOOKUP(F2019,[1]完整分类结果!$E:$G,3,0)</f>
        <v>黑色金属冶炼及压延加工业</v>
      </c>
      <c r="J2019" s="16">
        <f>VLOOKUP(I2019,[2]行业排放因子!$A:$B,2,0)</f>
        <v>1891.5323606152201</v>
      </c>
      <c r="K2019" s="9" t="s">
        <v>756</v>
      </c>
    </row>
    <row r="2020" spans="1:11" ht="12.5" customHeight="1" x14ac:dyDescent="0.25">
      <c r="A2020" s="5" t="s">
        <v>7438</v>
      </c>
      <c r="B2020" s="6" t="s">
        <v>6113</v>
      </c>
      <c r="C2020" s="6" t="s">
        <v>7223</v>
      </c>
      <c r="D2020" s="6" t="s">
        <v>7223</v>
      </c>
      <c r="E2020" s="6" t="s">
        <v>7439</v>
      </c>
      <c r="F2020" s="6" t="s">
        <v>7440</v>
      </c>
      <c r="G2020" s="9" t="s">
        <v>7441</v>
      </c>
      <c r="H2020" s="9" t="s">
        <v>18</v>
      </c>
      <c r="I2020" s="16" t="str">
        <f>VLOOKUP(F2020,[1]完整分类结果!$E:$G,3,0)</f>
        <v>金属制品业</v>
      </c>
      <c r="J2020" s="16">
        <f>VLOOKUP(I2020,[2]行业排放因子!$A:$B,2,0)</f>
        <v>27.1093085906552</v>
      </c>
      <c r="K2020" s="9" t="s">
        <v>756</v>
      </c>
    </row>
    <row r="2021" spans="1:11" ht="12.5" customHeight="1" x14ac:dyDescent="0.25">
      <c r="A2021" s="5" t="s">
        <v>7442</v>
      </c>
      <c r="B2021" s="6" t="s">
        <v>6113</v>
      </c>
      <c r="C2021" s="6" t="s">
        <v>7223</v>
      </c>
      <c r="D2021" s="6" t="s">
        <v>7223</v>
      </c>
      <c r="E2021" s="6" t="s">
        <v>7443</v>
      </c>
      <c r="F2021" s="6" t="s">
        <v>7444</v>
      </c>
      <c r="G2021" s="9" t="s">
        <v>7445</v>
      </c>
      <c r="H2021" s="9" t="s">
        <v>18</v>
      </c>
      <c r="I2021" s="16" t="str">
        <f>VLOOKUP(F2021,[1]完整分类结果!$E:$G,3,0)</f>
        <v>金属制品业</v>
      </c>
      <c r="J2021" s="16">
        <f>VLOOKUP(I2021,[2]行业排放因子!$A:$B,2,0)</f>
        <v>27.1093085906552</v>
      </c>
      <c r="K2021" s="9" t="s">
        <v>756</v>
      </c>
    </row>
    <row r="2022" spans="1:11" ht="12.5" customHeight="1" x14ac:dyDescent="0.25">
      <c r="A2022" s="5" t="s">
        <v>7446</v>
      </c>
      <c r="B2022" s="6" t="s">
        <v>6113</v>
      </c>
      <c r="C2022" s="6" t="s">
        <v>7223</v>
      </c>
      <c r="D2022" s="6" t="s">
        <v>7223</v>
      </c>
      <c r="E2022" s="6" t="s">
        <v>7447</v>
      </c>
      <c r="F2022" s="6" t="s">
        <v>7448</v>
      </c>
      <c r="G2022" s="9" t="s">
        <v>7449</v>
      </c>
      <c r="H2022" s="9" t="s">
        <v>18</v>
      </c>
      <c r="I2022" s="16" t="str">
        <f>VLOOKUP(F2022,[1]完整分类结果!$E:$G,3,0)</f>
        <v>金属制品业</v>
      </c>
      <c r="J2022" s="16">
        <f>VLOOKUP(I2022,[2]行业排放因子!$A:$B,2,0)</f>
        <v>27.1093085906552</v>
      </c>
      <c r="K2022" s="9" t="s">
        <v>756</v>
      </c>
    </row>
    <row r="2023" spans="1:11" ht="12.5" customHeight="1" x14ac:dyDescent="0.25">
      <c r="A2023" s="5" t="s">
        <v>7450</v>
      </c>
      <c r="B2023" s="6" t="s">
        <v>6113</v>
      </c>
      <c r="C2023" s="6" t="s">
        <v>7223</v>
      </c>
      <c r="D2023" s="6" t="s">
        <v>7223</v>
      </c>
      <c r="E2023" s="6" t="s">
        <v>7451</v>
      </c>
      <c r="F2023" s="6" t="s">
        <v>7452</v>
      </c>
      <c r="G2023" s="9"/>
      <c r="H2023" s="9" t="s">
        <v>18</v>
      </c>
      <c r="I2023" s="16" t="str">
        <f>VLOOKUP(F2023,[1]完整分类结果!$E:$G,3,0)</f>
        <v>金属制品业</v>
      </c>
      <c r="J2023" s="16">
        <f>VLOOKUP(I2023,[2]行业排放因子!$A:$B,2,0)</f>
        <v>27.1093085906552</v>
      </c>
      <c r="K2023" s="9" t="s">
        <v>756</v>
      </c>
    </row>
    <row r="2024" spans="1:11" ht="12.5" customHeight="1" x14ac:dyDescent="0.25">
      <c r="A2024" s="5" t="s">
        <v>7453</v>
      </c>
      <c r="B2024" s="6" t="s">
        <v>6113</v>
      </c>
      <c r="C2024" s="6" t="s">
        <v>7223</v>
      </c>
      <c r="D2024" s="6" t="s">
        <v>7223</v>
      </c>
      <c r="E2024" s="6" t="s">
        <v>7454</v>
      </c>
      <c r="F2024" s="6" t="s">
        <v>7455</v>
      </c>
      <c r="G2024" s="9" t="s">
        <v>7456</v>
      </c>
      <c r="H2024" s="9" t="s">
        <v>18</v>
      </c>
      <c r="I2024" s="16" t="str">
        <f>VLOOKUP(F2024,[1]完整分类结果!$E:$G,3,0)</f>
        <v>黑色金属冶炼及压延加工业</v>
      </c>
      <c r="J2024" s="16">
        <f>VLOOKUP(I2024,[2]行业排放因子!$A:$B,2,0)</f>
        <v>1891.5323606152201</v>
      </c>
      <c r="K2024" s="9" t="s">
        <v>756</v>
      </c>
    </row>
    <row r="2025" spans="1:11" ht="12.5" customHeight="1" x14ac:dyDescent="0.25">
      <c r="A2025" s="5" t="s">
        <v>7457</v>
      </c>
      <c r="B2025" s="6" t="s">
        <v>6113</v>
      </c>
      <c r="C2025" s="6" t="s">
        <v>7223</v>
      </c>
      <c r="D2025" s="6" t="s">
        <v>7223</v>
      </c>
      <c r="E2025" s="6" t="s">
        <v>7458</v>
      </c>
      <c r="F2025" s="6" t="s">
        <v>7459</v>
      </c>
      <c r="G2025" s="9" t="s">
        <v>7460</v>
      </c>
      <c r="H2025" s="9" t="s">
        <v>18</v>
      </c>
      <c r="I2025" s="16" t="str">
        <f>VLOOKUP(F2025,[1]完整分类结果!$E:$G,3,0)</f>
        <v>金属制品业</v>
      </c>
      <c r="J2025" s="16">
        <f>VLOOKUP(I2025,[2]行业排放因子!$A:$B,2,0)</f>
        <v>27.1093085906552</v>
      </c>
      <c r="K2025" s="9" t="s">
        <v>756</v>
      </c>
    </row>
    <row r="2026" spans="1:11" ht="12.5" customHeight="1" x14ac:dyDescent="0.25">
      <c r="A2026" s="5" t="s">
        <v>7461</v>
      </c>
      <c r="B2026" s="6" t="s">
        <v>6113</v>
      </c>
      <c r="C2026" s="6" t="s">
        <v>7223</v>
      </c>
      <c r="D2026" s="6" t="s">
        <v>7223</v>
      </c>
      <c r="E2026" s="6" t="s">
        <v>7462</v>
      </c>
      <c r="F2026" s="6" t="s">
        <v>7463</v>
      </c>
      <c r="G2026" s="9" t="s">
        <v>7464</v>
      </c>
      <c r="H2026" s="9" t="s">
        <v>18</v>
      </c>
      <c r="I2026" s="16" t="str">
        <f>VLOOKUP(F2026,[1]完整分类结果!$E:$G,3,0)</f>
        <v>金属制品业</v>
      </c>
      <c r="J2026" s="16">
        <f>VLOOKUP(I2026,[2]行业排放因子!$A:$B,2,0)</f>
        <v>27.1093085906552</v>
      </c>
      <c r="K2026" s="9" t="s">
        <v>756</v>
      </c>
    </row>
    <row r="2027" spans="1:11" ht="12.5" customHeight="1" x14ac:dyDescent="0.25">
      <c r="A2027" s="5" t="s">
        <v>7465</v>
      </c>
      <c r="B2027" s="6" t="s">
        <v>6113</v>
      </c>
      <c r="C2027" s="6" t="s">
        <v>7223</v>
      </c>
      <c r="D2027" s="6" t="s">
        <v>7223</v>
      </c>
      <c r="E2027" s="6" t="s">
        <v>7466</v>
      </c>
      <c r="F2027" s="6" t="s">
        <v>7467</v>
      </c>
      <c r="G2027" s="9" t="s">
        <v>7468</v>
      </c>
      <c r="H2027" s="9" t="s">
        <v>18</v>
      </c>
      <c r="I2027" s="16" t="str">
        <f>VLOOKUP(F2027,[1]完整分类结果!$E:$G,3,0)</f>
        <v>金属制品业</v>
      </c>
      <c r="J2027" s="16">
        <f>VLOOKUP(I2027,[2]行业排放因子!$A:$B,2,0)</f>
        <v>27.1093085906552</v>
      </c>
      <c r="K2027" s="9" t="s">
        <v>756</v>
      </c>
    </row>
    <row r="2028" spans="1:11" ht="12.5" customHeight="1" x14ac:dyDescent="0.25">
      <c r="A2028" s="5" t="s">
        <v>7469</v>
      </c>
      <c r="B2028" s="6" t="s">
        <v>6113</v>
      </c>
      <c r="C2028" s="6" t="s">
        <v>7223</v>
      </c>
      <c r="D2028" s="6" t="s">
        <v>7223</v>
      </c>
      <c r="E2028" s="6" t="s">
        <v>7470</v>
      </c>
      <c r="F2028" s="6" t="s">
        <v>7471</v>
      </c>
      <c r="G2028" s="9" t="s">
        <v>7472</v>
      </c>
      <c r="H2028" s="9" t="s">
        <v>18</v>
      </c>
      <c r="I2028" s="16" t="str">
        <f>VLOOKUP(F2028,[1]完整分类结果!$E:$G,3,0)</f>
        <v>金属制品业</v>
      </c>
      <c r="J2028" s="16">
        <f>VLOOKUP(I2028,[2]行业排放因子!$A:$B,2,0)</f>
        <v>27.1093085906552</v>
      </c>
      <c r="K2028" s="9" t="s">
        <v>756</v>
      </c>
    </row>
    <row r="2029" spans="1:11" ht="12.5" customHeight="1" x14ac:dyDescent="0.25">
      <c r="A2029" s="5" t="s">
        <v>7473</v>
      </c>
      <c r="B2029" s="6" t="s">
        <v>6113</v>
      </c>
      <c r="C2029" s="6" t="s">
        <v>7223</v>
      </c>
      <c r="D2029" s="6" t="s">
        <v>7223</v>
      </c>
      <c r="E2029" s="6" t="s">
        <v>7474</v>
      </c>
      <c r="F2029" s="6" t="s">
        <v>7475</v>
      </c>
      <c r="G2029" s="9"/>
      <c r="H2029" s="9" t="s">
        <v>18</v>
      </c>
      <c r="I2029" s="16" t="str">
        <f>VLOOKUP(F2029,[1]完整分类结果!$E:$G,3,0)</f>
        <v>金属制品业</v>
      </c>
      <c r="J2029" s="16">
        <f>VLOOKUP(I2029,[2]行业排放因子!$A:$B,2,0)</f>
        <v>27.1093085906552</v>
      </c>
      <c r="K2029" s="9" t="s">
        <v>756</v>
      </c>
    </row>
    <row r="2030" spans="1:11" ht="12.5" customHeight="1" x14ac:dyDescent="0.25">
      <c r="A2030" s="5" t="s">
        <v>7476</v>
      </c>
      <c r="B2030" s="6" t="s">
        <v>6113</v>
      </c>
      <c r="C2030" s="6" t="s">
        <v>7223</v>
      </c>
      <c r="D2030" s="6" t="s">
        <v>7223</v>
      </c>
      <c r="E2030" s="6" t="s">
        <v>7477</v>
      </c>
      <c r="F2030" s="6" t="s">
        <v>7478</v>
      </c>
      <c r="G2030" s="9" t="s">
        <v>7479</v>
      </c>
      <c r="H2030" s="9" t="s">
        <v>18</v>
      </c>
      <c r="I2030" s="16" t="str">
        <f>VLOOKUP(F2030,[1]完整分类结果!$E:$G,3,0)</f>
        <v>黑色金属冶炼及压延加工业</v>
      </c>
      <c r="J2030" s="16">
        <f>VLOOKUP(I2030,[2]行业排放因子!$A:$B,2,0)</f>
        <v>1891.5323606152201</v>
      </c>
      <c r="K2030" s="9" t="s">
        <v>756</v>
      </c>
    </row>
    <row r="2031" spans="1:11" ht="12.5" customHeight="1" x14ac:dyDescent="0.25">
      <c r="A2031" s="5" t="s">
        <v>7480</v>
      </c>
      <c r="B2031" s="6" t="s">
        <v>6113</v>
      </c>
      <c r="C2031" s="6" t="s">
        <v>7223</v>
      </c>
      <c r="D2031" s="6" t="s">
        <v>7223</v>
      </c>
      <c r="E2031" s="6" t="s">
        <v>7481</v>
      </c>
      <c r="F2031" s="6" t="s">
        <v>7482</v>
      </c>
      <c r="G2031" s="9" t="s">
        <v>7483</v>
      </c>
      <c r="H2031" s="9" t="s">
        <v>18</v>
      </c>
      <c r="I2031" s="16" t="str">
        <f>VLOOKUP(F2031,[1]完整分类结果!$E:$G,3,0)</f>
        <v>金属制品业</v>
      </c>
      <c r="J2031" s="16">
        <f>VLOOKUP(I2031,[2]行业排放因子!$A:$B,2,0)</f>
        <v>27.1093085906552</v>
      </c>
      <c r="K2031" s="9" t="s">
        <v>756</v>
      </c>
    </row>
    <row r="2032" spans="1:11" ht="12.5" customHeight="1" x14ac:dyDescent="0.25">
      <c r="A2032" s="5" t="s">
        <v>7484</v>
      </c>
      <c r="B2032" s="6" t="s">
        <v>6113</v>
      </c>
      <c r="C2032" s="6" t="s">
        <v>7223</v>
      </c>
      <c r="D2032" s="6" t="s">
        <v>7223</v>
      </c>
      <c r="E2032" s="6" t="s">
        <v>7485</v>
      </c>
      <c r="F2032" s="6" t="s">
        <v>7486</v>
      </c>
      <c r="G2032" s="9" t="s">
        <v>7487</v>
      </c>
      <c r="H2032" s="9" t="s">
        <v>18</v>
      </c>
      <c r="I2032" s="16" t="str">
        <f>VLOOKUP(F2032,[1]完整分类结果!$E:$G,3,0)</f>
        <v>金属制品业</v>
      </c>
      <c r="J2032" s="16">
        <f>VLOOKUP(I2032,[2]行业排放因子!$A:$B,2,0)</f>
        <v>27.1093085906552</v>
      </c>
      <c r="K2032" s="9" t="s">
        <v>756</v>
      </c>
    </row>
    <row r="2033" spans="1:11" ht="12.5" customHeight="1" x14ac:dyDescent="0.25">
      <c r="A2033" s="5" t="s">
        <v>7488</v>
      </c>
      <c r="B2033" s="6" t="s">
        <v>6113</v>
      </c>
      <c r="C2033" s="6" t="s">
        <v>7223</v>
      </c>
      <c r="D2033" s="6" t="s">
        <v>7223</v>
      </c>
      <c r="E2033" s="6" t="s">
        <v>7489</v>
      </c>
      <c r="F2033" s="6" t="s">
        <v>7490</v>
      </c>
      <c r="G2033" s="9" t="s">
        <v>7491</v>
      </c>
      <c r="H2033" s="9" t="s">
        <v>18</v>
      </c>
      <c r="I2033" s="16" t="str">
        <f>VLOOKUP(F2033,[1]完整分类结果!$E:$G,3,0)</f>
        <v>金属制品业</v>
      </c>
      <c r="J2033" s="16">
        <f>VLOOKUP(I2033,[2]行业排放因子!$A:$B,2,0)</f>
        <v>27.1093085906552</v>
      </c>
      <c r="K2033" s="9" t="s">
        <v>756</v>
      </c>
    </row>
    <row r="2034" spans="1:11" ht="12.5" customHeight="1" x14ac:dyDescent="0.25">
      <c r="A2034" s="5" t="s">
        <v>7492</v>
      </c>
      <c r="B2034" s="6" t="s">
        <v>6113</v>
      </c>
      <c r="C2034" s="6" t="s">
        <v>7223</v>
      </c>
      <c r="D2034" s="6" t="s">
        <v>7223</v>
      </c>
      <c r="E2034" s="6" t="s">
        <v>7493</v>
      </c>
      <c r="F2034" s="6" t="s">
        <v>7494</v>
      </c>
      <c r="G2034" s="9" t="s">
        <v>7495</v>
      </c>
      <c r="H2034" s="9" t="s">
        <v>18</v>
      </c>
      <c r="I2034" s="16" t="str">
        <f>VLOOKUP(F2034,[1]完整分类结果!$E:$G,3,0)</f>
        <v>金属制品业</v>
      </c>
      <c r="J2034" s="16">
        <f>VLOOKUP(I2034,[2]行业排放因子!$A:$B,2,0)</f>
        <v>27.1093085906552</v>
      </c>
      <c r="K2034" s="9" t="s">
        <v>756</v>
      </c>
    </row>
    <row r="2035" spans="1:11" ht="12.5" customHeight="1" x14ac:dyDescent="0.25">
      <c r="A2035" s="5" t="s">
        <v>7496</v>
      </c>
      <c r="B2035" s="6" t="s">
        <v>6113</v>
      </c>
      <c r="C2035" s="6" t="s">
        <v>7223</v>
      </c>
      <c r="D2035" s="6" t="s">
        <v>7223</v>
      </c>
      <c r="E2035" s="6" t="s">
        <v>7497</v>
      </c>
      <c r="F2035" s="6" t="s">
        <v>7498</v>
      </c>
      <c r="G2035" s="9" t="s">
        <v>7499</v>
      </c>
      <c r="H2035" s="9" t="s">
        <v>18</v>
      </c>
      <c r="I2035" s="16" t="str">
        <f>VLOOKUP(F2035,[1]完整分类结果!$E:$G,3,0)</f>
        <v>黑色金属冶炼及压延加工业</v>
      </c>
      <c r="J2035" s="16">
        <f>VLOOKUP(I2035,[2]行业排放因子!$A:$B,2,0)</f>
        <v>1891.5323606152201</v>
      </c>
      <c r="K2035" s="9" t="s">
        <v>756</v>
      </c>
    </row>
    <row r="2036" spans="1:11" ht="12.5" customHeight="1" x14ac:dyDescent="0.25">
      <c r="A2036" s="5" t="s">
        <v>7500</v>
      </c>
      <c r="B2036" s="6" t="s">
        <v>6113</v>
      </c>
      <c r="C2036" s="6" t="s">
        <v>7223</v>
      </c>
      <c r="D2036" s="6" t="s">
        <v>7223</v>
      </c>
      <c r="E2036" s="6" t="s">
        <v>7501</v>
      </c>
      <c r="F2036" s="6" t="s">
        <v>7502</v>
      </c>
      <c r="G2036" s="9" t="s">
        <v>7503</v>
      </c>
      <c r="H2036" s="9" t="s">
        <v>18</v>
      </c>
      <c r="I2036" s="16" t="str">
        <f>VLOOKUP(F2036,[1]完整分类结果!$E:$G,3,0)</f>
        <v>金属制品业</v>
      </c>
      <c r="J2036" s="16">
        <f>VLOOKUP(I2036,[2]行业排放因子!$A:$B,2,0)</f>
        <v>27.1093085906552</v>
      </c>
      <c r="K2036" s="9" t="s">
        <v>756</v>
      </c>
    </row>
    <row r="2037" spans="1:11" ht="12.5" customHeight="1" x14ac:dyDescent="0.25">
      <c r="A2037" s="5" t="s">
        <v>7504</v>
      </c>
      <c r="B2037" s="6" t="s">
        <v>6113</v>
      </c>
      <c r="C2037" s="6" t="s">
        <v>7223</v>
      </c>
      <c r="D2037" s="6" t="s">
        <v>7223</v>
      </c>
      <c r="E2037" s="6" t="s">
        <v>7505</v>
      </c>
      <c r="F2037" s="6" t="s">
        <v>7506</v>
      </c>
      <c r="G2037" s="9" t="s">
        <v>7507</v>
      </c>
      <c r="H2037" s="9" t="s">
        <v>18</v>
      </c>
      <c r="I2037" s="16" t="str">
        <f>VLOOKUP(F2037,[1]完整分类结果!$E:$G,3,0)</f>
        <v>金属制品业</v>
      </c>
      <c r="J2037" s="16">
        <f>VLOOKUP(I2037,[2]行业排放因子!$A:$B,2,0)</f>
        <v>27.1093085906552</v>
      </c>
      <c r="K2037" s="9" t="s">
        <v>756</v>
      </c>
    </row>
    <row r="2038" spans="1:11" ht="12.5" customHeight="1" x14ac:dyDescent="0.25">
      <c r="A2038" s="5" t="s">
        <v>7508</v>
      </c>
      <c r="B2038" s="6" t="s">
        <v>6113</v>
      </c>
      <c r="C2038" s="6" t="s">
        <v>7223</v>
      </c>
      <c r="D2038" s="6" t="s">
        <v>7223</v>
      </c>
      <c r="E2038" s="6" t="s">
        <v>7509</v>
      </c>
      <c r="F2038" s="6" t="s">
        <v>7510</v>
      </c>
      <c r="G2038" s="9" t="s">
        <v>7511</v>
      </c>
      <c r="H2038" s="9" t="s">
        <v>18</v>
      </c>
      <c r="I2038" s="16" t="str">
        <f>VLOOKUP(F2038,[1]完整分类结果!$E:$G,3,0)</f>
        <v>金属制品业</v>
      </c>
      <c r="J2038" s="16">
        <f>VLOOKUP(I2038,[2]行业排放因子!$A:$B,2,0)</f>
        <v>27.1093085906552</v>
      </c>
      <c r="K2038" s="9" t="s">
        <v>756</v>
      </c>
    </row>
    <row r="2039" spans="1:11" ht="12.5" customHeight="1" x14ac:dyDescent="0.25">
      <c r="A2039" s="5" t="s">
        <v>7512</v>
      </c>
      <c r="B2039" s="6" t="s">
        <v>6113</v>
      </c>
      <c r="C2039" s="6" t="s">
        <v>7223</v>
      </c>
      <c r="D2039" s="6" t="s">
        <v>7223</v>
      </c>
      <c r="E2039" s="6" t="s">
        <v>7513</v>
      </c>
      <c r="F2039" s="6" t="s">
        <v>7514</v>
      </c>
      <c r="G2039" s="9" t="s">
        <v>7515</v>
      </c>
      <c r="H2039" s="9" t="s">
        <v>18</v>
      </c>
      <c r="I2039" s="16" t="str">
        <f>VLOOKUP(F2039,[1]完整分类结果!$E:$G,3,0)</f>
        <v>金属制品业</v>
      </c>
      <c r="J2039" s="16">
        <f>VLOOKUP(I2039,[2]行业排放因子!$A:$B,2,0)</f>
        <v>27.1093085906552</v>
      </c>
      <c r="K2039" s="9" t="s">
        <v>756</v>
      </c>
    </row>
    <row r="2040" spans="1:11" ht="12.5" customHeight="1" x14ac:dyDescent="0.25">
      <c r="A2040" s="5" t="s">
        <v>7516</v>
      </c>
      <c r="B2040" s="6" t="s">
        <v>6113</v>
      </c>
      <c r="C2040" s="6" t="s">
        <v>7223</v>
      </c>
      <c r="D2040" s="6" t="s">
        <v>7223</v>
      </c>
      <c r="E2040" s="6" t="s">
        <v>7517</v>
      </c>
      <c r="F2040" s="6" t="s">
        <v>7518</v>
      </c>
      <c r="G2040" s="9" t="s">
        <v>7519</v>
      </c>
      <c r="H2040" s="9" t="s">
        <v>18</v>
      </c>
      <c r="I2040" s="16" t="str">
        <f>VLOOKUP(F2040,[1]完整分类结果!$E:$G,3,0)</f>
        <v>金属制品业</v>
      </c>
      <c r="J2040" s="16">
        <f>VLOOKUP(I2040,[2]行业排放因子!$A:$B,2,0)</f>
        <v>27.1093085906552</v>
      </c>
      <c r="K2040" s="9" t="s">
        <v>756</v>
      </c>
    </row>
    <row r="2041" spans="1:11" ht="12.5" customHeight="1" x14ac:dyDescent="0.25">
      <c r="A2041" s="5" t="s">
        <v>7520</v>
      </c>
      <c r="B2041" s="6" t="s">
        <v>6113</v>
      </c>
      <c r="C2041" s="6" t="s">
        <v>7223</v>
      </c>
      <c r="D2041" s="6" t="s">
        <v>7223</v>
      </c>
      <c r="E2041" s="6" t="s">
        <v>7521</v>
      </c>
      <c r="F2041" s="6" t="s">
        <v>7522</v>
      </c>
      <c r="G2041" s="9"/>
      <c r="H2041" s="9" t="s">
        <v>18</v>
      </c>
      <c r="I2041" s="16" t="str">
        <f>VLOOKUP(F2041,[1]完整分类结果!$E:$G,3,0)</f>
        <v>金属制品业</v>
      </c>
      <c r="J2041" s="16">
        <f>VLOOKUP(I2041,[2]行业排放因子!$A:$B,2,0)</f>
        <v>27.1093085906552</v>
      </c>
      <c r="K2041" s="9" t="s">
        <v>756</v>
      </c>
    </row>
    <row r="2042" spans="1:11" ht="12.5" customHeight="1" x14ac:dyDescent="0.25">
      <c r="A2042" s="5" t="s">
        <v>7523</v>
      </c>
      <c r="B2042" s="6" t="s">
        <v>6113</v>
      </c>
      <c r="C2042" s="6" t="s">
        <v>7223</v>
      </c>
      <c r="D2042" s="6" t="s">
        <v>7223</v>
      </c>
      <c r="E2042" s="6" t="s">
        <v>7524</v>
      </c>
      <c r="F2042" s="6" t="s">
        <v>7525</v>
      </c>
      <c r="G2042" s="9" t="s">
        <v>7526</v>
      </c>
      <c r="H2042" s="9" t="s">
        <v>18</v>
      </c>
      <c r="I2042" s="16" t="str">
        <f>VLOOKUP(F2042,[1]完整分类结果!$E:$G,3,0)</f>
        <v>金属制品业</v>
      </c>
      <c r="J2042" s="16">
        <f>VLOOKUP(I2042,[2]行业排放因子!$A:$B,2,0)</f>
        <v>27.1093085906552</v>
      </c>
      <c r="K2042" s="9" t="s">
        <v>756</v>
      </c>
    </row>
    <row r="2043" spans="1:11" ht="12.5" customHeight="1" x14ac:dyDescent="0.25">
      <c r="A2043" s="5" t="s">
        <v>7527</v>
      </c>
      <c r="B2043" s="6" t="s">
        <v>6113</v>
      </c>
      <c r="C2043" s="6" t="s">
        <v>7223</v>
      </c>
      <c r="D2043" s="6" t="s">
        <v>7223</v>
      </c>
      <c r="E2043" s="6" t="s">
        <v>7528</v>
      </c>
      <c r="F2043" s="6" t="s">
        <v>7529</v>
      </c>
      <c r="G2043" s="9" t="s">
        <v>7530</v>
      </c>
      <c r="H2043" s="9" t="s">
        <v>18</v>
      </c>
      <c r="I2043" s="16" t="str">
        <f>VLOOKUP(F2043,[1]完整分类结果!$E:$G,3,0)</f>
        <v>金属制品业</v>
      </c>
      <c r="J2043" s="16">
        <f>VLOOKUP(I2043,[2]行业排放因子!$A:$B,2,0)</f>
        <v>27.1093085906552</v>
      </c>
      <c r="K2043" s="9" t="s">
        <v>756</v>
      </c>
    </row>
    <row r="2044" spans="1:11" ht="12.5" customHeight="1" x14ac:dyDescent="0.25">
      <c r="A2044" s="5" t="s">
        <v>7531</v>
      </c>
      <c r="B2044" s="6" t="s">
        <v>6113</v>
      </c>
      <c r="C2044" s="6" t="s">
        <v>7223</v>
      </c>
      <c r="D2044" s="6" t="s">
        <v>7223</v>
      </c>
      <c r="E2044" s="6" t="s">
        <v>7532</v>
      </c>
      <c r="F2044" s="6" t="s">
        <v>7533</v>
      </c>
      <c r="G2044" s="9" t="s">
        <v>7534</v>
      </c>
      <c r="H2044" s="9" t="s">
        <v>18</v>
      </c>
      <c r="I2044" s="16" t="str">
        <f>VLOOKUP(F2044,[1]完整分类结果!$E:$G,3,0)</f>
        <v>金属制品业</v>
      </c>
      <c r="J2044" s="16">
        <f>VLOOKUP(I2044,[2]行业排放因子!$A:$B,2,0)</f>
        <v>27.1093085906552</v>
      </c>
      <c r="K2044" s="9" t="s">
        <v>756</v>
      </c>
    </row>
    <row r="2045" spans="1:11" ht="12.5" customHeight="1" x14ac:dyDescent="0.25">
      <c r="A2045" s="5" t="s">
        <v>7535</v>
      </c>
      <c r="B2045" s="6" t="s">
        <v>6113</v>
      </c>
      <c r="C2045" s="6" t="s">
        <v>7223</v>
      </c>
      <c r="D2045" s="6" t="s">
        <v>7223</v>
      </c>
      <c r="E2045" s="6" t="s">
        <v>7536</v>
      </c>
      <c r="F2045" s="6" t="s">
        <v>7537</v>
      </c>
      <c r="G2045" s="9"/>
      <c r="H2045" s="9" t="s">
        <v>18</v>
      </c>
      <c r="I2045" s="16" t="str">
        <f>VLOOKUP(F2045,[1]完整分类结果!$E:$G,3,0)</f>
        <v>金属制品业</v>
      </c>
      <c r="J2045" s="16">
        <f>VLOOKUP(I2045,[2]行业排放因子!$A:$B,2,0)</f>
        <v>27.1093085906552</v>
      </c>
      <c r="K2045" s="9" t="s">
        <v>756</v>
      </c>
    </row>
    <row r="2046" spans="1:11" ht="12.5" customHeight="1" x14ac:dyDescent="0.25">
      <c r="A2046" s="5" t="s">
        <v>7538</v>
      </c>
      <c r="B2046" s="6" t="s">
        <v>6113</v>
      </c>
      <c r="C2046" s="6" t="s">
        <v>7223</v>
      </c>
      <c r="D2046" s="6" t="s">
        <v>7223</v>
      </c>
      <c r="E2046" s="6" t="s">
        <v>7539</v>
      </c>
      <c r="F2046" s="6" t="s">
        <v>7540</v>
      </c>
      <c r="G2046" s="9" t="s">
        <v>7541</v>
      </c>
      <c r="H2046" s="9" t="s">
        <v>18</v>
      </c>
      <c r="I2046" s="16" t="str">
        <f>VLOOKUP(F2046,[1]完整分类结果!$E:$G,3,0)</f>
        <v>金属制品业</v>
      </c>
      <c r="J2046" s="16">
        <f>VLOOKUP(I2046,[2]行业排放因子!$A:$B,2,0)</f>
        <v>27.1093085906552</v>
      </c>
      <c r="K2046" s="9" t="s">
        <v>756</v>
      </c>
    </row>
    <row r="2047" spans="1:11" ht="12.5" customHeight="1" x14ac:dyDescent="0.25">
      <c r="A2047" s="5" t="s">
        <v>7542</v>
      </c>
      <c r="B2047" s="6" t="s">
        <v>6113</v>
      </c>
      <c r="C2047" s="6" t="s">
        <v>7223</v>
      </c>
      <c r="D2047" s="6" t="s">
        <v>7223</v>
      </c>
      <c r="E2047" s="6" t="s">
        <v>7543</v>
      </c>
      <c r="F2047" s="6" t="s">
        <v>7544</v>
      </c>
      <c r="G2047" s="9" t="s">
        <v>7545</v>
      </c>
      <c r="H2047" s="9" t="s">
        <v>18</v>
      </c>
      <c r="I2047" s="16" t="str">
        <f>VLOOKUP(F2047,[1]完整分类结果!$E:$G,3,0)</f>
        <v>金属制品业</v>
      </c>
      <c r="J2047" s="16">
        <f>VLOOKUP(I2047,[2]行业排放因子!$A:$B,2,0)</f>
        <v>27.1093085906552</v>
      </c>
      <c r="K2047" s="9" t="s">
        <v>756</v>
      </c>
    </row>
    <row r="2048" spans="1:11" ht="12.5" customHeight="1" x14ac:dyDescent="0.25">
      <c r="A2048" s="5" t="s">
        <v>7546</v>
      </c>
      <c r="B2048" s="6" t="s">
        <v>6113</v>
      </c>
      <c r="C2048" s="6" t="s">
        <v>7223</v>
      </c>
      <c r="D2048" s="6" t="s">
        <v>7223</v>
      </c>
      <c r="E2048" s="6" t="s">
        <v>7547</v>
      </c>
      <c r="F2048" s="6" t="s">
        <v>7548</v>
      </c>
      <c r="G2048" s="9" t="s">
        <v>7549</v>
      </c>
      <c r="H2048" s="9" t="s">
        <v>18</v>
      </c>
      <c r="I2048" s="16" t="str">
        <f>VLOOKUP(F2048,[1]完整分类结果!$E:$G,3,0)</f>
        <v>金属制品业</v>
      </c>
      <c r="J2048" s="16">
        <f>VLOOKUP(I2048,[2]行业排放因子!$A:$B,2,0)</f>
        <v>27.1093085906552</v>
      </c>
      <c r="K2048" s="9" t="s">
        <v>756</v>
      </c>
    </row>
    <row r="2049" spans="1:11" ht="12.5" customHeight="1" x14ac:dyDescent="0.25">
      <c r="A2049" s="5" t="s">
        <v>7550</v>
      </c>
      <c r="B2049" s="6" t="s">
        <v>6113</v>
      </c>
      <c r="C2049" s="6" t="s">
        <v>7223</v>
      </c>
      <c r="D2049" s="6" t="s">
        <v>7223</v>
      </c>
      <c r="E2049" s="6" t="s">
        <v>7551</v>
      </c>
      <c r="F2049" s="6" t="s">
        <v>7552</v>
      </c>
      <c r="G2049" s="9" t="s">
        <v>7553</v>
      </c>
      <c r="H2049" s="9" t="s">
        <v>18</v>
      </c>
      <c r="I2049" s="16" t="str">
        <f>VLOOKUP(F2049,[1]完整分类结果!$E:$G,3,0)</f>
        <v>金属制品业</v>
      </c>
      <c r="J2049" s="16">
        <f>VLOOKUP(I2049,[2]行业排放因子!$A:$B,2,0)</f>
        <v>27.1093085906552</v>
      </c>
      <c r="K2049" s="9" t="s">
        <v>756</v>
      </c>
    </row>
    <row r="2050" spans="1:11" ht="12.5" customHeight="1" x14ac:dyDescent="0.25">
      <c r="A2050" s="5" t="s">
        <v>7554</v>
      </c>
      <c r="B2050" s="6" t="s">
        <v>6113</v>
      </c>
      <c r="C2050" s="6" t="s">
        <v>7223</v>
      </c>
      <c r="D2050" s="6" t="s">
        <v>7223</v>
      </c>
      <c r="E2050" s="6" t="s">
        <v>7555</v>
      </c>
      <c r="F2050" s="6" t="s">
        <v>7556</v>
      </c>
      <c r="G2050" s="9" t="s">
        <v>7557</v>
      </c>
      <c r="H2050" s="9" t="s">
        <v>18</v>
      </c>
      <c r="I2050" s="16" t="str">
        <f>VLOOKUP(F2050,[1]完整分类结果!$E:$G,3,0)</f>
        <v>金属制品业</v>
      </c>
      <c r="J2050" s="16">
        <f>VLOOKUP(I2050,[2]行业排放因子!$A:$B,2,0)</f>
        <v>27.1093085906552</v>
      </c>
      <c r="K2050" s="9" t="s">
        <v>756</v>
      </c>
    </row>
    <row r="2051" spans="1:11" ht="12.5" customHeight="1" x14ac:dyDescent="0.25">
      <c r="A2051" s="5" t="s">
        <v>7558</v>
      </c>
      <c r="B2051" s="6" t="s">
        <v>6113</v>
      </c>
      <c r="C2051" s="6" t="s">
        <v>7223</v>
      </c>
      <c r="D2051" s="6" t="s">
        <v>7223</v>
      </c>
      <c r="E2051" s="6" t="s">
        <v>7559</v>
      </c>
      <c r="F2051" s="6" t="s">
        <v>7560</v>
      </c>
      <c r="G2051" s="9" t="s">
        <v>7561</v>
      </c>
      <c r="H2051" s="9" t="s">
        <v>18</v>
      </c>
      <c r="I2051" s="16" t="str">
        <f>VLOOKUP(F2051,[1]完整分类结果!$E:$G,3,0)</f>
        <v>金属制品业</v>
      </c>
      <c r="J2051" s="16">
        <f>VLOOKUP(I2051,[2]行业排放因子!$A:$B,2,0)</f>
        <v>27.1093085906552</v>
      </c>
      <c r="K2051" s="9" t="s">
        <v>756</v>
      </c>
    </row>
    <row r="2052" spans="1:11" ht="12.5" customHeight="1" x14ac:dyDescent="0.25">
      <c r="A2052" s="5" t="s">
        <v>7562</v>
      </c>
      <c r="B2052" s="6" t="s">
        <v>6113</v>
      </c>
      <c r="C2052" s="6" t="s">
        <v>7223</v>
      </c>
      <c r="D2052" s="6" t="s">
        <v>7223</v>
      </c>
      <c r="E2052" s="6" t="s">
        <v>7563</v>
      </c>
      <c r="F2052" s="6" t="s">
        <v>7564</v>
      </c>
      <c r="G2052" s="9" t="s">
        <v>7565</v>
      </c>
      <c r="H2052" s="9" t="s">
        <v>18</v>
      </c>
      <c r="I2052" s="16" t="str">
        <f>VLOOKUP(F2052,[1]完整分类结果!$E:$G,3,0)</f>
        <v>金属制品业</v>
      </c>
      <c r="J2052" s="16">
        <f>VLOOKUP(I2052,[2]行业排放因子!$A:$B,2,0)</f>
        <v>27.1093085906552</v>
      </c>
      <c r="K2052" s="9" t="s">
        <v>756</v>
      </c>
    </row>
    <row r="2053" spans="1:11" ht="12.5" customHeight="1" x14ac:dyDescent="0.25">
      <c r="A2053" s="5" t="s">
        <v>7566</v>
      </c>
      <c r="B2053" s="6" t="s">
        <v>6113</v>
      </c>
      <c r="C2053" s="6" t="s">
        <v>7223</v>
      </c>
      <c r="D2053" s="6" t="s">
        <v>7223</v>
      </c>
      <c r="E2053" s="6" t="s">
        <v>7567</v>
      </c>
      <c r="F2053" s="6" t="s">
        <v>7568</v>
      </c>
      <c r="G2053" s="9" t="s">
        <v>7569</v>
      </c>
      <c r="H2053" s="9" t="s">
        <v>18</v>
      </c>
      <c r="I2053" s="16" t="str">
        <f>VLOOKUP(F2053,[1]完整分类结果!$E:$G,3,0)</f>
        <v>金属制品业</v>
      </c>
      <c r="J2053" s="16">
        <f>VLOOKUP(I2053,[2]行业排放因子!$A:$B,2,0)</f>
        <v>27.1093085906552</v>
      </c>
      <c r="K2053" s="9" t="s">
        <v>756</v>
      </c>
    </row>
    <row r="2054" spans="1:11" ht="12.5" customHeight="1" x14ac:dyDescent="0.25">
      <c r="A2054" s="5" t="s">
        <v>7570</v>
      </c>
      <c r="B2054" s="6" t="s">
        <v>6113</v>
      </c>
      <c r="C2054" s="6" t="s">
        <v>7223</v>
      </c>
      <c r="D2054" s="6" t="s">
        <v>7223</v>
      </c>
      <c r="E2054" s="6" t="s">
        <v>7571</v>
      </c>
      <c r="F2054" s="6" t="s">
        <v>7572</v>
      </c>
      <c r="G2054" s="9" t="s">
        <v>7573</v>
      </c>
      <c r="H2054" s="9" t="s">
        <v>18</v>
      </c>
      <c r="I2054" s="16" t="str">
        <f>VLOOKUP(F2054,[1]完整分类结果!$E:$G,3,0)</f>
        <v>金属制品业</v>
      </c>
      <c r="J2054" s="16">
        <f>VLOOKUP(I2054,[2]行业排放因子!$A:$B,2,0)</f>
        <v>27.1093085906552</v>
      </c>
      <c r="K2054" s="9" t="s">
        <v>756</v>
      </c>
    </row>
    <row r="2055" spans="1:11" ht="12.5" customHeight="1" x14ac:dyDescent="0.25">
      <c r="A2055" s="5" t="s">
        <v>7574</v>
      </c>
      <c r="B2055" s="6" t="s">
        <v>6113</v>
      </c>
      <c r="C2055" s="6" t="s">
        <v>7575</v>
      </c>
      <c r="D2055" s="6" t="s">
        <v>7575</v>
      </c>
      <c r="E2055" s="6" t="s">
        <v>7576</v>
      </c>
      <c r="F2055" s="6" t="s">
        <v>7575</v>
      </c>
      <c r="G2055" s="9"/>
      <c r="H2055" s="9" t="s">
        <v>18</v>
      </c>
      <c r="I2055" s="16" t="str">
        <f>VLOOKUP(F2055,[1]完整分类结果!$E:$G,3,0)</f>
        <v>金属制品业</v>
      </c>
      <c r="J2055" s="16">
        <f>VLOOKUP(I2055,[2]行业排放因子!$A:$B,2,0)</f>
        <v>27.1093085906552</v>
      </c>
      <c r="K2055" s="9" t="s">
        <v>756</v>
      </c>
    </row>
    <row r="2056" spans="1:11" ht="12.5" customHeight="1" x14ac:dyDescent="0.25">
      <c r="A2056" s="5" t="s">
        <v>7577</v>
      </c>
      <c r="B2056" s="6" t="s">
        <v>7578</v>
      </c>
      <c r="C2056" s="6" t="s">
        <v>7579</v>
      </c>
      <c r="D2056" s="6" t="s">
        <v>7580</v>
      </c>
      <c r="E2056" s="6" t="s">
        <v>7581</v>
      </c>
      <c r="F2056" s="6" t="s">
        <v>7582</v>
      </c>
      <c r="G2056" s="9" t="s">
        <v>7583</v>
      </c>
      <c r="H2056" s="9" t="s">
        <v>18</v>
      </c>
      <c r="I2056" s="16" t="str">
        <f>VLOOKUP(F2056,[1]完整分类结果!$E:$G,3,0)</f>
        <v>普通机械制造业</v>
      </c>
      <c r="J2056" s="16">
        <f>VLOOKUP(I2056,[2]行业排放因子!$A:$B,2,0)</f>
        <v>9.6615781889079599</v>
      </c>
      <c r="K2056" s="9" t="s">
        <v>756</v>
      </c>
    </row>
    <row r="2057" spans="1:11" ht="12.5" customHeight="1" x14ac:dyDescent="0.25">
      <c r="A2057" s="5" t="s">
        <v>7584</v>
      </c>
      <c r="B2057" s="6" t="s">
        <v>7578</v>
      </c>
      <c r="C2057" s="6" t="s">
        <v>7579</v>
      </c>
      <c r="D2057" s="6" t="s">
        <v>7580</v>
      </c>
      <c r="E2057" s="6" t="s">
        <v>7585</v>
      </c>
      <c r="F2057" s="6" t="s">
        <v>7586</v>
      </c>
      <c r="G2057" s="9" t="s">
        <v>7587</v>
      </c>
      <c r="H2057" s="9" t="s">
        <v>18</v>
      </c>
      <c r="I2057" s="16" t="str">
        <f>VLOOKUP(F2057,[1]完整分类结果!$E:$G,3,0)</f>
        <v>普通机械制造业</v>
      </c>
      <c r="J2057" s="16">
        <f>VLOOKUP(I2057,[2]行业排放因子!$A:$B,2,0)</f>
        <v>9.6615781889079599</v>
      </c>
      <c r="K2057" s="9" t="s">
        <v>756</v>
      </c>
    </row>
    <row r="2058" spans="1:11" ht="12.5" customHeight="1" x14ac:dyDescent="0.25">
      <c r="A2058" s="5" t="s">
        <v>7588</v>
      </c>
      <c r="B2058" s="6" t="s">
        <v>7578</v>
      </c>
      <c r="C2058" s="6" t="s">
        <v>7579</v>
      </c>
      <c r="D2058" s="6" t="s">
        <v>7589</v>
      </c>
      <c r="E2058" s="6" t="s">
        <v>7590</v>
      </c>
      <c r="F2058" s="6" t="s">
        <v>7591</v>
      </c>
      <c r="G2058" s="9" t="s">
        <v>7592</v>
      </c>
      <c r="H2058" s="9" t="s">
        <v>18</v>
      </c>
      <c r="I2058" s="16" t="str">
        <f>VLOOKUP(F2058,[1]完整分类结果!$E:$G,3,0)</f>
        <v>普通机械制造业</v>
      </c>
      <c r="J2058" s="16">
        <f>VLOOKUP(I2058,[2]行业排放因子!$A:$B,2,0)</f>
        <v>9.6615781889079599</v>
      </c>
      <c r="K2058" s="9" t="s">
        <v>756</v>
      </c>
    </row>
    <row r="2059" spans="1:11" ht="12.5" customHeight="1" x14ac:dyDescent="0.25">
      <c r="A2059" s="5" t="s">
        <v>7593</v>
      </c>
      <c r="B2059" s="6" t="s">
        <v>7578</v>
      </c>
      <c r="C2059" s="6" t="s">
        <v>7579</v>
      </c>
      <c r="D2059" s="6" t="s">
        <v>7589</v>
      </c>
      <c r="E2059" s="6" t="s">
        <v>7594</v>
      </c>
      <c r="F2059" s="6" t="s">
        <v>7595</v>
      </c>
      <c r="G2059" s="9" t="s">
        <v>7596</v>
      </c>
      <c r="H2059" s="9" t="s">
        <v>18</v>
      </c>
      <c r="I2059" s="16" t="str">
        <f>VLOOKUP(F2059,[1]完整分类结果!$E:$G,3,0)</f>
        <v>普通机械制造业</v>
      </c>
      <c r="J2059" s="16">
        <f>VLOOKUP(I2059,[2]行业排放因子!$A:$B,2,0)</f>
        <v>9.6615781889079599</v>
      </c>
      <c r="K2059" s="9" t="s">
        <v>756</v>
      </c>
    </row>
    <row r="2060" spans="1:11" ht="12.5" customHeight="1" x14ac:dyDescent="0.25">
      <c r="A2060" s="5" t="s">
        <v>7597</v>
      </c>
      <c r="B2060" s="6" t="s">
        <v>7578</v>
      </c>
      <c r="C2060" s="6" t="s">
        <v>7579</v>
      </c>
      <c r="D2060" s="6" t="s">
        <v>7589</v>
      </c>
      <c r="E2060" s="6" t="s">
        <v>7598</v>
      </c>
      <c r="F2060" s="6" t="s">
        <v>7599</v>
      </c>
      <c r="G2060" s="9" t="s">
        <v>7600</v>
      </c>
      <c r="H2060" s="9" t="s">
        <v>18</v>
      </c>
      <c r="I2060" s="16" t="str">
        <f>VLOOKUP(F2060,[1]完整分类结果!$E:$G,3,0)</f>
        <v>普通机械制造业</v>
      </c>
      <c r="J2060" s="16">
        <f>VLOOKUP(I2060,[2]行业排放因子!$A:$B,2,0)</f>
        <v>9.6615781889079599</v>
      </c>
      <c r="K2060" s="9" t="s">
        <v>756</v>
      </c>
    </row>
    <row r="2061" spans="1:11" ht="12.5" customHeight="1" x14ac:dyDescent="0.25">
      <c r="A2061" s="5" t="s">
        <v>7601</v>
      </c>
      <c r="B2061" s="6" t="s">
        <v>7578</v>
      </c>
      <c r="C2061" s="6" t="s">
        <v>7579</v>
      </c>
      <c r="D2061" s="6" t="s">
        <v>7589</v>
      </c>
      <c r="E2061" s="6" t="s">
        <v>7602</v>
      </c>
      <c r="F2061" s="6" t="s">
        <v>7603</v>
      </c>
      <c r="G2061" s="9" t="s">
        <v>7604</v>
      </c>
      <c r="H2061" s="9" t="s">
        <v>18</v>
      </c>
      <c r="I2061" s="16" t="str">
        <f>VLOOKUP(F2061,[1]完整分类结果!$E:$G,3,0)</f>
        <v>普通机械制造业</v>
      </c>
      <c r="J2061" s="16">
        <f>VLOOKUP(I2061,[2]行业排放因子!$A:$B,2,0)</f>
        <v>9.6615781889079599</v>
      </c>
      <c r="K2061" s="9" t="s">
        <v>756</v>
      </c>
    </row>
    <row r="2062" spans="1:11" ht="12.5" customHeight="1" x14ac:dyDescent="0.25">
      <c r="A2062" s="5" t="s">
        <v>7605</v>
      </c>
      <c r="B2062" s="6" t="s">
        <v>7578</v>
      </c>
      <c r="C2062" s="6" t="s">
        <v>7579</v>
      </c>
      <c r="D2062" s="6" t="s">
        <v>7589</v>
      </c>
      <c r="E2062" s="6" t="s">
        <v>7606</v>
      </c>
      <c r="F2062" s="6" t="s">
        <v>7607</v>
      </c>
      <c r="G2062" s="9" t="s">
        <v>7608</v>
      </c>
      <c r="H2062" s="9" t="s">
        <v>18</v>
      </c>
      <c r="I2062" s="16" t="str">
        <f>VLOOKUP(F2062,[1]完整分类结果!$E:$G,3,0)</f>
        <v>普通机械制造业</v>
      </c>
      <c r="J2062" s="16">
        <f>VLOOKUP(I2062,[2]行业排放因子!$A:$B,2,0)</f>
        <v>9.6615781889079599</v>
      </c>
      <c r="K2062" s="9" t="s">
        <v>756</v>
      </c>
    </row>
    <row r="2063" spans="1:11" ht="12.5" customHeight="1" x14ac:dyDescent="0.25">
      <c r="A2063" s="5" t="s">
        <v>7609</v>
      </c>
      <c r="B2063" s="6" t="s">
        <v>7578</v>
      </c>
      <c r="C2063" s="6" t="s">
        <v>7579</v>
      </c>
      <c r="D2063" s="6" t="s">
        <v>7589</v>
      </c>
      <c r="E2063" s="6" t="s">
        <v>7610</v>
      </c>
      <c r="F2063" s="6" t="s">
        <v>7611</v>
      </c>
      <c r="G2063" s="9" t="s">
        <v>7612</v>
      </c>
      <c r="H2063" s="9" t="s">
        <v>18</v>
      </c>
      <c r="I2063" s="16" t="str">
        <f>VLOOKUP(F2063,[1]完整分类结果!$E:$G,3,0)</f>
        <v>普通机械制造业</v>
      </c>
      <c r="J2063" s="16">
        <f>VLOOKUP(I2063,[2]行业排放因子!$A:$B,2,0)</f>
        <v>9.6615781889079599</v>
      </c>
      <c r="K2063" s="9" t="s">
        <v>756</v>
      </c>
    </row>
    <row r="2064" spans="1:11" ht="12.5" customHeight="1" x14ac:dyDescent="0.25">
      <c r="A2064" s="5" t="s">
        <v>7613</v>
      </c>
      <c r="B2064" s="6" t="s">
        <v>7578</v>
      </c>
      <c r="C2064" s="6" t="s">
        <v>7579</v>
      </c>
      <c r="D2064" s="6" t="s">
        <v>7589</v>
      </c>
      <c r="E2064" s="6" t="s">
        <v>7614</v>
      </c>
      <c r="F2064" s="6" t="s">
        <v>7615</v>
      </c>
      <c r="G2064" s="9"/>
      <c r="H2064" s="9" t="s">
        <v>18</v>
      </c>
      <c r="I2064" s="16" t="str">
        <f>VLOOKUP(F2064,[1]完整分类结果!$E:$G,3,0)</f>
        <v>普通机械制造业</v>
      </c>
      <c r="J2064" s="16">
        <f>VLOOKUP(I2064,[2]行业排放因子!$A:$B,2,0)</f>
        <v>9.6615781889079599</v>
      </c>
      <c r="K2064" s="9" t="s">
        <v>756</v>
      </c>
    </row>
    <row r="2065" spans="1:11" ht="12.5" customHeight="1" x14ac:dyDescent="0.25">
      <c r="A2065" s="5" t="s">
        <v>7616</v>
      </c>
      <c r="B2065" s="6" t="s">
        <v>7578</v>
      </c>
      <c r="C2065" s="6" t="s">
        <v>7579</v>
      </c>
      <c r="D2065" s="6" t="s">
        <v>7617</v>
      </c>
      <c r="E2065" s="6" t="s">
        <v>7618</v>
      </c>
      <c r="F2065" s="6" t="s">
        <v>7619</v>
      </c>
      <c r="G2065" s="9" t="s">
        <v>7620</v>
      </c>
      <c r="H2065" s="9" t="s">
        <v>18</v>
      </c>
      <c r="I2065" s="16" t="str">
        <f>VLOOKUP(F2065,[1]完整分类结果!$E:$G,3,0)</f>
        <v>普通机械制造业</v>
      </c>
      <c r="J2065" s="16">
        <f>VLOOKUP(I2065,[2]行业排放因子!$A:$B,2,0)</f>
        <v>9.6615781889079599</v>
      </c>
      <c r="K2065" s="9" t="s">
        <v>756</v>
      </c>
    </row>
    <row r="2066" spans="1:11" ht="12.5" customHeight="1" x14ac:dyDescent="0.25">
      <c r="A2066" s="5" t="s">
        <v>7621</v>
      </c>
      <c r="B2066" s="6" t="s">
        <v>7578</v>
      </c>
      <c r="C2066" s="6" t="s">
        <v>7579</v>
      </c>
      <c r="D2066" s="6" t="s">
        <v>7617</v>
      </c>
      <c r="E2066" s="6" t="s">
        <v>7622</v>
      </c>
      <c r="F2066" s="6" t="s">
        <v>7623</v>
      </c>
      <c r="G2066" s="9" t="s">
        <v>7624</v>
      </c>
      <c r="H2066" s="9" t="s">
        <v>18</v>
      </c>
      <c r="I2066" s="16" t="str">
        <f>VLOOKUP(F2066,[1]完整分类结果!$E:$G,3,0)</f>
        <v>普通机械制造业</v>
      </c>
      <c r="J2066" s="16">
        <f>VLOOKUP(I2066,[2]行业排放因子!$A:$B,2,0)</f>
        <v>9.6615781889079599</v>
      </c>
      <c r="K2066" s="9" t="s">
        <v>756</v>
      </c>
    </row>
    <row r="2067" spans="1:11" ht="12.5" customHeight="1" x14ac:dyDescent="0.25">
      <c r="A2067" s="5" t="s">
        <v>7625</v>
      </c>
      <c r="B2067" s="6" t="s">
        <v>7578</v>
      </c>
      <c r="C2067" s="6" t="s">
        <v>7579</v>
      </c>
      <c r="D2067" s="6" t="s">
        <v>7617</v>
      </c>
      <c r="E2067" s="6" t="s">
        <v>7626</v>
      </c>
      <c r="F2067" s="6" t="s">
        <v>7627</v>
      </c>
      <c r="G2067" s="9" t="s">
        <v>7628</v>
      </c>
      <c r="H2067" s="9" t="s">
        <v>18</v>
      </c>
      <c r="I2067" s="16" t="str">
        <f>VLOOKUP(F2067,[1]完整分类结果!$E:$G,3,0)</f>
        <v>普通机械制造业</v>
      </c>
      <c r="J2067" s="16">
        <f>VLOOKUP(I2067,[2]行业排放因子!$A:$B,2,0)</f>
        <v>9.6615781889079599</v>
      </c>
      <c r="K2067" s="9" t="s">
        <v>756</v>
      </c>
    </row>
    <row r="2068" spans="1:11" ht="12.5" customHeight="1" x14ac:dyDescent="0.25">
      <c r="A2068" s="5" t="s">
        <v>7629</v>
      </c>
      <c r="B2068" s="6" t="s">
        <v>7578</v>
      </c>
      <c r="C2068" s="6" t="s">
        <v>7579</v>
      </c>
      <c r="D2068" s="6" t="s">
        <v>7617</v>
      </c>
      <c r="E2068" s="6" t="s">
        <v>7630</v>
      </c>
      <c r="F2068" s="6" t="s">
        <v>7631</v>
      </c>
      <c r="G2068" s="9" t="s">
        <v>7632</v>
      </c>
      <c r="H2068" s="9" t="s">
        <v>18</v>
      </c>
      <c r="I2068" s="16" t="str">
        <f>VLOOKUP(F2068,[1]完整分类结果!$E:$G,3,0)</f>
        <v>普通机械制造业</v>
      </c>
      <c r="J2068" s="16">
        <f>VLOOKUP(I2068,[2]行业排放因子!$A:$B,2,0)</f>
        <v>9.6615781889079599</v>
      </c>
      <c r="K2068" s="9" t="s">
        <v>756</v>
      </c>
    </row>
    <row r="2069" spans="1:11" ht="12.5" customHeight="1" x14ac:dyDescent="0.25">
      <c r="A2069" s="5" t="s">
        <v>7633</v>
      </c>
      <c r="B2069" s="6" t="s">
        <v>7578</v>
      </c>
      <c r="C2069" s="6" t="s">
        <v>7579</v>
      </c>
      <c r="D2069" s="6" t="s">
        <v>7634</v>
      </c>
      <c r="E2069" s="6" t="s">
        <v>7635</v>
      </c>
      <c r="F2069" s="6" t="s">
        <v>7636</v>
      </c>
      <c r="G2069" s="9" t="s">
        <v>7637</v>
      </c>
      <c r="H2069" s="9" t="s">
        <v>18</v>
      </c>
      <c r="I2069" s="16" t="str">
        <f>VLOOKUP(F2069,[1]完整分类结果!$E:$G,3,0)</f>
        <v>普通机械制造业</v>
      </c>
      <c r="J2069" s="16">
        <f>VLOOKUP(I2069,[2]行业排放因子!$A:$B,2,0)</f>
        <v>9.6615781889079599</v>
      </c>
      <c r="K2069" s="9" t="s">
        <v>756</v>
      </c>
    </row>
    <row r="2070" spans="1:11" ht="12.5" customHeight="1" x14ac:dyDescent="0.25">
      <c r="A2070" s="5" t="s">
        <v>7638</v>
      </c>
      <c r="B2070" s="6" t="s">
        <v>7578</v>
      </c>
      <c r="C2070" s="6" t="s">
        <v>7579</v>
      </c>
      <c r="D2070" s="6" t="s">
        <v>7634</v>
      </c>
      <c r="E2070" s="6" t="s">
        <v>7639</v>
      </c>
      <c r="F2070" s="6" t="s">
        <v>7640</v>
      </c>
      <c r="G2070" s="9" t="s">
        <v>7641</v>
      </c>
      <c r="H2070" s="9" t="s">
        <v>18</v>
      </c>
      <c r="I2070" s="16" t="str">
        <f>VLOOKUP(F2070,[1]完整分类结果!$E:$G,3,0)</f>
        <v>普通机械制造业</v>
      </c>
      <c r="J2070" s="16">
        <f>VLOOKUP(I2070,[2]行业排放因子!$A:$B,2,0)</f>
        <v>9.6615781889079599</v>
      </c>
      <c r="K2070" s="9" t="s">
        <v>756</v>
      </c>
    </row>
    <row r="2071" spans="1:11" ht="12.5" customHeight="1" x14ac:dyDescent="0.25">
      <c r="A2071" s="5" t="s">
        <v>7642</v>
      </c>
      <c r="B2071" s="6" t="s">
        <v>7578</v>
      </c>
      <c r="C2071" s="6" t="s">
        <v>7579</v>
      </c>
      <c r="D2071" s="6" t="s">
        <v>7634</v>
      </c>
      <c r="E2071" s="6" t="s">
        <v>7643</v>
      </c>
      <c r="F2071" s="6" t="s">
        <v>7644</v>
      </c>
      <c r="G2071" s="9" t="s">
        <v>7645</v>
      </c>
      <c r="H2071" s="9" t="s">
        <v>18</v>
      </c>
      <c r="I2071" s="16" t="str">
        <f>VLOOKUP(F2071,[1]完整分类结果!$E:$G,3,0)</f>
        <v>普通机械制造业</v>
      </c>
      <c r="J2071" s="16">
        <f>VLOOKUP(I2071,[2]行业排放因子!$A:$B,2,0)</f>
        <v>9.6615781889079599</v>
      </c>
      <c r="K2071" s="9" t="s">
        <v>756</v>
      </c>
    </row>
    <row r="2072" spans="1:11" ht="12.5" customHeight="1" x14ac:dyDescent="0.25">
      <c r="A2072" s="5" t="s">
        <v>7646</v>
      </c>
      <c r="B2072" s="6" t="s">
        <v>7578</v>
      </c>
      <c r="C2072" s="6" t="s">
        <v>7579</v>
      </c>
      <c r="D2072" s="6" t="s">
        <v>7634</v>
      </c>
      <c r="E2072" s="6" t="s">
        <v>7647</v>
      </c>
      <c r="F2072" s="6" t="s">
        <v>7648</v>
      </c>
      <c r="G2072" s="9" t="s">
        <v>7649</v>
      </c>
      <c r="H2072" s="9" t="s">
        <v>18</v>
      </c>
      <c r="I2072" s="16" t="str">
        <f>VLOOKUP(F2072,[1]完整分类结果!$E:$G,3,0)</f>
        <v>普通机械制造业</v>
      </c>
      <c r="J2072" s="16">
        <f>VLOOKUP(I2072,[2]行业排放因子!$A:$B,2,0)</f>
        <v>9.6615781889079599</v>
      </c>
      <c r="K2072" s="9" t="s">
        <v>756</v>
      </c>
    </row>
    <row r="2073" spans="1:11" ht="12.5" customHeight="1" x14ac:dyDescent="0.25">
      <c r="A2073" s="5" t="s">
        <v>7650</v>
      </c>
      <c r="B2073" s="6" t="s">
        <v>7578</v>
      </c>
      <c r="C2073" s="6" t="s">
        <v>7579</v>
      </c>
      <c r="D2073" s="6" t="s">
        <v>7634</v>
      </c>
      <c r="E2073" s="6" t="s">
        <v>7651</v>
      </c>
      <c r="F2073" s="6" t="s">
        <v>7652</v>
      </c>
      <c r="G2073" s="9"/>
      <c r="H2073" s="9" t="s">
        <v>18</v>
      </c>
      <c r="I2073" s="16" t="str">
        <f>VLOOKUP(F2073,[1]完整分类结果!$E:$G,3,0)</f>
        <v>普通机械制造业</v>
      </c>
      <c r="J2073" s="16">
        <f>VLOOKUP(I2073,[2]行业排放因子!$A:$B,2,0)</f>
        <v>9.6615781889079599</v>
      </c>
      <c r="K2073" s="9" t="s">
        <v>756</v>
      </c>
    </row>
    <row r="2074" spans="1:11" ht="12.5" customHeight="1" x14ac:dyDescent="0.25">
      <c r="A2074" s="5" t="s">
        <v>7653</v>
      </c>
      <c r="B2074" s="6" t="s">
        <v>7578</v>
      </c>
      <c r="C2074" s="6" t="s">
        <v>7579</v>
      </c>
      <c r="D2074" s="6" t="s">
        <v>7654</v>
      </c>
      <c r="E2074" s="6" t="s">
        <v>7655</v>
      </c>
      <c r="F2074" s="6" t="s">
        <v>7656</v>
      </c>
      <c r="G2074" s="9" t="s">
        <v>7657</v>
      </c>
      <c r="H2074" s="9" t="s">
        <v>18</v>
      </c>
      <c r="I2074" s="16" t="str">
        <f>VLOOKUP(F2074,[1]完整分类结果!$E:$G,3,0)</f>
        <v>普通机械制造业</v>
      </c>
      <c r="J2074" s="16">
        <f>VLOOKUP(I2074,[2]行业排放因子!$A:$B,2,0)</f>
        <v>9.6615781889079599</v>
      </c>
      <c r="K2074" s="9" t="s">
        <v>756</v>
      </c>
    </row>
    <row r="2075" spans="1:11" ht="12.5" customHeight="1" x14ac:dyDescent="0.25">
      <c r="A2075" s="5" t="s">
        <v>7658</v>
      </c>
      <c r="B2075" s="6" t="s">
        <v>7578</v>
      </c>
      <c r="C2075" s="6" t="s">
        <v>7579</v>
      </c>
      <c r="D2075" s="6" t="s">
        <v>7654</v>
      </c>
      <c r="E2075" s="6" t="s">
        <v>7659</v>
      </c>
      <c r="F2075" s="6" t="s">
        <v>7660</v>
      </c>
      <c r="G2075" s="9" t="s">
        <v>7661</v>
      </c>
      <c r="H2075" s="9" t="s">
        <v>18</v>
      </c>
      <c r="I2075" s="16" t="str">
        <f>VLOOKUP(F2075,[1]完整分类结果!$E:$G,3,0)</f>
        <v>普通机械制造业</v>
      </c>
      <c r="J2075" s="16">
        <f>VLOOKUP(I2075,[2]行业排放因子!$A:$B,2,0)</f>
        <v>9.6615781889079599</v>
      </c>
      <c r="K2075" s="9" t="s">
        <v>756</v>
      </c>
    </row>
    <row r="2076" spans="1:11" ht="12.5" customHeight="1" x14ac:dyDescent="0.25">
      <c r="A2076" s="5" t="s">
        <v>7662</v>
      </c>
      <c r="B2076" s="6" t="s">
        <v>7578</v>
      </c>
      <c r="C2076" s="6" t="s">
        <v>7579</v>
      </c>
      <c r="D2076" s="6" t="s">
        <v>7654</v>
      </c>
      <c r="E2076" s="6" t="s">
        <v>7663</v>
      </c>
      <c r="F2076" s="6" t="s">
        <v>7664</v>
      </c>
      <c r="G2076" s="9" t="s">
        <v>7665</v>
      </c>
      <c r="H2076" s="9" t="s">
        <v>18</v>
      </c>
      <c r="I2076" s="16" t="str">
        <f>VLOOKUP(F2076,[1]完整分类结果!$E:$G,3,0)</f>
        <v>普通机械制造业</v>
      </c>
      <c r="J2076" s="16">
        <f>VLOOKUP(I2076,[2]行业排放因子!$A:$B,2,0)</f>
        <v>9.6615781889079599</v>
      </c>
      <c r="K2076" s="9" t="s">
        <v>756</v>
      </c>
    </row>
    <row r="2077" spans="1:11" ht="12.5" customHeight="1" x14ac:dyDescent="0.25">
      <c r="A2077" s="5" t="s">
        <v>7666</v>
      </c>
      <c r="B2077" s="6" t="s">
        <v>7578</v>
      </c>
      <c r="C2077" s="6" t="s">
        <v>7579</v>
      </c>
      <c r="D2077" s="6" t="s">
        <v>7654</v>
      </c>
      <c r="E2077" s="6" t="s">
        <v>7667</v>
      </c>
      <c r="F2077" s="6" t="s">
        <v>7668</v>
      </c>
      <c r="G2077" s="9" t="s">
        <v>7669</v>
      </c>
      <c r="H2077" s="9" t="s">
        <v>18</v>
      </c>
      <c r="I2077" s="16" t="str">
        <f>VLOOKUP(F2077,[1]完整分类结果!$E:$G,3,0)</f>
        <v>普通机械制造业</v>
      </c>
      <c r="J2077" s="16">
        <f>VLOOKUP(I2077,[2]行业排放因子!$A:$B,2,0)</f>
        <v>9.6615781889079599</v>
      </c>
      <c r="K2077" s="9" t="s">
        <v>756</v>
      </c>
    </row>
    <row r="2078" spans="1:11" ht="12.5" customHeight="1" x14ac:dyDescent="0.25">
      <c r="A2078" s="5" t="s">
        <v>7670</v>
      </c>
      <c r="B2078" s="6" t="s">
        <v>7578</v>
      </c>
      <c r="C2078" s="6" t="s">
        <v>7579</v>
      </c>
      <c r="D2078" s="6" t="s">
        <v>7654</v>
      </c>
      <c r="E2078" s="6" t="s">
        <v>7671</v>
      </c>
      <c r="F2078" s="6" t="s">
        <v>7672</v>
      </c>
      <c r="G2078" s="9" t="s">
        <v>7673</v>
      </c>
      <c r="H2078" s="9" t="s">
        <v>18</v>
      </c>
      <c r="I2078" s="16" t="str">
        <f>VLOOKUP(F2078,[1]完整分类结果!$E:$G,3,0)</f>
        <v>普通机械制造业</v>
      </c>
      <c r="J2078" s="16">
        <f>VLOOKUP(I2078,[2]行业排放因子!$A:$B,2,0)</f>
        <v>9.6615781889079599</v>
      </c>
      <c r="K2078" s="9" t="s">
        <v>756</v>
      </c>
    </row>
    <row r="2079" spans="1:11" ht="12.5" customHeight="1" x14ac:dyDescent="0.25">
      <c r="A2079" s="5" t="s">
        <v>7674</v>
      </c>
      <c r="B2079" s="6" t="s">
        <v>7578</v>
      </c>
      <c r="C2079" s="6" t="s">
        <v>7579</v>
      </c>
      <c r="D2079" s="6" t="s">
        <v>7654</v>
      </c>
      <c r="E2079" s="6" t="s">
        <v>7675</v>
      </c>
      <c r="F2079" s="6" t="s">
        <v>7676</v>
      </c>
      <c r="G2079" s="9" t="s">
        <v>7677</v>
      </c>
      <c r="H2079" s="9" t="s">
        <v>18</v>
      </c>
      <c r="I2079" s="16" t="str">
        <f>VLOOKUP(F2079,[1]完整分类结果!$E:$G,3,0)</f>
        <v>普通机械制造业</v>
      </c>
      <c r="J2079" s="16">
        <f>VLOOKUP(I2079,[2]行业排放因子!$A:$B,2,0)</f>
        <v>9.6615781889079599</v>
      </c>
      <c r="K2079" s="9" t="s">
        <v>756</v>
      </c>
    </row>
    <row r="2080" spans="1:11" ht="12.5" customHeight="1" x14ac:dyDescent="0.25">
      <c r="A2080" s="5" t="s">
        <v>7678</v>
      </c>
      <c r="B2080" s="6" t="s">
        <v>7578</v>
      </c>
      <c r="C2080" s="6" t="s">
        <v>7579</v>
      </c>
      <c r="D2080" s="6" t="s">
        <v>7654</v>
      </c>
      <c r="E2080" s="6" t="s">
        <v>7679</v>
      </c>
      <c r="F2080" s="6" t="s">
        <v>7680</v>
      </c>
      <c r="G2080" s="9" t="s">
        <v>7681</v>
      </c>
      <c r="H2080" s="9" t="s">
        <v>18</v>
      </c>
      <c r="I2080" s="16" t="str">
        <f>VLOOKUP(F2080,[1]完整分类结果!$E:$G,3,0)</f>
        <v>普通机械制造业</v>
      </c>
      <c r="J2080" s="16">
        <f>VLOOKUP(I2080,[2]行业排放因子!$A:$B,2,0)</f>
        <v>9.6615781889079599</v>
      </c>
      <c r="K2080" s="9" t="s">
        <v>756</v>
      </c>
    </row>
    <row r="2081" spans="1:11" ht="12.5" customHeight="1" x14ac:dyDescent="0.25">
      <c r="A2081" s="5" t="s">
        <v>7682</v>
      </c>
      <c r="B2081" s="6" t="s">
        <v>7578</v>
      </c>
      <c r="C2081" s="6" t="s">
        <v>7579</v>
      </c>
      <c r="D2081" s="6" t="s">
        <v>7654</v>
      </c>
      <c r="E2081" s="6" t="s">
        <v>7683</v>
      </c>
      <c r="F2081" s="6" t="s">
        <v>7684</v>
      </c>
      <c r="G2081" s="9" t="s">
        <v>7685</v>
      </c>
      <c r="H2081" s="9" t="s">
        <v>18</v>
      </c>
      <c r="I2081" s="16" t="str">
        <f>VLOOKUP(F2081,[1]完整分类结果!$E:$G,3,0)</f>
        <v>普通机械制造业</v>
      </c>
      <c r="J2081" s="16">
        <f>VLOOKUP(I2081,[2]行业排放因子!$A:$B,2,0)</f>
        <v>9.6615781889079599</v>
      </c>
      <c r="K2081" s="9" t="s">
        <v>756</v>
      </c>
    </row>
    <row r="2082" spans="1:11" ht="12.5" customHeight="1" x14ac:dyDescent="0.25">
      <c r="A2082" s="5" t="s">
        <v>7686</v>
      </c>
      <c r="B2082" s="6" t="s">
        <v>7578</v>
      </c>
      <c r="C2082" s="6" t="s">
        <v>7579</v>
      </c>
      <c r="D2082" s="6" t="s">
        <v>7654</v>
      </c>
      <c r="E2082" s="6" t="s">
        <v>7687</v>
      </c>
      <c r="F2082" s="6" t="s">
        <v>7688</v>
      </c>
      <c r="G2082" s="9" t="s">
        <v>7689</v>
      </c>
      <c r="H2082" s="9" t="s">
        <v>18</v>
      </c>
      <c r="I2082" s="16" t="str">
        <f>VLOOKUP(F2082,[1]完整分类结果!$E:$G,3,0)</f>
        <v>普通机械制造业</v>
      </c>
      <c r="J2082" s="16">
        <f>VLOOKUP(I2082,[2]行业排放因子!$A:$B,2,0)</f>
        <v>9.6615781889079599</v>
      </c>
      <c r="K2082" s="9" t="s">
        <v>756</v>
      </c>
    </row>
    <row r="2083" spans="1:11" ht="12.5" customHeight="1" x14ac:dyDescent="0.25">
      <c r="A2083" s="5" t="s">
        <v>7690</v>
      </c>
      <c r="B2083" s="6" t="s">
        <v>7578</v>
      </c>
      <c r="C2083" s="6" t="s">
        <v>7579</v>
      </c>
      <c r="D2083" s="6" t="s">
        <v>7654</v>
      </c>
      <c r="E2083" s="6" t="s">
        <v>7691</v>
      </c>
      <c r="F2083" s="6" t="s">
        <v>7692</v>
      </c>
      <c r="G2083" s="9" t="s">
        <v>7693</v>
      </c>
      <c r="H2083" s="9" t="s">
        <v>18</v>
      </c>
      <c r="I2083" s="16" t="str">
        <f>VLOOKUP(F2083,[1]完整分类结果!$E:$G,3,0)</f>
        <v>普通机械制造业</v>
      </c>
      <c r="J2083" s="16">
        <f>VLOOKUP(I2083,[2]行业排放因子!$A:$B,2,0)</f>
        <v>9.6615781889079599</v>
      </c>
      <c r="K2083" s="9" t="s">
        <v>756</v>
      </c>
    </row>
    <row r="2084" spans="1:11" ht="12.5" customHeight="1" x14ac:dyDescent="0.25">
      <c r="A2084" s="5" t="s">
        <v>7694</v>
      </c>
      <c r="B2084" s="6" t="s">
        <v>7578</v>
      </c>
      <c r="C2084" s="6" t="s">
        <v>7579</v>
      </c>
      <c r="D2084" s="6" t="s">
        <v>7654</v>
      </c>
      <c r="E2084" s="6" t="s">
        <v>7695</v>
      </c>
      <c r="F2084" s="6" t="s">
        <v>7696</v>
      </c>
      <c r="G2084" s="9" t="s">
        <v>7697</v>
      </c>
      <c r="H2084" s="9" t="s">
        <v>18</v>
      </c>
      <c r="I2084" s="16" t="str">
        <f>VLOOKUP(F2084,[1]完整分类结果!$E:$G,3,0)</f>
        <v>普通机械制造业</v>
      </c>
      <c r="J2084" s="16">
        <f>VLOOKUP(I2084,[2]行业排放因子!$A:$B,2,0)</f>
        <v>9.6615781889079599</v>
      </c>
      <c r="K2084" s="9" t="s">
        <v>756</v>
      </c>
    </row>
    <row r="2085" spans="1:11" ht="12.5" customHeight="1" x14ac:dyDescent="0.25">
      <c r="A2085" s="5" t="s">
        <v>7698</v>
      </c>
      <c r="B2085" s="6" t="s">
        <v>7578</v>
      </c>
      <c r="C2085" s="6" t="s">
        <v>7579</v>
      </c>
      <c r="D2085" s="6" t="s">
        <v>7654</v>
      </c>
      <c r="E2085" s="6" t="s">
        <v>7699</v>
      </c>
      <c r="F2085" s="6" t="s">
        <v>7700</v>
      </c>
      <c r="G2085" s="9" t="s">
        <v>7701</v>
      </c>
      <c r="H2085" s="9" t="s">
        <v>18</v>
      </c>
      <c r="I2085" s="16" t="str">
        <f>VLOOKUP(F2085,[1]完整分类结果!$E:$G,3,0)</f>
        <v>普通机械制造业</v>
      </c>
      <c r="J2085" s="16">
        <f>VLOOKUP(I2085,[2]行业排放因子!$A:$B,2,0)</f>
        <v>9.6615781889079599</v>
      </c>
      <c r="K2085" s="9" t="s">
        <v>756</v>
      </c>
    </row>
    <row r="2086" spans="1:11" ht="12.5" customHeight="1" x14ac:dyDescent="0.25">
      <c r="A2086" s="5" t="s">
        <v>7702</v>
      </c>
      <c r="B2086" s="6" t="s">
        <v>7578</v>
      </c>
      <c r="C2086" s="6" t="s">
        <v>7579</v>
      </c>
      <c r="D2086" s="6" t="s">
        <v>7654</v>
      </c>
      <c r="E2086" s="6" t="s">
        <v>7703</v>
      </c>
      <c r="F2086" s="6" t="s">
        <v>7704</v>
      </c>
      <c r="G2086" s="9" t="s">
        <v>7705</v>
      </c>
      <c r="H2086" s="9" t="s">
        <v>18</v>
      </c>
      <c r="I2086" s="16" t="str">
        <f>VLOOKUP(F2086,[1]完整分类结果!$E:$G,3,0)</f>
        <v>普通机械制造业</v>
      </c>
      <c r="J2086" s="16">
        <f>VLOOKUP(I2086,[2]行业排放因子!$A:$B,2,0)</f>
        <v>9.6615781889079599</v>
      </c>
      <c r="K2086" s="9" t="s">
        <v>756</v>
      </c>
    </row>
    <row r="2087" spans="1:11" ht="12.5" customHeight="1" x14ac:dyDescent="0.25">
      <c r="A2087" s="5" t="s">
        <v>7706</v>
      </c>
      <c r="B2087" s="6" t="s">
        <v>7578</v>
      </c>
      <c r="C2087" s="6" t="s">
        <v>7579</v>
      </c>
      <c r="D2087" s="6" t="s">
        <v>7654</v>
      </c>
      <c r="E2087" s="6" t="s">
        <v>7707</v>
      </c>
      <c r="F2087" s="6" t="s">
        <v>7708</v>
      </c>
      <c r="G2087" s="9" t="s">
        <v>7709</v>
      </c>
      <c r="H2087" s="9" t="s">
        <v>18</v>
      </c>
      <c r="I2087" s="16" t="str">
        <f>VLOOKUP(F2087,[1]完整分类结果!$E:$G,3,0)</f>
        <v>普通机械制造业</v>
      </c>
      <c r="J2087" s="16">
        <f>VLOOKUP(I2087,[2]行业排放因子!$A:$B,2,0)</f>
        <v>9.6615781889079599</v>
      </c>
      <c r="K2087" s="9" t="s">
        <v>756</v>
      </c>
    </row>
    <row r="2088" spans="1:11" ht="12.5" customHeight="1" x14ac:dyDescent="0.25">
      <c r="A2088" s="5" t="s">
        <v>7710</v>
      </c>
      <c r="B2088" s="6" t="s">
        <v>7578</v>
      </c>
      <c r="C2088" s="6" t="s">
        <v>7579</v>
      </c>
      <c r="D2088" s="6" t="s">
        <v>7654</v>
      </c>
      <c r="E2088" s="6" t="s">
        <v>7711</v>
      </c>
      <c r="F2088" s="6" t="s">
        <v>7712</v>
      </c>
      <c r="G2088" s="9"/>
      <c r="H2088" s="9" t="s">
        <v>18</v>
      </c>
      <c r="I2088" s="16" t="str">
        <f>VLOOKUP(F2088,[1]完整分类结果!$E:$G,3,0)</f>
        <v>普通机械制造业</v>
      </c>
      <c r="J2088" s="16">
        <f>VLOOKUP(I2088,[2]行业排放因子!$A:$B,2,0)</f>
        <v>9.6615781889079599</v>
      </c>
      <c r="K2088" s="9" t="s">
        <v>756</v>
      </c>
    </row>
    <row r="2089" spans="1:11" ht="12.5" customHeight="1" x14ac:dyDescent="0.25">
      <c r="A2089" s="5" t="s">
        <v>7713</v>
      </c>
      <c r="B2089" s="6" t="s">
        <v>7578</v>
      </c>
      <c r="C2089" s="6" t="s">
        <v>7579</v>
      </c>
      <c r="D2089" s="6" t="s">
        <v>7654</v>
      </c>
      <c r="E2089" s="6" t="s">
        <v>7714</v>
      </c>
      <c r="F2089" s="6" t="s">
        <v>7715</v>
      </c>
      <c r="G2089" s="9" t="s">
        <v>7716</v>
      </c>
      <c r="H2089" s="9" t="s">
        <v>18</v>
      </c>
      <c r="I2089" s="16" t="str">
        <f>VLOOKUP(F2089,[1]完整分类结果!$E:$G,3,0)</f>
        <v>普通机械制造业</v>
      </c>
      <c r="J2089" s="16">
        <f>VLOOKUP(I2089,[2]行业排放因子!$A:$B,2,0)</f>
        <v>9.6615781889079599</v>
      </c>
      <c r="K2089" s="9" t="s">
        <v>756</v>
      </c>
    </row>
    <row r="2090" spans="1:11" ht="12.5" customHeight="1" x14ac:dyDescent="0.25">
      <c r="A2090" s="5" t="s">
        <v>7717</v>
      </c>
      <c r="B2090" s="6" t="s">
        <v>7578</v>
      </c>
      <c r="C2090" s="6" t="s">
        <v>7579</v>
      </c>
      <c r="D2090" s="6" t="s">
        <v>7654</v>
      </c>
      <c r="E2090" s="6" t="s">
        <v>7718</v>
      </c>
      <c r="F2090" s="6" t="s">
        <v>7719</v>
      </c>
      <c r="G2090" s="9" t="s">
        <v>7720</v>
      </c>
      <c r="H2090" s="9" t="s">
        <v>18</v>
      </c>
      <c r="I2090" s="16" t="str">
        <f>VLOOKUP(F2090,[1]完整分类结果!$E:$G,3,0)</f>
        <v>普通机械制造业</v>
      </c>
      <c r="J2090" s="16">
        <f>VLOOKUP(I2090,[2]行业排放因子!$A:$B,2,0)</f>
        <v>9.6615781889079599</v>
      </c>
      <c r="K2090" s="9" t="s">
        <v>756</v>
      </c>
    </row>
    <row r="2091" spans="1:11" ht="12.5" customHeight="1" x14ac:dyDescent="0.25">
      <c r="A2091" s="5" t="s">
        <v>7721</v>
      </c>
      <c r="B2091" s="6" t="s">
        <v>7578</v>
      </c>
      <c r="C2091" s="6" t="s">
        <v>7579</v>
      </c>
      <c r="D2091" s="6" t="s">
        <v>7654</v>
      </c>
      <c r="E2091" s="6" t="s">
        <v>7722</v>
      </c>
      <c r="F2091" s="6" t="s">
        <v>7723</v>
      </c>
      <c r="G2091" s="9" t="s">
        <v>7724</v>
      </c>
      <c r="H2091" s="9" t="s">
        <v>18</v>
      </c>
      <c r="I2091" s="16" t="str">
        <f>VLOOKUP(F2091,[1]完整分类结果!$E:$G,3,0)</f>
        <v>普通机械制造业</v>
      </c>
      <c r="J2091" s="16">
        <f>VLOOKUP(I2091,[2]行业排放因子!$A:$B,2,0)</f>
        <v>9.6615781889079599</v>
      </c>
      <c r="K2091" s="9" t="s">
        <v>756</v>
      </c>
    </row>
    <row r="2092" spans="1:11" ht="12.5" customHeight="1" x14ac:dyDescent="0.25">
      <c r="A2092" s="5" t="s">
        <v>7725</v>
      </c>
      <c r="B2092" s="6" t="s">
        <v>7578</v>
      </c>
      <c r="C2092" s="6" t="s">
        <v>7579</v>
      </c>
      <c r="D2092" s="6" t="s">
        <v>7654</v>
      </c>
      <c r="E2092" s="6" t="s">
        <v>7726</v>
      </c>
      <c r="F2092" s="6" t="s">
        <v>7727</v>
      </c>
      <c r="G2092" s="9"/>
      <c r="H2092" s="9" t="s">
        <v>18</v>
      </c>
      <c r="I2092" s="16" t="str">
        <f>VLOOKUP(F2092,[1]完整分类结果!$E:$G,3,0)</f>
        <v>普通机械制造业</v>
      </c>
      <c r="J2092" s="16">
        <f>VLOOKUP(I2092,[2]行业排放因子!$A:$B,2,0)</f>
        <v>9.6615781889079599</v>
      </c>
      <c r="K2092" s="9" t="s">
        <v>756</v>
      </c>
    </row>
    <row r="2093" spans="1:11" ht="12.5" customHeight="1" x14ac:dyDescent="0.25">
      <c r="A2093" s="5" t="s">
        <v>7728</v>
      </c>
      <c r="B2093" s="6" t="s">
        <v>7578</v>
      </c>
      <c r="C2093" s="6" t="s">
        <v>7579</v>
      </c>
      <c r="D2093" s="6" t="s">
        <v>7654</v>
      </c>
      <c r="E2093" s="6" t="s">
        <v>7729</v>
      </c>
      <c r="F2093" s="6" t="s">
        <v>7730</v>
      </c>
      <c r="G2093" s="9"/>
      <c r="H2093" s="9" t="s">
        <v>18</v>
      </c>
      <c r="I2093" s="16" t="str">
        <f>VLOOKUP(F2093,[1]完整分类结果!$E:$G,3,0)</f>
        <v>普通机械制造业</v>
      </c>
      <c r="J2093" s="16">
        <f>VLOOKUP(I2093,[2]行业排放因子!$A:$B,2,0)</f>
        <v>9.6615781889079599</v>
      </c>
      <c r="K2093" s="9" t="s">
        <v>756</v>
      </c>
    </row>
    <row r="2094" spans="1:11" ht="12.5" customHeight="1" x14ac:dyDescent="0.25">
      <c r="A2094" s="5" t="s">
        <v>7731</v>
      </c>
      <c r="B2094" s="6" t="s">
        <v>7578</v>
      </c>
      <c r="C2094" s="6" t="s">
        <v>7579</v>
      </c>
      <c r="D2094" s="6" t="s">
        <v>7654</v>
      </c>
      <c r="E2094" s="6" t="s">
        <v>7732</v>
      </c>
      <c r="F2094" s="6" t="s">
        <v>7733</v>
      </c>
      <c r="G2094" s="9"/>
      <c r="H2094" s="9" t="s">
        <v>18</v>
      </c>
      <c r="I2094" s="16" t="str">
        <f>VLOOKUP(F2094,[1]完整分类结果!$E:$G,3,0)</f>
        <v>普通机械制造业</v>
      </c>
      <c r="J2094" s="16">
        <f>VLOOKUP(I2094,[2]行业排放因子!$A:$B,2,0)</f>
        <v>9.6615781889079599</v>
      </c>
      <c r="K2094" s="9" t="s">
        <v>756</v>
      </c>
    </row>
    <row r="2095" spans="1:11" ht="12.5" customHeight="1" x14ac:dyDescent="0.25">
      <c r="A2095" s="5" t="s">
        <v>7734</v>
      </c>
      <c r="B2095" s="6" t="s">
        <v>7578</v>
      </c>
      <c r="C2095" s="6" t="s">
        <v>7579</v>
      </c>
      <c r="D2095" s="6" t="s">
        <v>7654</v>
      </c>
      <c r="E2095" s="6" t="s">
        <v>7735</v>
      </c>
      <c r="F2095" s="6" t="s">
        <v>7736</v>
      </c>
      <c r="G2095" s="9"/>
      <c r="H2095" s="9" t="s">
        <v>18</v>
      </c>
      <c r="I2095" s="16" t="str">
        <f>VLOOKUP(F2095,[1]完整分类结果!$E:$G,3,0)</f>
        <v>普通机械制造业</v>
      </c>
      <c r="J2095" s="16">
        <f>VLOOKUP(I2095,[2]行业排放因子!$A:$B,2,0)</f>
        <v>9.6615781889079599</v>
      </c>
      <c r="K2095" s="9" t="s">
        <v>756</v>
      </c>
    </row>
    <row r="2096" spans="1:11" ht="12.5" customHeight="1" x14ac:dyDescent="0.25">
      <c r="A2096" s="5" t="s">
        <v>7737</v>
      </c>
      <c r="B2096" s="6" t="s">
        <v>7578</v>
      </c>
      <c r="C2096" s="6" t="s">
        <v>7579</v>
      </c>
      <c r="D2096" s="6" t="s">
        <v>7654</v>
      </c>
      <c r="E2096" s="6" t="s">
        <v>7738</v>
      </c>
      <c r="F2096" s="6" t="s">
        <v>7739</v>
      </c>
      <c r="G2096" s="9" t="s">
        <v>7740</v>
      </c>
      <c r="H2096" s="9" t="s">
        <v>18</v>
      </c>
      <c r="I2096" s="16" t="str">
        <f>VLOOKUP(F2096,[1]完整分类结果!$E:$G,3,0)</f>
        <v>普通机械制造业</v>
      </c>
      <c r="J2096" s="16">
        <f>VLOOKUP(I2096,[2]行业排放因子!$A:$B,2,0)</f>
        <v>9.6615781889079599</v>
      </c>
      <c r="K2096" s="9" t="s">
        <v>756</v>
      </c>
    </row>
    <row r="2097" spans="1:11" ht="12.5" customHeight="1" x14ac:dyDescent="0.25">
      <c r="A2097" s="5" t="s">
        <v>7741</v>
      </c>
      <c r="B2097" s="6" t="s">
        <v>7578</v>
      </c>
      <c r="C2097" s="6" t="s">
        <v>7579</v>
      </c>
      <c r="D2097" s="6" t="s">
        <v>7654</v>
      </c>
      <c r="E2097" s="6" t="s">
        <v>7742</v>
      </c>
      <c r="F2097" s="6" t="s">
        <v>7743</v>
      </c>
      <c r="G2097" s="9" t="s">
        <v>7744</v>
      </c>
      <c r="H2097" s="9" t="s">
        <v>18</v>
      </c>
      <c r="I2097" s="16" t="str">
        <f>VLOOKUP(F2097,[1]完整分类结果!$E:$G,3,0)</f>
        <v>普通机械制造业</v>
      </c>
      <c r="J2097" s="16">
        <f>VLOOKUP(I2097,[2]行业排放因子!$A:$B,2,0)</f>
        <v>9.6615781889079599</v>
      </c>
      <c r="K2097" s="9" t="s">
        <v>756</v>
      </c>
    </row>
    <row r="2098" spans="1:11" ht="12.5" customHeight="1" x14ac:dyDescent="0.25">
      <c r="A2098" s="5" t="s">
        <v>7745</v>
      </c>
      <c r="B2098" s="6" t="s">
        <v>7578</v>
      </c>
      <c r="C2098" s="6" t="s">
        <v>7579</v>
      </c>
      <c r="D2098" s="6" t="s">
        <v>7654</v>
      </c>
      <c r="E2098" s="6" t="s">
        <v>7746</v>
      </c>
      <c r="F2098" s="6" t="s">
        <v>7747</v>
      </c>
      <c r="G2098" s="9" t="s">
        <v>7748</v>
      </c>
      <c r="H2098" s="9" t="s">
        <v>18</v>
      </c>
      <c r="I2098" s="16" t="str">
        <f>VLOOKUP(F2098,[1]完整分类结果!$E:$G,3,0)</f>
        <v>普通机械制造业</v>
      </c>
      <c r="J2098" s="16">
        <f>VLOOKUP(I2098,[2]行业排放因子!$A:$B,2,0)</f>
        <v>9.6615781889079599</v>
      </c>
      <c r="K2098" s="9" t="s">
        <v>756</v>
      </c>
    </row>
    <row r="2099" spans="1:11" ht="12.5" customHeight="1" x14ac:dyDescent="0.25">
      <c r="A2099" s="5" t="s">
        <v>7749</v>
      </c>
      <c r="B2099" s="6" t="s">
        <v>7578</v>
      </c>
      <c r="C2099" s="6" t="s">
        <v>7579</v>
      </c>
      <c r="D2099" s="6" t="s">
        <v>7654</v>
      </c>
      <c r="E2099" s="6" t="s">
        <v>7750</v>
      </c>
      <c r="F2099" s="6" t="s">
        <v>7751</v>
      </c>
      <c r="G2099" s="9"/>
      <c r="H2099" s="9" t="s">
        <v>18</v>
      </c>
      <c r="I2099" s="16" t="str">
        <f>VLOOKUP(F2099,[1]完整分类结果!$E:$G,3,0)</f>
        <v>普通机械制造业</v>
      </c>
      <c r="J2099" s="16">
        <f>VLOOKUP(I2099,[2]行业排放因子!$A:$B,2,0)</f>
        <v>9.6615781889079599</v>
      </c>
      <c r="K2099" s="9" t="s">
        <v>756</v>
      </c>
    </row>
    <row r="2100" spans="1:11" ht="12.5" customHeight="1" x14ac:dyDescent="0.25">
      <c r="A2100" s="5" t="s">
        <v>7752</v>
      </c>
      <c r="B2100" s="6" t="s">
        <v>7578</v>
      </c>
      <c r="C2100" s="6" t="s">
        <v>7579</v>
      </c>
      <c r="D2100" s="6" t="s">
        <v>7654</v>
      </c>
      <c r="E2100" s="6" t="s">
        <v>7753</v>
      </c>
      <c r="F2100" s="6" t="s">
        <v>7754</v>
      </c>
      <c r="G2100" s="9"/>
      <c r="H2100" s="9" t="s">
        <v>18</v>
      </c>
      <c r="I2100" s="16" t="str">
        <f>VLOOKUP(F2100,[1]完整分类结果!$E:$G,3,0)</f>
        <v>普通机械制造业</v>
      </c>
      <c r="J2100" s="16">
        <f>VLOOKUP(I2100,[2]行业排放因子!$A:$B,2,0)</f>
        <v>9.6615781889079599</v>
      </c>
      <c r="K2100" s="9" t="s">
        <v>756</v>
      </c>
    </row>
    <row r="2101" spans="1:11" ht="12.5" customHeight="1" x14ac:dyDescent="0.25">
      <c r="A2101" s="5" t="s">
        <v>7755</v>
      </c>
      <c r="B2101" s="6" t="s">
        <v>7578</v>
      </c>
      <c r="C2101" s="6" t="s">
        <v>7579</v>
      </c>
      <c r="D2101" s="6" t="s">
        <v>7654</v>
      </c>
      <c r="E2101" s="6" t="s">
        <v>7756</v>
      </c>
      <c r="F2101" s="6" t="s">
        <v>7757</v>
      </c>
      <c r="G2101" s="9" t="s">
        <v>7758</v>
      </c>
      <c r="H2101" s="9" t="s">
        <v>18</v>
      </c>
      <c r="I2101" s="16" t="str">
        <f>VLOOKUP(F2101,[1]完整分类结果!$E:$G,3,0)</f>
        <v>普通机械制造业</v>
      </c>
      <c r="J2101" s="16">
        <f>VLOOKUP(I2101,[2]行业排放因子!$A:$B,2,0)</f>
        <v>9.6615781889079599</v>
      </c>
      <c r="K2101" s="9" t="s">
        <v>756</v>
      </c>
    </row>
    <row r="2102" spans="1:11" ht="12.5" customHeight="1" x14ac:dyDescent="0.25">
      <c r="A2102" s="5" t="s">
        <v>7759</v>
      </c>
      <c r="B2102" s="6" t="s">
        <v>7578</v>
      </c>
      <c r="C2102" s="6" t="s">
        <v>7579</v>
      </c>
      <c r="D2102" s="6" t="s">
        <v>7654</v>
      </c>
      <c r="E2102" s="6" t="s">
        <v>7760</v>
      </c>
      <c r="F2102" s="6" t="s">
        <v>7761</v>
      </c>
      <c r="G2102" s="9"/>
      <c r="H2102" s="9" t="s">
        <v>18</v>
      </c>
      <c r="I2102" s="16" t="str">
        <f>VLOOKUP(F2102,[1]完整分类结果!$E:$G,3,0)</f>
        <v>普通机械制造业</v>
      </c>
      <c r="J2102" s="16">
        <f>VLOOKUP(I2102,[2]行业排放因子!$A:$B,2,0)</f>
        <v>9.6615781889079599</v>
      </c>
      <c r="K2102" s="9" t="s">
        <v>756</v>
      </c>
    </row>
    <row r="2103" spans="1:11" ht="12.5" customHeight="1" x14ac:dyDescent="0.25">
      <c r="A2103" s="5" t="s">
        <v>7762</v>
      </c>
      <c r="B2103" s="6" t="s">
        <v>7578</v>
      </c>
      <c r="C2103" s="6" t="s">
        <v>7579</v>
      </c>
      <c r="D2103" s="6" t="s">
        <v>7654</v>
      </c>
      <c r="E2103" s="6" t="s">
        <v>7763</v>
      </c>
      <c r="F2103" s="6" t="s">
        <v>7764</v>
      </c>
      <c r="G2103" s="9"/>
      <c r="H2103" s="9" t="s">
        <v>18</v>
      </c>
      <c r="I2103" s="16" t="str">
        <f>VLOOKUP(F2103,[1]完整分类结果!$E:$G,3,0)</f>
        <v>普通机械制造业</v>
      </c>
      <c r="J2103" s="16">
        <f>VLOOKUP(I2103,[2]行业排放因子!$A:$B,2,0)</f>
        <v>9.6615781889079599</v>
      </c>
      <c r="K2103" s="9" t="s">
        <v>756</v>
      </c>
    </row>
    <row r="2104" spans="1:11" ht="12.5" customHeight="1" x14ac:dyDescent="0.25">
      <c r="A2104" s="5" t="s">
        <v>7765</v>
      </c>
      <c r="B2104" s="6" t="s">
        <v>7578</v>
      </c>
      <c r="C2104" s="6" t="s">
        <v>7579</v>
      </c>
      <c r="D2104" s="6" t="s">
        <v>7654</v>
      </c>
      <c r="E2104" s="6" t="s">
        <v>7766</v>
      </c>
      <c r="F2104" s="6" t="s">
        <v>7767</v>
      </c>
      <c r="G2104" s="9"/>
      <c r="H2104" s="9" t="s">
        <v>18</v>
      </c>
      <c r="I2104" s="16" t="str">
        <f>VLOOKUP(F2104,[1]完整分类结果!$E:$G,3,0)</f>
        <v>普通机械制造业</v>
      </c>
      <c r="J2104" s="16">
        <f>VLOOKUP(I2104,[2]行业排放因子!$A:$B,2,0)</f>
        <v>9.6615781889079599</v>
      </c>
      <c r="K2104" s="9" t="s">
        <v>756</v>
      </c>
    </row>
    <row r="2105" spans="1:11" ht="12.5" customHeight="1" x14ac:dyDescent="0.25">
      <c r="A2105" s="5" t="s">
        <v>7768</v>
      </c>
      <c r="B2105" s="6" t="s">
        <v>7578</v>
      </c>
      <c r="C2105" s="6" t="s">
        <v>7579</v>
      </c>
      <c r="D2105" s="6" t="s">
        <v>7654</v>
      </c>
      <c r="E2105" s="6" t="s">
        <v>7769</v>
      </c>
      <c r="F2105" s="6" t="s">
        <v>7770</v>
      </c>
      <c r="G2105" s="9"/>
      <c r="H2105" s="9" t="s">
        <v>18</v>
      </c>
      <c r="I2105" s="16" t="str">
        <f>VLOOKUP(F2105,[1]完整分类结果!$E:$G,3,0)</f>
        <v>普通机械制造业</v>
      </c>
      <c r="J2105" s="16">
        <f>VLOOKUP(I2105,[2]行业排放因子!$A:$B,2,0)</f>
        <v>9.6615781889079599</v>
      </c>
      <c r="K2105" s="9" t="s">
        <v>756</v>
      </c>
    </row>
    <row r="2106" spans="1:11" ht="12.5" customHeight="1" x14ac:dyDescent="0.25">
      <c r="A2106" s="5" t="s">
        <v>7771</v>
      </c>
      <c r="B2106" s="6" t="s">
        <v>7578</v>
      </c>
      <c r="C2106" s="6" t="s">
        <v>7579</v>
      </c>
      <c r="D2106" s="6" t="s">
        <v>7654</v>
      </c>
      <c r="E2106" s="6" t="s">
        <v>7772</v>
      </c>
      <c r="F2106" s="6" t="s">
        <v>7773</v>
      </c>
      <c r="G2106" s="9" t="s">
        <v>7774</v>
      </c>
      <c r="H2106" s="9" t="s">
        <v>18</v>
      </c>
      <c r="I2106" s="16" t="str">
        <f>VLOOKUP(F2106,[1]完整分类结果!$E:$G,3,0)</f>
        <v>普通机械制造业</v>
      </c>
      <c r="J2106" s="16">
        <f>VLOOKUP(I2106,[2]行业排放因子!$A:$B,2,0)</f>
        <v>9.6615781889079599</v>
      </c>
      <c r="K2106" s="9" t="s">
        <v>756</v>
      </c>
    </row>
    <row r="2107" spans="1:11" ht="12.5" customHeight="1" x14ac:dyDescent="0.25">
      <c r="A2107" s="5" t="s">
        <v>7775</v>
      </c>
      <c r="B2107" s="6" t="s">
        <v>7578</v>
      </c>
      <c r="C2107" s="6" t="s">
        <v>7579</v>
      </c>
      <c r="D2107" s="6" t="s">
        <v>7654</v>
      </c>
      <c r="E2107" s="6" t="s">
        <v>7776</v>
      </c>
      <c r="F2107" s="6" t="s">
        <v>7777</v>
      </c>
      <c r="G2107" s="9" t="s">
        <v>7778</v>
      </c>
      <c r="H2107" s="9" t="s">
        <v>18</v>
      </c>
      <c r="I2107" s="16" t="str">
        <f>VLOOKUP(F2107,[1]完整分类结果!$E:$G,3,0)</f>
        <v>普通机械制造业</v>
      </c>
      <c r="J2107" s="16">
        <f>VLOOKUP(I2107,[2]行业排放因子!$A:$B,2,0)</f>
        <v>9.6615781889079599</v>
      </c>
      <c r="K2107" s="9" t="s">
        <v>756</v>
      </c>
    </row>
    <row r="2108" spans="1:11" ht="12.5" customHeight="1" x14ac:dyDescent="0.25">
      <c r="A2108" s="5" t="s">
        <v>7779</v>
      </c>
      <c r="B2108" s="6" t="s">
        <v>7578</v>
      </c>
      <c r="C2108" s="6" t="s">
        <v>7579</v>
      </c>
      <c r="D2108" s="6" t="s">
        <v>7654</v>
      </c>
      <c r="E2108" s="6" t="s">
        <v>7780</v>
      </c>
      <c r="F2108" s="6" t="s">
        <v>7781</v>
      </c>
      <c r="G2108" s="9" t="s">
        <v>7782</v>
      </c>
      <c r="H2108" s="9" t="s">
        <v>18</v>
      </c>
      <c r="I2108" s="16" t="str">
        <f>VLOOKUP(F2108,[1]完整分类结果!$E:$G,3,0)</f>
        <v>普通机械制造业</v>
      </c>
      <c r="J2108" s="16">
        <f>VLOOKUP(I2108,[2]行业排放因子!$A:$B,2,0)</f>
        <v>9.6615781889079599</v>
      </c>
      <c r="K2108" s="9" t="s">
        <v>756</v>
      </c>
    </row>
    <row r="2109" spans="1:11" ht="12.5" customHeight="1" x14ac:dyDescent="0.25">
      <c r="A2109" s="5" t="s">
        <v>7783</v>
      </c>
      <c r="B2109" s="6" t="s">
        <v>7578</v>
      </c>
      <c r="C2109" s="6" t="s">
        <v>7579</v>
      </c>
      <c r="D2109" s="6" t="s">
        <v>7654</v>
      </c>
      <c r="E2109" s="6" t="s">
        <v>7784</v>
      </c>
      <c r="F2109" s="6" t="s">
        <v>7785</v>
      </c>
      <c r="G2109" s="9" t="s">
        <v>7786</v>
      </c>
      <c r="H2109" s="9" t="s">
        <v>18</v>
      </c>
      <c r="I2109" s="16" t="str">
        <f>VLOOKUP(F2109,[1]完整分类结果!$E:$G,3,0)</f>
        <v>普通机械制造业</v>
      </c>
      <c r="J2109" s="16">
        <f>VLOOKUP(I2109,[2]行业排放因子!$A:$B,2,0)</f>
        <v>9.6615781889079599</v>
      </c>
      <c r="K2109" s="9" t="s">
        <v>756</v>
      </c>
    </row>
    <row r="2110" spans="1:11" ht="12.5" customHeight="1" x14ac:dyDescent="0.25">
      <c r="A2110" s="5" t="s">
        <v>7787</v>
      </c>
      <c r="B2110" s="6" t="s">
        <v>7578</v>
      </c>
      <c r="C2110" s="6" t="s">
        <v>7579</v>
      </c>
      <c r="D2110" s="6" t="s">
        <v>7654</v>
      </c>
      <c r="E2110" s="6" t="s">
        <v>7788</v>
      </c>
      <c r="F2110" s="6" t="s">
        <v>7789</v>
      </c>
      <c r="G2110" s="9" t="s">
        <v>7790</v>
      </c>
      <c r="H2110" s="9" t="s">
        <v>18</v>
      </c>
      <c r="I2110" s="16" t="str">
        <f>VLOOKUP(F2110,[1]完整分类结果!$E:$G,3,0)</f>
        <v>普通机械制造业</v>
      </c>
      <c r="J2110" s="16">
        <f>VLOOKUP(I2110,[2]行业排放因子!$A:$B,2,0)</f>
        <v>9.6615781889079599</v>
      </c>
      <c r="K2110" s="9" t="s">
        <v>756</v>
      </c>
    </row>
    <row r="2111" spans="1:11" ht="12.5" customHeight="1" x14ac:dyDescent="0.25">
      <c r="A2111" s="5" t="s">
        <v>7791</v>
      </c>
      <c r="B2111" s="6" t="s">
        <v>7578</v>
      </c>
      <c r="C2111" s="6" t="s">
        <v>7579</v>
      </c>
      <c r="D2111" s="6" t="s">
        <v>7792</v>
      </c>
      <c r="E2111" s="6" t="s">
        <v>7793</v>
      </c>
      <c r="F2111" s="6" t="s">
        <v>7794</v>
      </c>
      <c r="G2111" s="9" t="s">
        <v>7795</v>
      </c>
      <c r="H2111" s="9" t="s">
        <v>18</v>
      </c>
      <c r="I2111" s="16" t="str">
        <f>VLOOKUP(F2111,[1]完整分类结果!$E:$G,3,0)</f>
        <v>普通机械制造业</v>
      </c>
      <c r="J2111" s="16">
        <f>VLOOKUP(I2111,[2]行业排放因子!$A:$B,2,0)</f>
        <v>9.6615781889079599</v>
      </c>
      <c r="K2111" s="9" t="s">
        <v>756</v>
      </c>
    </row>
    <row r="2112" spans="1:11" ht="12.5" customHeight="1" x14ac:dyDescent="0.25">
      <c r="A2112" s="5" t="s">
        <v>7796</v>
      </c>
      <c r="B2112" s="6" t="s">
        <v>7578</v>
      </c>
      <c r="C2112" s="6" t="s">
        <v>7579</v>
      </c>
      <c r="D2112" s="6" t="s">
        <v>7792</v>
      </c>
      <c r="E2112" s="6" t="s">
        <v>7797</v>
      </c>
      <c r="F2112" s="6" t="s">
        <v>7798</v>
      </c>
      <c r="G2112" s="9" t="s">
        <v>7799</v>
      </c>
      <c r="H2112" s="9" t="s">
        <v>18</v>
      </c>
      <c r="I2112" s="16" t="str">
        <f>VLOOKUP(F2112,[1]完整分类结果!$E:$G,3,0)</f>
        <v>普通机械制造业</v>
      </c>
      <c r="J2112" s="16">
        <f>VLOOKUP(I2112,[2]行业排放因子!$A:$B,2,0)</f>
        <v>9.6615781889079599</v>
      </c>
      <c r="K2112" s="9" t="s">
        <v>756</v>
      </c>
    </row>
    <row r="2113" spans="1:11" ht="12.5" customHeight="1" x14ac:dyDescent="0.25">
      <c r="A2113" s="5" t="s">
        <v>7800</v>
      </c>
      <c r="B2113" s="6" t="s">
        <v>7578</v>
      </c>
      <c r="C2113" s="6" t="s">
        <v>7579</v>
      </c>
      <c r="D2113" s="6" t="s">
        <v>7792</v>
      </c>
      <c r="E2113" s="6" t="s">
        <v>7801</v>
      </c>
      <c r="F2113" s="6" t="s">
        <v>7802</v>
      </c>
      <c r="G2113" s="9" t="s">
        <v>7803</v>
      </c>
      <c r="H2113" s="9" t="s">
        <v>18</v>
      </c>
      <c r="I2113" s="16" t="str">
        <f>VLOOKUP(F2113,[1]完整分类结果!$E:$G,3,0)</f>
        <v>普通机械制造业</v>
      </c>
      <c r="J2113" s="16">
        <f>VLOOKUP(I2113,[2]行业排放因子!$A:$B,2,0)</f>
        <v>9.6615781889079599</v>
      </c>
      <c r="K2113" s="9" t="s">
        <v>756</v>
      </c>
    </row>
    <row r="2114" spans="1:11" ht="12.5" customHeight="1" x14ac:dyDescent="0.25">
      <c r="A2114" s="5" t="s">
        <v>7804</v>
      </c>
      <c r="B2114" s="6" t="s">
        <v>7578</v>
      </c>
      <c r="C2114" s="6" t="s">
        <v>7579</v>
      </c>
      <c r="D2114" s="6" t="s">
        <v>7792</v>
      </c>
      <c r="E2114" s="6" t="s">
        <v>7805</v>
      </c>
      <c r="F2114" s="6" t="s">
        <v>7806</v>
      </c>
      <c r="G2114" s="9"/>
      <c r="H2114" s="9" t="s">
        <v>18</v>
      </c>
      <c r="I2114" s="16" t="str">
        <f>VLOOKUP(F2114,[1]完整分类结果!$E:$G,3,0)</f>
        <v>普通机械制造业</v>
      </c>
      <c r="J2114" s="16">
        <f>VLOOKUP(I2114,[2]行业排放因子!$A:$B,2,0)</f>
        <v>9.6615781889079599</v>
      </c>
      <c r="K2114" s="9" t="s">
        <v>756</v>
      </c>
    </row>
    <row r="2115" spans="1:11" ht="12.5" customHeight="1" x14ac:dyDescent="0.25">
      <c r="A2115" s="5" t="s">
        <v>7807</v>
      </c>
      <c r="B2115" s="6" t="s">
        <v>7578</v>
      </c>
      <c r="C2115" s="6" t="s">
        <v>7579</v>
      </c>
      <c r="D2115" s="6" t="s">
        <v>7808</v>
      </c>
      <c r="E2115" s="6" t="s">
        <v>7809</v>
      </c>
      <c r="F2115" s="6" t="s">
        <v>7810</v>
      </c>
      <c r="G2115" s="9" t="s">
        <v>7811</v>
      </c>
      <c r="H2115" s="9" t="s">
        <v>18</v>
      </c>
      <c r="I2115" s="16" t="str">
        <f>VLOOKUP(F2115,[1]完整分类结果!$E:$G,3,0)</f>
        <v>普通机械制造业</v>
      </c>
      <c r="J2115" s="16">
        <f>VLOOKUP(I2115,[2]行业排放因子!$A:$B,2,0)</f>
        <v>9.6615781889079599</v>
      </c>
      <c r="K2115" s="9" t="s">
        <v>756</v>
      </c>
    </row>
    <row r="2116" spans="1:11" ht="12.5" customHeight="1" x14ac:dyDescent="0.25">
      <c r="A2116" s="5" t="s">
        <v>7812</v>
      </c>
      <c r="B2116" s="6" t="s">
        <v>7578</v>
      </c>
      <c r="C2116" s="6" t="s">
        <v>7579</v>
      </c>
      <c r="D2116" s="6" t="s">
        <v>7808</v>
      </c>
      <c r="E2116" s="6" t="s">
        <v>7813</v>
      </c>
      <c r="F2116" s="6" t="s">
        <v>7814</v>
      </c>
      <c r="G2116" s="9" t="s">
        <v>7815</v>
      </c>
      <c r="H2116" s="9" t="s">
        <v>18</v>
      </c>
      <c r="I2116" s="16" t="str">
        <f>VLOOKUP(F2116,[1]完整分类结果!$E:$G,3,0)</f>
        <v>普通机械制造业</v>
      </c>
      <c r="J2116" s="16">
        <f>VLOOKUP(I2116,[2]行业排放因子!$A:$B,2,0)</f>
        <v>9.6615781889079599</v>
      </c>
      <c r="K2116" s="9" t="s">
        <v>756</v>
      </c>
    </row>
    <row r="2117" spans="1:11" ht="12.5" customHeight="1" x14ac:dyDescent="0.25">
      <c r="A2117" s="5" t="s">
        <v>7816</v>
      </c>
      <c r="B2117" s="6" t="s">
        <v>7578</v>
      </c>
      <c r="C2117" s="6" t="s">
        <v>7579</v>
      </c>
      <c r="D2117" s="6" t="s">
        <v>7808</v>
      </c>
      <c r="E2117" s="6" t="s">
        <v>7817</v>
      </c>
      <c r="F2117" s="6" t="s">
        <v>7818</v>
      </c>
      <c r="G2117" s="9" t="s">
        <v>7819</v>
      </c>
      <c r="H2117" s="9" t="s">
        <v>18</v>
      </c>
      <c r="I2117" s="16" t="str">
        <f>VLOOKUP(F2117,[1]完整分类结果!$E:$G,3,0)</f>
        <v>普通机械制造业</v>
      </c>
      <c r="J2117" s="16">
        <f>VLOOKUP(I2117,[2]行业排放因子!$A:$B,2,0)</f>
        <v>9.6615781889079599</v>
      </c>
      <c r="K2117" s="9" t="s">
        <v>756</v>
      </c>
    </row>
    <row r="2118" spans="1:11" ht="12.5" customHeight="1" x14ac:dyDescent="0.25">
      <c r="A2118" s="5" t="s">
        <v>7820</v>
      </c>
      <c r="B2118" s="6" t="s">
        <v>7578</v>
      </c>
      <c r="C2118" s="6" t="s">
        <v>7579</v>
      </c>
      <c r="D2118" s="6" t="s">
        <v>7808</v>
      </c>
      <c r="E2118" s="6" t="s">
        <v>7821</v>
      </c>
      <c r="F2118" s="6" t="s">
        <v>7822</v>
      </c>
      <c r="G2118" s="9" t="s">
        <v>7823</v>
      </c>
      <c r="H2118" s="9" t="s">
        <v>18</v>
      </c>
      <c r="I2118" s="16" t="str">
        <f>VLOOKUP(F2118,[1]完整分类结果!$E:$G,3,0)</f>
        <v>普通机械制造业</v>
      </c>
      <c r="J2118" s="16">
        <f>VLOOKUP(I2118,[2]行业排放因子!$A:$B,2,0)</f>
        <v>9.6615781889079599</v>
      </c>
      <c r="K2118" s="9" t="s">
        <v>756</v>
      </c>
    </row>
    <row r="2119" spans="1:11" ht="12.5" customHeight="1" x14ac:dyDescent="0.25">
      <c r="A2119" s="5" t="s">
        <v>7824</v>
      </c>
      <c r="B2119" s="6" t="s">
        <v>7578</v>
      </c>
      <c r="C2119" s="6" t="s">
        <v>7579</v>
      </c>
      <c r="D2119" s="6" t="s">
        <v>7808</v>
      </c>
      <c r="E2119" s="6" t="s">
        <v>7825</v>
      </c>
      <c r="F2119" s="6" t="s">
        <v>7826</v>
      </c>
      <c r="G2119" s="9" t="s">
        <v>7827</v>
      </c>
      <c r="H2119" s="9" t="s">
        <v>18</v>
      </c>
      <c r="I2119" s="16" t="str">
        <f>VLOOKUP(F2119,[1]完整分类结果!$E:$G,3,0)</f>
        <v>普通机械制造业</v>
      </c>
      <c r="J2119" s="16">
        <f>VLOOKUP(I2119,[2]行业排放因子!$A:$B,2,0)</f>
        <v>9.6615781889079599</v>
      </c>
      <c r="K2119" s="9" t="s">
        <v>756</v>
      </c>
    </row>
    <row r="2120" spans="1:11" ht="12.5" customHeight="1" x14ac:dyDescent="0.25">
      <c r="A2120" s="5" t="s">
        <v>7828</v>
      </c>
      <c r="B2120" s="6" t="s">
        <v>7578</v>
      </c>
      <c r="C2120" s="6" t="s">
        <v>7579</v>
      </c>
      <c r="D2120" s="6" t="s">
        <v>7808</v>
      </c>
      <c r="E2120" s="6" t="s">
        <v>7829</v>
      </c>
      <c r="F2120" s="6" t="s">
        <v>7830</v>
      </c>
      <c r="G2120" s="9" t="s">
        <v>7831</v>
      </c>
      <c r="H2120" s="9" t="s">
        <v>18</v>
      </c>
      <c r="I2120" s="16" t="str">
        <f>VLOOKUP(F2120,[1]完整分类结果!$E:$G,3,0)</f>
        <v>普通机械制造业</v>
      </c>
      <c r="J2120" s="16">
        <f>VLOOKUP(I2120,[2]行业排放因子!$A:$B,2,0)</f>
        <v>9.6615781889079599</v>
      </c>
      <c r="K2120" s="9" t="s">
        <v>756</v>
      </c>
    </row>
    <row r="2121" spans="1:11" ht="12.5" customHeight="1" x14ac:dyDescent="0.25">
      <c r="A2121" s="5" t="s">
        <v>7832</v>
      </c>
      <c r="B2121" s="6" t="s">
        <v>7578</v>
      </c>
      <c r="C2121" s="6" t="s">
        <v>7579</v>
      </c>
      <c r="D2121" s="6" t="s">
        <v>7808</v>
      </c>
      <c r="E2121" s="6" t="s">
        <v>7833</v>
      </c>
      <c r="F2121" s="6" t="s">
        <v>7834</v>
      </c>
      <c r="G2121" s="9" t="s">
        <v>7835</v>
      </c>
      <c r="H2121" s="9" t="s">
        <v>18</v>
      </c>
      <c r="I2121" s="16" t="str">
        <f>VLOOKUP(F2121,[1]完整分类结果!$E:$G,3,0)</f>
        <v>普通机械制造业</v>
      </c>
      <c r="J2121" s="16">
        <f>VLOOKUP(I2121,[2]行业排放因子!$A:$B,2,0)</f>
        <v>9.6615781889079599</v>
      </c>
      <c r="K2121" s="9" t="s">
        <v>756</v>
      </c>
    </row>
    <row r="2122" spans="1:11" ht="12.5" customHeight="1" x14ac:dyDescent="0.25">
      <c r="A2122" s="5" t="s">
        <v>7836</v>
      </c>
      <c r="B2122" s="6" t="s">
        <v>7578</v>
      </c>
      <c r="C2122" s="6" t="s">
        <v>7579</v>
      </c>
      <c r="D2122" s="6" t="s">
        <v>7808</v>
      </c>
      <c r="E2122" s="6" t="s">
        <v>7837</v>
      </c>
      <c r="F2122" s="6" t="s">
        <v>7838</v>
      </c>
      <c r="G2122" s="9" t="s">
        <v>7839</v>
      </c>
      <c r="H2122" s="9" t="s">
        <v>18</v>
      </c>
      <c r="I2122" s="16" t="str">
        <f>VLOOKUP(F2122,[1]完整分类结果!$E:$G,3,0)</f>
        <v>普通机械制造业</v>
      </c>
      <c r="J2122" s="16">
        <f>VLOOKUP(I2122,[2]行业排放因子!$A:$B,2,0)</f>
        <v>9.6615781889079599</v>
      </c>
      <c r="K2122" s="9" t="s">
        <v>756</v>
      </c>
    </row>
    <row r="2123" spans="1:11" ht="12.5" customHeight="1" x14ac:dyDescent="0.25">
      <c r="A2123" s="5" t="s">
        <v>7840</v>
      </c>
      <c r="B2123" s="6" t="s">
        <v>7578</v>
      </c>
      <c r="C2123" s="6" t="s">
        <v>7579</v>
      </c>
      <c r="D2123" s="6" t="s">
        <v>7808</v>
      </c>
      <c r="E2123" s="6" t="s">
        <v>7841</v>
      </c>
      <c r="F2123" s="6" t="s">
        <v>7842</v>
      </c>
      <c r="G2123" s="9" t="s">
        <v>7843</v>
      </c>
      <c r="H2123" s="9" t="s">
        <v>18</v>
      </c>
      <c r="I2123" s="16" t="str">
        <f>VLOOKUP(F2123,[1]完整分类结果!$E:$G,3,0)</f>
        <v>普通机械制造业</v>
      </c>
      <c r="J2123" s="16">
        <f>VLOOKUP(I2123,[2]行业排放因子!$A:$B,2,0)</f>
        <v>9.6615781889079599</v>
      </c>
      <c r="K2123" s="9" t="s">
        <v>756</v>
      </c>
    </row>
    <row r="2124" spans="1:11" ht="12.5" customHeight="1" x14ac:dyDescent="0.25">
      <c r="A2124" s="5" t="s">
        <v>7844</v>
      </c>
      <c r="B2124" s="6" t="s">
        <v>7578</v>
      </c>
      <c r="C2124" s="6" t="s">
        <v>7579</v>
      </c>
      <c r="D2124" s="6" t="s">
        <v>7845</v>
      </c>
      <c r="E2124" s="6" t="s">
        <v>7846</v>
      </c>
      <c r="F2124" s="6" t="s">
        <v>7847</v>
      </c>
      <c r="G2124" s="9" t="s">
        <v>7848</v>
      </c>
      <c r="H2124" s="9" t="s">
        <v>18</v>
      </c>
      <c r="I2124" s="16" t="str">
        <f>VLOOKUP(F2124,[1]完整分类结果!$E:$G,3,0)</f>
        <v>普通机械制造业</v>
      </c>
      <c r="J2124" s="16">
        <f>VLOOKUP(I2124,[2]行业排放因子!$A:$B,2,0)</f>
        <v>9.6615781889079599</v>
      </c>
      <c r="K2124" s="9" t="s">
        <v>756</v>
      </c>
    </row>
    <row r="2125" spans="1:11" ht="12.5" customHeight="1" x14ac:dyDescent="0.25">
      <c r="A2125" s="5" t="s">
        <v>7849</v>
      </c>
      <c r="B2125" s="6" t="s">
        <v>7578</v>
      </c>
      <c r="C2125" s="6" t="s">
        <v>7579</v>
      </c>
      <c r="D2125" s="6" t="s">
        <v>7845</v>
      </c>
      <c r="E2125" s="6" t="s">
        <v>7850</v>
      </c>
      <c r="F2125" s="6" t="s">
        <v>7851</v>
      </c>
      <c r="G2125" s="9" t="s">
        <v>7852</v>
      </c>
      <c r="H2125" s="9" t="s">
        <v>18</v>
      </c>
      <c r="I2125" s="16" t="str">
        <f>VLOOKUP(F2125,[1]完整分类结果!$E:$G,3,0)</f>
        <v>普通机械制造业</v>
      </c>
      <c r="J2125" s="16">
        <f>VLOOKUP(I2125,[2]行业排放因子!$A:$B,2,0)</f>
        <v>9.6615781889079599</v>
      </c>
      <c r="K2125" s="9" t="s">
        <v>756</v>
      </c>
    </row>
    <row r="2126" spans="1:11" ht="12.5" customHeight="1" x14ac:dyDescent="0.25">
      <c r="A2126" s="5" t="s">
        <v>7853</v>
      </c>
      <c r="B2126" s="6" t="s">
        <v>7578</v>
      </c>
      <c r="C2126" s="6" t="s">
        <v>7579</v>
      </c>
      <c r="D2126" s="6" t="s">
        <v>7845</v>
      </c>
      <c r="E2126" s="6" t="s">
        <v>7854</v>
      </c>
      <c r="F2126" s="6" t="s">
        <v>7855</v>
      </c>
      <c r="G2126" s="9" t="s">
        <v>7856</v>
      </c>
      <c r="H2126" s="9" t="s">
        <v>18</v>
      </c>
      <c r="I2126" s="16" t="str">
        <f>VLOOKUP(F2126,[1]完整分类结果!$E:$G,3,0)</f>
        <v>普通机械制造业</v>
      </c>
      <c r="J2126" s="16">
        <f>VLOOKUP(I2126,[2]行业排放因子!$A:$B,2,0)</f>
        <v>9.6615781889079599</v>
      </c>
      <c r="K2126" s="9" t="s">
        <v>756</v>
      </c>
    </row>
    <row r="2127" spans="1:11" ht="12.5" customHeight="1" x14ac:dyDescent="0.25">
      <c r="A2127" s="5" t="s">
        <v>7857</v>
      </c>
      <c r="B2127" s="6" t="s">
        <v>7578</v>
      </c>
      <c r="C2127" s="6" t="s">
        <v>7579</v>
      </c>
      <c r="D2127" s="6" t="s">
        <v>7845</v>
      </c>
      <c r="E2127" s="6" t="s">
        <v>7858</v>
      </c>
      <c r="F2127" s="6" t="s">
        <v>7859</v>
      </c>
      <c r="G2127" s="9"/>
      <c r="H2127" s="9" t="s">
        <v>18</v>
      </c>
      <c r="I2127" s="16" t="str">
        <f>VLOOKUP(F2127,[1]完整分类结果!$E:$G,3,0)</f>
        <v>普通机械制造业</v>
      </c>
      <c r="J2127" s="16">
        <f>VLOOKUP(I2127,[2]行业排放因子!$A:$B,2,0)</f>
        <v>9.6615781889079599</v>
      </c>
      <c r="K2127" s="9" t="s">
        <v>756</v>
      </c>
    </row>
    <row r="2128" spans="1:11" ht="12.5" customHeight="1" x14ac:dyDescent="0.25">
      <c r="A2128" s="5" t="s">
        <v>7860</v>
      </c>
      <c r="B2128" s="6" t="s">
        <v>7578</v>
      </c>
      <c r="C2128" s="6" t="s">
        <v>7579</v>
      </c>
      <c r="D2128" s="6" t="s">
        <v>7845</v>
      </c>
      <c r="E2128" s="6" t="s">
        <v>7861</v>
      </c>
      <c r="F2128" s="6" t="s">
        <v>7862</v>
      </c>
      <c r="G2128" s="9" t="s">
        <v>7863</v>
      </c>
      <c r="H2128" s="9" t="s">
        <v>18</v>
      </c>
      <c r="I2128" s="16" t="str">
        <f>VLOOKUP(F2128,[1]完整分类结果!$E:$G,3,0)</f>
        <v>普通机械制造业</v>
      </c>
      <c r="J2128" s="16">
        <f>VLOOKUP(I2128,[2]行业排放因子!$A:$B,2,0)</f>
        <v>9.6615781889079599</v>
      </c>
      <c r="K2128" s="9" t="s">
        <v>756</v>
      </c>
    </row>
    <row r="2129" spans="1:11" ht="12.5" customHeight="1" x14ac:dyDescent="0.25">
      <c r="A2129" s="5" t="s">
        <v>7864</v>
      </c>
      <c r="B2129" s="6" t="s">
        <v>7578</v>
      </c>
      <c r="C2129" s="6" t="s">
        <v>7579</v>
      </c>
      <c r="D2129" s="6" t="s">
        <v>7845</v>
      </c>
      <c r="E2129" s="6" t="s">
        <v>7865</v>
      </c>
      <c r="F2129" s="6" t="s">
        <v>7866</v>
      </c>
      <c r="G2129" s="9" t="s">
        <v>7867</v>
      </c>
      <c r="H2129" s="9" t="s">
        <v>18</v>
      </c>
      <c r="I2129" s="16" t="str">
        <f>VLOOKUP(F2129,[1]完整分类结果!$E:$G,3,0)</f>
        <v>普通机械制造业</v>
      </c>
      <c r="J2129" s="16">
        <f>VLOOKUP(I2129,[2]行业排放因子!$A:$B,2,0)</f>
        <v>9.6615781889079599</v>
      </c>
      <c r="K2129" s="9" t="s">
        <v>756</v>
      </c>
    </row>
    <row r="2130" spans="1:11" ht="12.5" customHeight="1" x14ac:dyDescent="0.25">
      <c r="A2130" s="5" t="s">
        <v>7868</v>
      </c>
      <c r="B2130" s="6" t="s">
        <v>7578</v>
      </c>
      <c r="C2130" s="6" t="s">
        <v>7579</v>
      </c>
      <c r="D2130" s="6" t="s">
        <v>7845</v>
      </c>
      <c r="E2130" s="6" t="s">
        <v>7869</v>
      </c>
      <c r="F2130" s="6" t="s">
        <v>7870</v>
      </c>
      <c r="G2130" s="9" t="s">
        <v>7871</v>
      </c>
      <c r="H2130" s="9" t="s">
        <v>18</v>
      </c>
      <c r="I2130" s="16" t="str">
        <f>VLOOKUP(F2130,[1]完整分类结果!$E:$G,3,0)</f>
        <v>普通机械制造业</v>
      </c>
      <c r="J2130" s="16">
        <f>VLOOKUP(I2130,[2]行业排放因子!$A:$B,2,0)</f>
        <v>9.6615781889079599</v>
      </c>
      <c r="K2130" s="9" t="s">
        <v>756</v>
      </c>
    </row>
    <row r="2131" spans="1:11" ht="12.5" customHeight="1" x14ac:dyDescent="0.25">
      <c r="A2131" s="5" t="s">
        <v>7872</v>
      </c>
      <c r="B2131" s="6" t="s">
        <v>7578</v>
      </c>
      <c r="C2131" s="6" t="s">
        <v>7579</v>
      </c>
      <c r="D2131" s="6" t="s">
        <v>7845</v>
      </c>
      <c r="E2131" s="6" t="s">
        <v>7873</v>
      </c>
      <c r="F2131" s="6" t="s">
        <v>7874</v>
      </c>
      <c r="G2131" s="9" t="s">
        <v>7875</v>
      </c>
      <c r="H2131" s="9" t="s">
        <v>18</v>
      </c>
      <c r="I2131" s="16" t="str">
        <f>VLOOKUP(F2131,[1]完整分类结果!$E:$G,3,0)</f>
        <v>普通机械制造业</v>
      </c>
      <c r="J2131" s="16">
        <f>VLOOKUP(I2131,[2]行业排放因子!$A:$B,2,0)</f>
        <v>9.6615781889079599</v>
      </c>
      <c r="K2131" s="9" t="s">
        <v>756</v>
      </c>
    </row>
    <row r="2132" spans="1:11" ht="12.5" customHeight="1" x14ac:dyDescent="0.25">
      <c r="A2132" s="5" t="s">
        <v>7876</v>
      </c>
      <c r="B2132" s="6" t="s">
        <v>7578</v>
      </c>
      <c r="C2132" s="6" t="s">
        <v>7579</v>
      </c>
      <c r="D2132" s="6" t="s">
        <v>7845</v>
      </c>
      <c r="E2132" s="6" t="s">
        <v>7877</v>
      </c>
      <c r="F2132" s="6" t="s">
        <v>7878</v>
      </c>
      <c r="G2132" s="9" t="s">
        <v>7879</v>
      </c>
      <c r="H2132" s="9" t="s">
        <v>18</v>
      </c>
      <c r="I2132" s="16" t="str">
        <f>VLOOKUP(F2132,[1]完整分类结果!$E:$G,3,0)</f>
        <v>普通机械制造业</v>
      </c>
      <c r="J2132" s="16">
        <f>VLOOKUP(I2132,[2]行业排放因子!$A:$B,2,0)</f>
        <v>9.6615781889079599</v>
      </c>
      <c r="K2132" s="9" t="s">
        <v>756</v>
      </c>
    </row>
    <row r="2133" spans="1:11" ht="12.5" customHeight="1" x14ac:dyDescent="0.25">
      <c r="A2133" s="5" t="s">
        <v>7880</v>
      </c>
      <c r="B2133" s="6" t="s">
        <v>7578</v>
      </c>
      <c r="C2133" s="6" t="s">
        <v>7579</v>
      </c>
      <c r="D2133" s="6" t="s">
        <v>7845</v>
      </c>
      <c r="E2133" s="6" t="s">
        <v>7881</v>
      </c>
      <c r="F2133" s="6" t="s">
        <v>7882</v>
      </c>
      <c r="G2133" s="9" t="s">
        <v>7883</v>
      </c>
      <c r="H2133" s="9" t="s">
        <v>18</v>
      </c>
      <c r="I2133" s="16" t="str">
        <f>VLOOKUP(F2133,[1]完整分类结果!$E:$G,3,0)</f>
        <v>普通机械制造业</v>
      </c>
      <c r="J2133" s="16">
        <f>VLOOKUP(I2133,[2]行业排放因子!$A:$B,2,0)</f>
        <v>9.6615781889079599</v>
      </c>
      <c r="K2133" s="9" t="s">
        <v>756</v>
      </c>
    </row>
    <row r="2134" spans="1:11" ht="12.5" customHeight="1" x14ac:dyDescent="0.25">
      <c r="A2134" s="5" t="s">
        <v>7884</v>
      </c>
      <c r="B2134" s="6" t="s">
        <v>7578</v>
      </c>
      <c r="C2134" s="6" t="s">
        <v>7579</v>
      </c>
      <c r="D2134" s="6" t="s">
        <v>7845</v>
      </c>
      <c r="E2134" s="6" t="s">
        <v>7885</v>
      </c>
      <c r="F2134" s="6" t="s">
        <v>7886</v>
      </c>
      <c r="G2134" s="9"/>
      <c r="H2134" s="9" t="s">
        <v>18</v>
      </c>
      <c r="I2134" s="16" t="str">
        <f>VLOOKUP(F2134,[1]完整分类结果!$E:$G,3,0)</f>
        <v>普通机械制造业</v>
      </c>
      <c r="J2134" s="16">
        <f>VLOOKUP(I2134,[2]行业排放因子!$A:$B,2,0)</f>
        <v>9.6615781889079599</v>
      </c>
      <c r="K2134" s="9" t="s">
        <v>756</v>
      </c>
    </row>
    <row r="2135" spans="1:11" ht="12.5" customHeight="1" x14ac:dyDescent="0.25">
      <c r="A2135" s="5" t="s">
        <v>7887</v>
      </c>
      <c r="B2135" s="6" t="s">
        <v>7578</v>
      </c>
      <c r="C2135" s="6" t="s">
        <v>7579</v>
      </c>
      <c r="D2135" s="6" t="s">
        <v>7845</v>
      </c>
      <c r="E2135" s="6" t="s">
        <v>7888</v>
      </c>
      <c r="F2135" s="6" t="s">
        <v>7889</v>
      </c>
      <c r="G2135" s="9" t="s">
        <v>7890</v>
      </c>
      <c r="H2135" s="9" t="s">
        <v>18</v>
      </c>
      <c r="I2135" s="16" t="str">
        <f>VLOOKUP(F2135,[1]完整分类结果!$E:$G,3,0)</f>
        <v>普通机械制造业</v>
      </c>
      <c r="J2135" s="16">
        <f>VLOOKUP(I2135,[2]行业排放因子!$A:$B,2,0)</f>
        <v>9.6615781889079599</v>
      </c>
      <c r="K2135" s="9" t="s">
        <v>756</v>
      </c>
    </row>
    <row r="2136" spans="1:11" ht="12.5" customHeight="1" x14ac:dyDescent="0.25">
      <c r="A2136" s="5" t="s">
        <v>7891</v>
      </c>
      <c r="B2136" s="6" t="s">
        <v>7578</v>
      </c>
      <c r="C2136" s="6" t="s">
        <v>7579</v>
      </c>
      <c r="D2136" s="6" t="s">
        <v>7845</v>
      </c>
      <c r="E2136" s="6" t="s">
        <v>7892</v>
      </c>
      <c r="F2136" s="6" t="s">
        <v>7893</v>
      </c>
      <c r="G2136" s="9" t="s">
        <v>7894</v>
      </c>
      <c r="H2136" s="9" t="s">
        <v>18</v>
      </c>
      <c r="I2136" s="16" t="str">
        <f>VLOOKUP(F2136,[1]完整分类结果!$E:$G,3,0)</f>
        <v>普通机械制造业</v>
      </c>
      <c r="J2136" s="16">
        <f>VLOOKUP(I2136,[2]行业排放因子!$A:$B,2,0)</f>
        <v>9.6615781889079599</v>
      </c>
      <c r="K2136" s="9" t="s">
        <v>756</v>
      </c>
    </row>
    <row r="2137" spans="1:11" ht="12.5" customHeight="1" x14ac:dyDescent="0.25">
      <c r="A2137" s="5" t="s">
        <v>7895</v>
      </c>
      <c r="B2137" s="6" t="s">
        <v>7578</v>
      </c>
      <c r="C2137" s="6" t="s">
        <v>7579</v>
      </c>
      <c r="D2137" s="6" t="s">
        <v>7845</v>
      </c>
      <c r="E2137" s="6" t="s">
        <v>7896</v>
      </c>
      <c r="F2137" s="6" t="s">
        <v>7897</v>
      </c>
      <c r="G2137" s="9" t="s">
        <v>7898</v>
      </c>
      <c r="H2137" s="9" t="s">
        <v>18</v>
      </c>
      <c r="I2137" s="16" t="str">
        <f>VLOOKUP(F2137,[1]完整分类结果!$E:$G,3,0)</f>
        <v>普通机械制造业</v>
      </c>
      <c r="J2137" s="16">
        <f>VLOOKUP(I2137,[2]行业排放因子!$A:$B,2,0)</f>
        <v>9.6615781889079599</v>
      </c>
      <c r="K2137" s="9" t="s">
        <v>756</v>
      </c>
    </row>
    <row r="2138" spans="1:11" ht="12.5" customHeight="1" x14ac:dyDescent="0.25">
      <c r="A2138" s="5" t="s">
        <v>7899</v>
      </c>
      <c r="B2138" s="6" t="s">
        <v>7578</v>
      </c>
      <c r="C2138" s="6" t="s">
        <v>7579</v>
      </c>
      <c r="D2138" s="6" t="s">
        <v>7900</v>
      </c>
      <c r="E2138" s="6" t="s">
        <v>7901</v>
      </c>
      <c r="F2138" s="6" t="s">
        <v>7902</v>
      </c>
      <c r="G2138" s="9" t="s">
        <v>7903</v>
      </c>
      <c r="H2138" s="9" t="s">
        <v>18</v>
      </c>
      <c r="I2138" s="16" t="str">
        <f>VLOOKUP(F2138,[1]完整分类结果!$E:$G,3,0)</f>
        <v>普通机械制造业</v>
      </c>
      <c r="J2138" s="16">
        <f>VLOOKUP(I2138,[2]行业排放因子!$A:$B,2,0)</f>
        <v>9.6615781889079599</v>
      </c>
      <c r="K2138" s="9" t="s">
        <v>756</v>
      </c>
    </row>
    <row r="2139" spans="1:11" ht="12.5" customHeight="1" x14ac:dyDescent="0.25">
      <c r="A2139" s="5" t="s">
        <v>7904</v>
      </c>
      <c r="B2139" s="6" t="s">
        <v>7578</v>
      </c>
      <c r="C2139" s="6" t="s">
        <v>7579</v>
      </c>
      <c r="D2139" s="6" t="s">
        <v>7900</v>
      </c>
      <c r="E2139" s="6" t="s">
        <v>7905</v>
      </c>
      <c r="F2139" s="6" t="s">
        <v>7906</v>
      </c>
      <c r="G2139" s="9" t="s">
        <v>7907</v>
      </c>
      <c r="H2139" s="9" t="s">
        <v>18</v>
      </c>
      <c r="I2139" s="16" t="str">
        <f>VLOOKUP(F2139,[1]完整分类结果!$E:$G,3,0)</f>
        <v>普通机械制造业</v>
      </c>
      <c r="J2139" s="16">
        <f>VLOOKUP(I2139,[2]行业排放因子!$A:$B,2,0)</f>
        <v>9.6615781889079599</v>
      </c>
      <c r="K2139" s="9" t="s">
        <v>756</v>
      </c>
    </row>
    <row r="2140" spans="1:11" ht="12.5" customHeight="1" x14ac:dyDescent="0.25">
      <c r="A2140" s="5" t="s">
        <v>7908</v>
      </c>
      <c r="B2140" s="6" t="s">
        <v>7578</v>
      </c>
      <c r="C2140" s="6" t="s">
        <v>7579</v>
      </c>
      <c r="D2140" s="6" t="s">
        <v>7900</v>
      </c>
      <c r="E2140" s="6" t="s">
        <v>7909</v>
      </c>
      <c r="F2140" s="6" t="s">
        <v>7910</v>
      </c>
      <c r="G2140" s="9" t="s">
        <v>7911</v>
      </c>
      <c r="H2140" s="9" t="s">
        <v>18</v>
      </c>
      <c r="I2140" s="16" t="str">
        <f>VLOOKUP(F2140,[1]完整分类结果!$E:$G,3,0)</f>
        <v>普通机械制造业</v>
      </c>
      <c r="J2140" s="16">
        <f>VLOOKUP(I2140,[2]行业排放因子!$A:$B,2,0)</f>
        <v>9.6615781889079599</v>
      </c>
      <c r="K2140" s="9" t="s">
        <v>756</v>
      </c>
    </row>
    <row r="2141" spans="1:11" ht="12.5" customHeight="1" x14ac:dyDescent="0.25">
      <c r="A2141" s="5" t="s">
        <v>7912</v>
      </c>
      <c r="B2141" s="6" t="s">
        <v>7578</v>
      </c>
      <c r="C2141" s="6" t="s">
        <v>7579</v>
      </c>
      <c r="D2141" s="6" t="s">
        <v>7900</v>
      </c>
      <c r="E2141" s="6" t="s">
        <v>7913</v>
      </c>
      <c r="F2141" s="6" t="s">
        <v>7914</v>
      </c>
      <c r="G2141" s="9"/>
      <c r="H2141" s="9" t="s">
        <v>18</v>
      </c>
      <c r="I2141" s="16" t="str">
        <f>VLOOKUP(F2141,[1]完整分类结果!$E:$G,3,0)</f>
        <v>普通机械制造业</v>
      </c>
      <c r="J2141" s="16">
        <f>VLOOKUP(I2141,[2]行业排放因子!$A:$B,2,0)</f>
        <v>9.6615781889079599</v>
      </c>
      <c r="K2141" s="9" t="s">
        <v>756</v>
      </c>
    </row>
    <row r="2142" spans="1:11" ht="12.5" customHeight="1" x14ac:dyDescent="0.25">
      <c r="A2142" s="5" t="s">
        <v>7915</v>
      </c>
      <c r="B2142" s="6" t="s">
        <v>7578</v>
      </c>
      <c r="C2142" s="6" t="s">
        <v>7579</v>
      </c>
      <c r="D2142" s="6" t="s">
        <v>7900</v>
      </c>
      <c r="E2142" s="6" t="s">
        <v>7916</v>
      </c>
      <c r="F2142" s="6" t="s">
        <v>7917</v>
      </c>
      <c r="G2142" s="9" t="s">
        <v>7918</v>
      </c>
      <c r="H2142" s="9" t="s">
        <v>18</v>
      </c>
      <c r="I2142" s="16" t="str">
        <f>VLOOKUP(F2142,[1]完整分类结果!$E:$G,3,0)</f>
        <v>普通机械制造业</v>
      </c>
      <c r="J2142" s="16">
        <f>VLOOKUP(I2142,[2]行业排放因子!$A:$B,2,0)</f>
        <v>9.6615781889079599</v>
      </c>
      <c r="K2142" s="9" t="s">
        <v>756</v>
      </c>
    </row>
    <row r="2143" spans="1:11" ht="12.5" customHeight="1" x14ac:dyDescent="0.25">
      <c r="A2143" s="5" t="s">
        <v>7919</v>
      </c>
      <c r="B2143" s="6" t="s">
        <v>7578</v>
      </c>
      <c r="C2143" s="6" t="s">
        <v>7579</v>
      </c>
      <c r="D2143" s="6" t="s">
        <v>7920</v>
      </c>
      <c r="E2143" s="6" t="s">
        <v>7921</v>
      </c>
      <c r="F2143" s="6" t="s">
        <v>7922</v>
      </c>
      <c r="G2143" s="9" t="s">
        <v>7923</v>
      </c>
      <c r="H2143" s="9" t="s">
        <v>18</v>
      </c>
      <c r="I2143" s="16" t="str">
        <f>VLOOKUP(F2143,[1]完整分类结果!$E:$G,3,0)</f>
        <v>普通机械制造业</v>
      </c>
      <c r="J2143" s="16">
        <f>VLOOKUP(I2143,[2]行业排放因子!$A:$B,2,0)</f>
        <v>9.6615781889079599</v>
      </c>
      <c r="K2143" s="9" t="s">
        <v>756</v>
      </c>
    </row>
    <row r="2144" spans="1:11" ht="12.5" customHeight="1" x14ac:dyDescent="0.25">
      <c r="A2144" s="5" t="s">
        <v>7924</v>
      </c>
      <c r="B2144" s="6" t="s">
        <v>7578</v>
      </c>
      <c r="C2144" s="6" t="s">
        <v>7579</v>
      </c>
      <c r="D2144" s="6" t="s">
        <v>7920</v>
      </c>
      <c r="E2144" s="6" t="s">
        <v>7925</v>
      </c>
      <c r="F2144" s="6" t="s">
        <v>7926</v>
      </c>
      <c r="G2144" s="9" t="s">
        <v>7927</v>
      </c>
      <c r="H2144" s="9" t="s">
        <v>18</v>
      </c>
      <c r="I2144" s="16" t="str">
        <f>VLOOKUP(F2144,[1]完整分类结果!$E:$G,3,0)</f>
        <v>普通机械制造业</v>
      </c>
      <c r="J2144" s="16">
        <f>VLOOKUP(I2144,[2]行业排放因子!$A:$B,2,0)</f>
        <v>9.6615781889079599</v>
      </c>
      <c r="K2144" s="9" t="s">
        <v>756</v>
      </c>
    </row>
    <row r="2145" spans="1:11" ht="12.5" customHeight="1" x14ac:dyDescent="0.25">
      <c r="A2145" s="5" t="s">
        <v>7928</v>
      </c>
      <c r="B2145" s="6" t="s">
        <v>7578</v>
      </c>
      <c r="C2145" s="6" t="s">
        <v>7579</v>
      </c>
      <c r="D2145" s="6" t="s">
        <v>7920</v>
      </c>
      <c r="E2145" s="6" t="s">
        <v>7929</v>
      </c>
      <c r="F2145" s="6" t="s">
        <v>7930</v>
      </c>
      <c r="G2145" s="9" t="s">
        <v>7931</v>
      </c>
      <c r="H2145" s="9" t="s">
        <v>18</v>
      </c>
      <c r="I2145" s="16" t="str">
        <f>VLOOKUP(F2145,[1]完整分类结果!$E:$G,3,0)</f>
        <v>普通机械制造业</v>
      </c>
      <c r="J2145" s="16">
        <f>VLOOKUP(I2145,[2]行业排放因子!$A:$B,2,0)</f>
        <v>9.6615781889079599</v>
      </c>
      <c r="K2145" s="9" t="s">
        <v>756</v>
      </c>
    </row>
    <row r="2146" spans="1:11" ht="12.5" customHeight="1" x14ac:dyDescent="0.25">
      <c r="A2146" s="5" t="s">
        <v>7932</v>
      </c>
      <c r="B2146" s="6" t="s">
        <v>7578</v>
      </c>
      <c r="C2146" s="6" t="s">
        <v>7579</v>
      </c>
      <c r="D2146" s="6" t="s">
        <v>7920</v>
      </c>
      <c r="E2146" s="6" t="s">
        <v>7933</v>
      </c>
      <c r="F2146" s="6" t="s">
        <v>7934</v>
      </c>
      <c r="G2146" s="9"/>
      <c r="H2146" s="9" t="s">
        <v>18</v>
      </c>
      <c r="I2146" s="16" t="str">
        <f>VLOOKUP(F2146,[1]完整分类结果!$E:$G,3,0)</f>
        <v>普通机械制造业</v>
      </c>
      <c r="J2146" s="16">
        <f>VLOOKUP(I2146,[2]行业排放因子!$A:$B,2,0)</f>
        <v>9.6615781889079599</v>
      </c>
      <c r="K2146" s="9" t="s">
        <v>756</v>
      </c>
    </row>
    <row r="2147" spans="1:11" ht="12.5" customHeight="1" x14ac:dyDescent="0.25">
      <c r="A2147" s="5" t="s">
        <v>7935</v>
      </c>
      <c r="B2147" s="6" t="s">
        <v>7578</v>
      </c>
      <c r="C2147" s="6" t="s">
        <v>7579</v>
      </c>
      <c r="D2147" s="6" t="s">
        <v>7920</v>
      </c>
      <c r="E2147" s="6" t="s">
        <v>7936</v>
      </c>
      <c r="F2147" s="6" t="s">
        <v>7937</v>
      </c>
      <c r="G2147" s="9" t="s">
        <v>7938</v>
      </c>
      <c r="H2147" s="9" t="s">
        <v>18</v>
      </c>
      <c r="I2147" s="16" t="str">
        <f>VLOOKUP(F2147,[1]完整分类结果!$E:$G,3,0)</f>
        <v>普通机械制造业</v>
      </c>
      <c r="J2147" s="16">
        <f>VLOOKUP(I2147,[2]行业排放因子!$A:$B,2,0)</f>
        <v>9.6615781889079599</v>
      </c>
      <c r="K2147" s="9" t="s">
        <v>756</v>
      </c>
    </row>
    <row r="2148" spans="1:11" ht="12.5" customHeight="1" x14ac:dyDescent="0.25">
      <c r="A2148" s="5" t="s">
        <v>7939</v>
      </c>
      <c r="B2148" s="6" t="s">
        <v>7578</v>
      </c>
      <c r="C2148" s="6" t="s">
        <v>7579</v>
      </c>
      <c r="D2148" s="6" t="s">
        <v>7920</v>
      </c>
      <c r="E2148" s="6" t="s">
        <v>7940</v>
      </c>
      <c r="F2148" s="6" t="s">
        <v>7941</v>
      </c>
      <c r="G2148" s="9" t="s">
        <v>7942</v>
      </c>
      <c r="H2148" s="9" t="s">
        <v>18</v>
      </c>
      <c r="I2148" s="16" t="str">
        <f>VLOOKUP(F2148,[1]完整分类结果!$E:$G,3,0)</f>
        <v>普通机械制造业</v>
      </c>
      <c r="J2148" s="16">
        <f>VLOOKUP(I2148,[2]行业排放因子!$A:$B,2,0)</f>
        <v>9.6615781889079599</v>
      </c>
      <c r="K2148" s="9" t="s">
        <v>756</v>
      </c>
    </row>
    <row r="2149" spans="1:11" ht="12.5" customHeight="1" x14ac:dyDescent="0.25">
      <c r="A2149" s="5" t="s">
        <v>7943</v>
      </c>
      <c r="B2149" s="6" t="s">
        <v>7578</v>
      </c>
      <c r="C2149" s="6" t="s">
        <v>7579</v>
      </c>
      <c r="D2149" s="6" t="s">
        <v>7920</v>
      </c>
      <c r="E2149" s="6" t="s">
        <v>7944</v>
      </c>
      <c r="F2149" s="6" t="s">
        <v>7945</v>
      </c>
      <c r="G2149" s="9" t="s">
        <v>7946</v>
      </c>
      <c r="H2149" s="9" t="s">
        <v>18</v>
      </c>
      <c r="I2149" s="16" t="str">
        <f>VLOOKUP(F2149,[1]完整分类结果!$E:$G,3,0)</f>
        <v>普通机械制造业</v>
      </c>
      <c r="J2149" s="16">
        <f>VLOOKUP(I2149,[2]行业排放因子!$A:$B,2,0)</f>
        <v>9.6615781889079599</v>
      </c>
      <c r="K2149" s="9" t="s">
        <v>756</v>
      </c>
    </row>
    <row r="2150" spans="1:11" ht="12.5" customHeight="1" x14ac:dyDescent="0.25">
      <c r="A2150" s="5" t="s">
        <v>7947</v>
      </c>
      <c r="B2150" s="6" t="s">
        <v>7578</v>
      </c>
      <c r="C2150" s="6" t="s">
        <v>7579</v>
      </c>
      <c r="D2150" s="6" t="s">
        <v>7920</v>
      </c>
      <c r="E2150" s="6" t="s">
        <v>7948</v>
      </c>
      <c r="F2150" s="6" t="s">
        <v>7949</v>
      </c>
      <c r="G2150" s="9" t="s">
        <v>7950</v>
      </c>
      <c r="H2150" s="9" t="s">
        <v>18</v>
      </c>
      <c r="I2150" s="16" t="str">
        <f>VLOOKUP(F2150,[1]完整分类结果!$E:$G,3,0)</f>
        <v>普通机械制造业</v>
      </c>
      <c r="J2150" s="16">
        <f>VLOOKUP(I2150,[2]行业排放因子!$A:$B,2,0)</f>
        <v>9.6615781889079599</v>
      </c>
      <c r="K2150" s="9" t="s">
        <v>756</v>
      </c>
    </row>
    <row r="2151" spans="1:11" ht="12.5" customHeight="1" x14ac:dyDescent="0.25">
      <c r="A2151" s="5" t="s">
        <v>7951</v>
      </c>
      <c r="B2151" s="6" t="s">
        <v>7578</v>
      </c>
      <c r="C2151" s="6" t="s">
        <v>7579</v>
      </c>
      <c r="D2151" s="6" t="s">
        <v>7920</v>
      </c>
      <c r="E2151" s="6" t="s">
        <v>7952</v>
      </c>
      <c r="F2151" s="6" t="s">
        <v>7953</v>
      </c>
      <c r="G2151" s="9" t="s">
        <v>7954</v>
      </c>
      <c r="H2151" s="9" t="s">
        <v>18</v>
      </c>
      <c r="I2151" s="16" t="str">
        <f>VLOOKUP(F2151,[1]完整分类结果!$E:$G,3,0)</f>
        <v>普通机械制造业</v>
      </c>
      <c r="J2151" s="16">
        <f>VLOOKUP(I2151,[2]行业排放因子!$A:$B,2,0)</f>
        <v>9.6615781889079599</v>
      </c>
      <c r="K2151" s="9" t="s">
        <v>756</v>
      </c>
    </row>
    <row r="2152" spans="1:11" ht="12.5" customHeight="1" x14ac:dyDescent="0.25">
      <c r="A2152" s="5" t="s">
        <v>7955</v>
      </c>
      <c r="B2152" s="6" t="s">
        <v>7578</v>
      </c>
      <c r="C2152" s="6" t="s">
        <v>7579</v>
      </c>
      <c r="D2152" s="6" t="s">
        <v>7920</v>
      </c>
      <c r="E2152" s="6" t="s">
        <v>7956</v>
      </c>
      <c r="F2152" s="6" t="s">
        <v>7957</v>
      </c>
      <c r="G2152" s="9" t="s">
        <v>7958</v>
      </c>
      <c r="H2152" s="9" t="s">
        <v>18</v>
      </c>
      <c r="I2152" s="16" t="str">
        <f>VLOOKUP(F2152,[1]完整分类结果!$E:$G,3,0)</f>
        <v>普通机械制造业</v>
      </c>
      <c r="J2152" s="16">
        <f>VLOOKUP(I2152,[2]行业排放因子!$A:$B,2,0)</f>
        <v>9.6615781889079599</v>
      </c>
      <c r="K2152" s="9" t="s">
        <v>756</v>
      </c>
    </row>
    <row r="2153" spans="1:11" ht="12.5" customHeight="1" x14ac:dyDescent="0.25">
      <c r="A2153" s="5" t="s">
        <v>7959</v>
      </c>
      <c r="B2153" s="6" t="s">
        <v>7578</v>
      </c>
      <c r="C2153" s="6" t="s">
        <v>7579</v>
      </c>
      <c r="D2153" s="6" t="s">
        <v>7920</v>
      </c>
      <c r="E2153" s="6" t="s">
        <v>7960</v>
      </c>
      <c r="F2153" s="6" t="s">
        <v>7961</v>
      </c>
      <c r="G2153" s="9" t="s">
        <v>7962</v>
      </c>
      <c r="H2153" s="9" t="s">
        <v>18</v>
      </c>
      <c r="I2153" s="16" t="str">
        <f>VLOOKUP(F2153,[1]完整分类结果!$E:$G,3,0)</f>
        <v>普通机械制造业</v>
      </c>
      <c r="J2153" s="16">
        <f>VLOOKUP(I2153,[2]行业排放因子!$A:$B,2,0)</f>
        <v>9.6615781889079599</v>
      </c>
      <c r="K2153" s="9" t="s">
        <v>756</v>
      </c>
    </row>
    <row r="2154" spans="1:11" ht="12.5" customHeight="1" x14ac:dyDescent="0.25">
      <c r="A2154" s="5" t="s">
        <v>7963</v>
      </c>
      <c r="B2154" s="6" t="s">
        <v>7578</v>
      </c>
      <c r="C2154" s="6" t="s">
        <v>7579</v>
      </c>
      <c r="D2154" s="6" t="s">
        <v>7920</v>
      </c>
      <c r="E2154" s="6" t="s">
        <v>7964</v>
      </c>
      <c r="F2154" s="6" t="s">
        <v>7965</v>
      </c>
      <c r="G2154" s="9" t="s">
        <v>7966</v>
      </c>
      <c r="H2154" s="9" t="s">
        <v>18</v>
      </c>
      <c r="I2154" s="16" t="str">
        <f>VLOOKUP(F2154,[1]完整分类结果!$E:$G,3,0)</f>
        <v>普通机械制造业</v>
      </c>
      <c r="J2154" s="16">
        <f>VLOOKUP(I2154,[2]行业排放因子!$A:$B,2,0)</f>
        <v>9.6615781889079599</v>
      </c>
      <c r="K2154" s="9" t="s">
        <v>756</v>
      </c>
    </row>
    <row r="2155" spans="1:11" ht="12.5" customHeight="1" x14ac:dyDescent="0.25">
      <c r="A2155" s="5" t="s">
        <v>7967</v>
      </c>
      <c r="B2155" s="6" t="s">
        <v>7578</v>
      </c>
      <c r="C2155" s="6" t="s">
        <v>7579</v>
      </c>
      <c r="D2155" s="6" t="s">
        <v>7920</v>
      </c>
      <c r="E2155" s="6" t="s">
        <v>7968</v>
      </c>
      <c r="F2155" s="6" t="s">
        <v>7969</v>
      </c>
      <c r="G2155" s="9" t="s">
        <v>7970</v>
      </c>
      <c r="H2155" s="9" t="s">
        <v>18</v>
      </c>
      <c r="I2155" s="16" t="str">
        <f>VLOOKUP(F2155,[1]完整分类结果!$E:$G,3,0)</f>
        <v>普通机械制造业</v>
      </c>
      <c r="J2155" s="16">
        <f>VLOOKUP(I2155,[2]行业排放因子!$A:$B,2,0)</f>
        <v>9.6615781889079599</v>
      </c>
      <c r="K2155" s="9" t="s">
        <v>756</v>
      </c>
    </row>
    <row r="2156" spans="1:11" ht="12.5" customHeight="1" x14ac:dyDescent="0.25">
      <c r="A2156" s="5" t="s">
        <v>7971</v>
      </c>
      <c r="B2156" s="6" t="s">
        <v>7578</v>
      </c>
      <c r="C2156" s="6" t="s">
        <v>7579</v>
      </c>
      <c r="D2156" s="6" t="s">
        <v>7920</v>
      </c>
      <c r="E2156" s="6" t="s">
        <v>7972</v>
      </c>
      <c r="F2156" s="6" t="s">
        <v>7973</v>
      </c>
      <c r="G2156" s="9" t="s">
        <v>7974</v>
      </c>
      <c r="H2156" s="9" t="s">
        <v>18</v>
      </c>
      <c r="I2156" s="16" t="str">
        <f>VLOOKUP(F2156,[1]完整分类结果!$E:$G,3,0)</f>
        <v>普通机械制造业</v>
      </c>
      <c r="J2156" s="16">
        <f>VLOOKUP(I2156,[2]行业排放因子!$A:$B,2,0)</f>
        <v>9.6615781889079599</v>
      </c>
      <c r="K2156" s="9" t="s">
        <v>756</v>
      </c>
    </row>
    <row r="2157" spans="1:11" ht="12.5" customHeight="1" x14ac:dyDescent="0.25">
      <c r="A2157" s="5" t="s">
        <v>7975</v>
      </c>
      <c r="B2157" s="6" t="s">
        <v>7578</v>
      </c>
      <c r="C2157" s="6" t="s">
        <v>7579</v>
      </c>
      <c r="D2157" s="6" t="s">
        <v>7920</v>
      </c>
      <c r="E2157" s="6" t="s">
        <v>7976</v>
      </c>
      <c r="F2157" s="6" t="s">
        <v>7977</v>
      </c>
      <c r="G2157" s="9"/>
      <c r="H2157" s="9" t="s">
        <v>18</v>
      </c>
      <c r="I2157" s="16" t="str">
        <f>VLOOKUP(F2157,[1]完整分类结果!$E:$G,3,0)</f>
        <v>普通机械制造业</v>
      </c>
      <c r="J2157" s="16">
        <f>VLOOKUP(I2157,[2]行业排放因子!$A:$B,2,0)</f>
        <v>9.6615781889079599</v>
      </c>
      <c r="K2157" s="9" t="s">
        <v>756</v>
      </c>
    </row>
    <row r="2158" spans="1:11" ht="12.5" customHeight="1" x14ac:dyDescent="0.25">
      <c r="A2158" s="5" t="s">
        <v>7978</v>
      </c>
      <c r="B2158" s="6" t="s">
        <v>7578</v>
      </c>
      <c r="C2158" s="6" t="s">
        <v>7579</v>
      </c>
      <c r="D2158" s="6" t="s">
        <v>7920</v>
      </c>
      <c r="E2158" s="6" t="s">
        <v>7979</v>
      </c>
      <c r="F2158" s="6" t="s">
        <v>7980</v>
      </c>
      <c r="G2158" s="9" t="s">
        <v>7950</v>
      </c>
      <c r="H2158" s="9" t="s">
        <v>18</v>
      </c>
      <c r="I2158" s="16" t="str">
        <f>VLOOKUP(F2158,[1]完整分类结果!$E:$G,3,0)</f>
        <v>普通机械制造业</v>
      </c>
      <c r="J2158" s="16">
        <f>VLOOKUP(I2158,[2]行业排放因子!$A:$B,2,0)</f>
        <v>9.6615781889079599</v>
      </c>
      <c r="K2158" s="9" t="s">
        <v>756</v>
      </c>
    </row>
    <row r="2159" spans="1:11" ht="12.5" customHeight="1" x14ac:dyDescent="0.25">
      <c r="A2159" s="5" t="s">
        <v>7981</v>
      </c>
      <c r="B2159" s="6" t="s">
        <v>7578</v>
      </c>
      <c r="C2159" s="6" t="s">
        <v>7579</v>
      </c>
      <c r="D2159" s="6" t="s">
        <v>7982</v>
      </c>
      <c r="E2159" s="6" t="s">
        <v>7983</v>
      </c>
      <c r="F2159" s="6" t="s">
        <v>7982</v>
      </c>
      <c r="G2159" s="9" t="s">
        <v>7984</v>
      </c>
      <c r="H2159" s="9" t="s">
        <v>18</v>
      </c>
      <c r="I2159" s="16" t="str">
        <f>VLOOKUP(F2159,[1]完整分类结果!$E:$G,3,0)</f>
        <v>普通机械制造业</v>
      </c>
      <c r="J2159" s="16">
        <f>VLOOKUP(I2159,[2]行业排放因子!$A:$B,2,0)</f>
        <v>9.6615781889079599</v>
      </c>
      <c r="K2159" s="9" t="s">
        <v>756</v>
      </c>
    </row>
    <row r="2160" spans="1:11" ht="12.5" customHeight="1" x14ac:dyDescent="0.25">
      <c r="A2160" s="5" t="s">
        <v>7985</v>
      </c>
      <c r="B2160" s="6" t="s">
        <v>7578</v>
      </c>
      <c r="C2160" s="6" t="s">
        <v>7579</v>
      </c>
      <c r="D2160" s="6" t="s">
        <v>7982</v>
      </c>
      <c r="E2160" s="6" t="s">
        <v>7986</v>
      </c>
      <c r="F2160" s="6" t="s">
        <v>7987</v>
      </c>
      <c r="G2160" s="9" t="s">
        <v>7988</v>
      </c>
      <c r="H2160" s="9" t="s">
        <v>18</v>
      </c>
      <c r="I2160" s="16" t="str">
        <f>VLOOKUP(F2160,[1]完整分类结果!$E:$G,3,0)</f>
        <v>普通机械制造业</v>
      </c>
      <c r="J2160" s="16">
        <f>VLOOKUP(I2160,[2]行业排放因子!$A:$B,2,0)</f>
        <v>9.6615781889079599</v>
      </c>
      <c r="K2160" s="9" t="s">
        <v>756</v>
      </c>
    </row>
    <row r="2161" spans="1:11" ht="12.5" customHeight="1" x14ac:dyDescent="0.25">
      <c r="A2161" s="5" t="s">
        <v>7989</v>
      </c>
      <c r="B2161" s="6" t="s">
        <v>7578</v>
      </c>
      <c r="C2161" s="6" t="s">
        <v>7579</v>
      </c>
      <c r="D2161" s="6" t="s">
        <v>7982</v>
      </c>
      <c r="E2161" s="6" t="s">
        <v>7990</v>
      </c>
      <c r="F2161" s="6" t="s">
        <v>7991</v>
      </c>
      <c r="G2161" s="9" t="s">
        <v>7992</v>
      </c>
      <c r="H2161" s="9" t="s">
        <v>18</v>
      </c>
      <c r="I2161" s="16" t="str">
        <f>VLOOKUP(F2161,[1]完整分类结果!$E:$G,3,0)</f>
        <v>普通机械制造业</v>
      </c>
      <c r="J2161" s="16">
        <f>VLOOKUP(I2161,[2]行业排放因子!$A:$B,2,0)</f>
        <v>9.6615781889079599</v>
      </c>
      <c r="K2161" s="9" t="s">
        <v>756</v>
      </c>
    </row>
    <row r="2162" spans="1:11" ht="12.5" customHeight="1" x14ac:dyDescent="0.25">
      <c r="A2162" s="5" t="s">
        <v>7993</v>
      </c>
      <c r="B2162" s="6" t="s">
        <v>7578</v>
      </c>
      <c r="C2162" s="6" t="s">
        <v>7579</v>
      </c>
      <c r="D2162" s="6" t="s">
        <v>7982</v>
      </c>
      <c r="E2162" s="6" t="s">
        <v>7994</v>
      </c>
      <c r="F2162" s="6" t="s">
        <v>7995</v>
      </c>
      <c r="G2162" s="9" t="s">
        <v>7996</v>
      </c>
      <c r="H2162" s="9" t="s">
        <v>18</v>
      </c>
      <c r="I2162" s="16" t="str">
        <f>VLOOKUP(F2162,[1]完整分类结果!$E:$G,3,0)</f>
        <v>普通机械制造业</v>
      </c>
      <c r="J2162" s="16">
        <f>VLOOKUP(I2162,[2]行业排放因子!$A:$B,2,0)</f>
        <v>9.6615781889079599</v>
      </c>
      <c r="K2162" s="9" t="s">
        <v>756</v>
      </c>
    </row>
    <row r="2163" spans="1:11" ht="12.5" customHeight="1" x14ac:dyDescent="0.25">
      <c r="A2163" s="5" t="s">
        <v>7997</v>
      </c>
      <c r="B2163" s="6" t="s">
        <v>7578</v>
      </c>
      <c r="C2163" s="6" t="s">
        <v>7579</v>
      </c>
      <c r="D2163" s="6" t="s">
        <v>7998</v>
      </c>
      <c r="E2163" s="6" t="s">
        <v>7999</v>
      </c>
      <c r="F2163" s="6" t="s">
        <v>7998</v>
      </c>
      <c r="G2163" s="9" t="s">
        <v>8000</v>
      </c>
      <c r="H2163" s="9" t="s">
        <v>18</v>
      </c>
      <c r="I2163" s="16" t="str">
        <f>VLOOKUP(F2163,[1]完整分类结果!$E:$G,3,0)</f>
        <v>普通机械制造业</v>
      </c>
      <c r="J2163" s="16">
        <f>VLOOKUP(I2163,[2]行业排放因子!$A:$B,2,0)</f>
        <v>9.6615781889079599</v>
      </c>
      <c r="K2163" s="9" t="s">
        <v>756</v>
      </c>
    </row>
    <row r="2164" spans="1:11" ht="12.5" customHeight="1" x14ac:dyDescent="0.25">
      <c r="A2164" s="5" t="s">
        <v>8001</v>
      </c>
      <c r="B2164" s="6" t="s">
        <v>7578</v>
      </c>
      <c r="C2164" s="6" t="s">
        <v>7579</v>
      </c>
      <c r="D2164" s="6" t="s">
        <v>8002</v>
      </c>
      <c r="E2164" s="6" t="s">
        <v>8003</v>
      </c>
      <c r="F2164" s="6" t="s">
        <v>8004</v>
      </c>
      <c r="G2164" s="9" t="s">
        <v>8005</v>
      </c>
      <c r="H2164" s="9" t="s">
        <v>18</v>
      </c>
      <c r="I2164" s="16" t="str">
        <f>VLOOKUP(F2164,[1]完整分类结果!$E:$G,3,0)</f>
        <v>普通机械制造业</v>
      </c>
      <c r="J2164" s="16">
        <f>VLOOKUP(I2164,[2]行业排放因子!$A:$B,2,0)</f>
        <v>9.6615781889079599</v>
      </c>
      <c r="K2164" s="9" t="s">
        <v>756</v>
      </c>
    </row>
    <row r="2165" spans="1:11" ht="12.5" customHeight="1" x14ac:dyDescent="0.25">
      <c r="A2165" s="5" t="s">
        <v>8006</v>
      </c>
      <c r="B2165" s="6" t="s">
        <v>7578</v>
      </c>
      <c r="C2165" s="6" t="s">
        <v>7579</v>
      </c>
      <c r="D2165" s="6" t="s">
        <v>8002</v>
      </c>
      <c r="E2165" s="6" t="s">
        <v>8007</v>
      </c>
      <c r="F2165" s="6" t="s">
        <v>8008</v>
      </c>
      <c r="G2165" s="9" t="s">
        <v>8009</v>
      </c>
      <c r="H2165" s="9" t="s">
        <v>18</v>
      </c>
      <c r="I2165" s="16" t="str">
        <f>VLOOKUP(F2165,[1]完整分类结果!$E:$G,3,0)</f>
        <v>普通机械制造业</v>
      </c>
      <c r="J2165" s="16">
        <f>VLOOKUP(I2165,[2]行业排放因子!$A:$B,2,0)</f>
        <v>9.6615781889079599</v>
      </c>
      <c r="K2165" s="9" t="s">
        <v>756</v>
      </c>
    </row>
    <row r="2166" spans="1:11" ht="12.5" customHeight="1" x14ac:dyDescent="0.25">
      <c r="A2166" s="5" t="s">
        <v>8010</v>
      </c>
      <c r="B2166" s="6" t="s">
        <v>7578</v>
      </c>
      <c r="C2166" s="6" t="s">
        <v>7579</v>
      </c>
      <c r="D2166" s="6" t="s">
        <v>8002</v>
      </c>
      <c r="E2166" s="6" t="s">
        <v>8011</v>
      </c>
      <c r="F2166" s="6" t="s">
        <v>8012</v>
      </c>
      <c r="G2166" s="9" t="s">
        <v>8013</v>
      </c>
      <c r="H2166" s="9" t="s">
        <v>18</v>
      </c>
      <c r="I2166" s="16" t="str">
        <f>VLOOKUP(F2166,[1]完整分类结果!$E:$G,3,0)</f>
        <v>普通机械制造业</v>
      </c>
      <c r="J2166" s="16">
        <f>VLOOKUP(I2166,[2]行业排放因子!$A:$B,2,0)</f>
        <v>9.6615781889079599</v>
      </c>
      <c r="K2166" s="9" t="s">
        <v>756</v>
      </c>
    </row>
    <row r="2167" spans="1:11" ht="12.5" customHeight="1" x14ac:dyDescent="0.25">
      <c r="A2167" s="5" t="s">
        <v>8014</v>
      </c>
      <c r="B2167" s="6" t="s">
        <v>7578</v>
      </c>
      <c r="C2167" s="6" t="s">
        <v>7579</v>
      </c>
      <c r="D2167" s="6" t="s">
        <v>8015</v>
      </c>
      <c r="E2167" s="6" t="s">
        <v>8016</v>
      </c>
      <c r="F2167" s="6" t="s">
        <v>8015</v>
      </c>
      <c r="G2167" s="9" t="s">
        <v>8017</v>
      </c>
      <c r="H2167" s="9" t="s">
        <v>18</v>
      </c>
      <c r="I2167" s="16" t="str">
        <f>VLOOKUP(F2167,[1]完整分类结果!$E:$G,3,0)</f>
        <v>普通机械制造业</v>
      </c>
      <c r="J2167" s="16">
        <f>VLOOKUP(I2167,[2]行业排放因子!$A:$B,2,0)</f>
        <v>9.6615781889079599</v>
      </c>
      <c r="K2167" s="9" t="s">
        <v>756</v>
      </c>
    </row>
    <row r="2168" spans="1:11" ht="12.5" customHeight="1" x14ac:dyDescent="0.25">
      <c r="A2168" s="5" t="s">
        <v>8018</v>
      </c>
      <c r="B2168" s="6" t="s">
        <v>7578</v>
      </c>
      <c r="C2168" s="6" t="s">
        <v>7579</v>
      </c>
      <c r="D2168" s="6" t="s">
        <v>8015</v>
      </c>
      <c r="E2168" s="6" t="s">
        <v>8019</v>
      </c>
      <c r="F2168" s="6" t="s">
        <v>8020</v>
      </c>
      <c r="G2168" s="9" t="s">
        <v>8021</v>
      </c>
      <c r="H2168" s="9" t="s">
        <v>18</v>
      </c>
      <c r="I2168" s="16" t="str">
        <f>VLOOKUP(F2168,[1]完整分类结果!$E:$G,3,0)</f>
        <v>普通机械制造业</v>
      </c>
      <c r="J2168" s="16">
        <f>VLOOKUP(I2168,[2]行业排放因子!$A:$B,2,0)</f>
        <v>9.6615781889079599</v>
      </c>
      <c r="K2168" s="9" t="s">
        <v>756</v>
      </c>
    </row>
    <row r="2169" spans="1:11" ht="12.5" customHeight="1" x14ac:dyDescent="0.25">
      <c r="A2169" s="5" t="s">
        <v>8022</v>
      </c>
      <c r="B2169" s="6" t="s">
        <v>7578</v>
      </c>
      <c r="C2169" s="6" t="s">
        <v>7579</v>
      </c>
      <c r="D2169" s="6" t="s">
        <v>8015</v>
      </c>
      <c r="E2169" s="6" t="s">
        <v>8023</v>
      </c>
      <c r="F2169" s="6" t="s">
        <v>8024</v>
      </c>
      <c r="G2169" s="9" t="s">
        <v>8025</v>
      </c>
      <c r="H2169" s="9" t="s">
        <v>18</v>
      </c>
      <c r="I2169" s="16" t="str">
        <f>VLOOKUP(F2169,[1]完整分类结果!$E:$G,3,0)</f>
        <v>普通机械制造业</v>
      </c>
      <c r="J2169" s="16">
        <f>VLOOKUP(I2169,[2]行业排放因子!$A:$B,2,0)</f>
        <v>9.6615781889079599</v>
      </c>
      <c r="K2169" s="9" t="s">
        <v>756</v>
      </c>
    </row>
    <row r="2170" spans="1:11" ht="12.5" customHeight="1" x14ac:dyDescent="0.25">
      <c r="A2170" s="5" t="s">
        <v>8026</v>
      </c>
      <c r="B2170" s="6" t="s">
        <v>7578</v>
      </c>
      <c r="C2170" s="6" t="s">
        <v>7579</v>
      </c>
      <c r="D2170" s="6" t="s">
        <v>8015</v>
      </c>
      <c r="E2170" s="6" t="s">
        <v>8027</v>
      </c>
      <c r="F2170" s="6" t="s">
        <v>8028</v>
      </c>
      <c r="G2170" s="9" t="s">
        <v>8029</v>
      </c>
      <c r="H2170" s="9" t="s">
        <v>18</v>
      </c>
      <c r="I2170" s="16" t="str">
        <f>VLOOKUP(F2170,[1]完整分类结果!$E:$G,3,0)</f>
        <v>普通机械制造业</v>
      </c>
      <c r="J2170" s="16">
        <f>VLOOKUP(I2170,[2]行业排放因子!$A:$B,2,0)</f>
        <v>9.6615781889079599</v>
      </c>
      <c r="K2170" s="9" t="s">
        <v>756</v>
      </c>
    </row>
    <row r="2171" spans="1:11" ht="12.5" customHeight="1" x14ac:dyDescent="0.25">
      <c r="A2171" s="5" t="s">
        <v>8030</v>
      </c>
      <c r="B2171" s="6" t="s">
        <v>7578</v>
      </c>
      <c r="C2171" s="6" t="s">
        <v>7579</v>
      </c>
      <c r="D2171" s="6" t="s">
        <v>8031</v>
      </c>
      <c r="E2171" s="6" t="s">
        <v>8032</v>
      </c>
      <c r="F2171" s="6" t="s">
        <v>8031</v>
      </c>
      <c r="G2171" s="9" t="s">
        <v>8033</v>
      </c>
      <c r="H2171" s="9" t="s">
        <v>18</v>
      </c>
      <c r="I2171" s="16" t="str">
        <f>VLOOKUP(F2171,[1]完整分类结果!$E:$G,3,0)</f>
        <v>普通机械制造业</v>
      </c>
      <c r="J2171" s="16">
        <f>VLOOKUP(I2171,[2]行业排放因子!$A:$B,2,0)</f>
        <v>9.6615781889079599</v>
      </c>
      <c r="K2171" s="9" t="s">
        <v>756</v>
      </c>
    </row>
    <row r="2172" spans="1:11" ht="12.5" customHeight="1" x14ac:dyDescent="0.25">
      <c r="A2172" s="5" t="s">
        <v>8034</v>
      </c>
      <c r="B2172" s="6" t="s">
        <v>7578</v>
      </c>
      <c r="C2172" s="6" t="s">
        <v>7579</v>
      </c>
      <c r="D2172" s="6" t="s">
        <v>8031</v>
      </c>
      <c r="E2172" s="6" t="s">
        <v>8035</v>
      </c>
      <c r="F2172" s="6" t="s">
        <v>8036</v>
      </c>
      <c r="G2172" s="9" t="s">
        <v>8037</v>
      </c>
      <c r="H2172" s="9" t="s">
        <v>18</v>
      </c>
      <c r="I2172" s="16" t="str">
        <f>VLOOKUP(F2172,[1]完整分类结果!$E:$G,3,0)</f>
        <v>普通机械制造业</v>
      </c>
      <c r="J2172" s="16">
        <f>VLOOKUP(I2172,[2]行业排放因子!$A:$B,2,0)</f>
        <v>9.6615781889079599</v>
      </c>
      <c r="K2172" s="9" t="s">
        <v>756</v>
      </c>
    </row>
    <row r="2173" spans="1:11" ht="12.5" customHeight="1" x14ac:dyDescent="0.25">
      <c r="A2173" s="5" t="s">
        <v>8038</v>
      </c>
      <c r="B2173" s="6" t="s">
        <v>7578</v>
      </c>
      <c r="C2173" s="6" t="s">
        <v>7579</v>
      </c>
      <c r="D2173" s="6" t="s">
        <v>8031</v>
      </c>
      <c r="E2173" s="6" t="s">
        <v>8039</v>
      </c>
      <c r="F2173" s="6" t="s">
        <v>8040</v>
      </c>
      <c r="G2173" s="9" t="s">
        <v>8041</v>
      </c>
      <c r="H2173" s="9" t="s">
        <v>18</v>
      </c>
      <c r="I2173" s="16" t="str">
        <f>VLOOKUP(F2173,[1]完整分类结果!$E:$G,3,0)</f>
        <v>普通机械制造业</v>
      </c>
      <c r="J2173" s="16">
        <f>VLOOKUP(I2173,[2]行业排放因子!$A:$B,2,0)</f>
        <v>9.6615781889079599</v>
      </c>
      <c r="K2173" s="9" t="s">
        <v>756</v>
      </c>
    </row>
    <row r="2174" spans="1:11" ht="12.5" customHeight="1" x14ac:dyDescent="0.25">
      <c r="A2174" s="5" t="s">
        <v>8042</v>
      </c>
      <c r="B2174" s="6" t="s">
        <v>7578</v>
      </c>
      <c r="C2174" s="6" t="s">
        <v>7579</v>
      </c>
      <c r="D2174" s="6" t="s">
        <v>8031</v>
      </c>
      <c r="E2174" s="6" t="s">
        <v>8043</v>
      </c>
      <c r="F2174" s="6" t="s">
        <v>8044</v>
      </c>
      <c r="G2174" s="9"/>
      <c r="H2174" s="9" t="s">
        <v>18</v>
      </c>
      <c r="I2174" s="16" t="str">
        <f>VLOOKUP(F2174,[1]完整分类结果!$E:$G,3,0)</f>
        <v>普通机械制造业</v>
      </c>
      <c r="J2174" s="16">
        <f>VLOOKUP(I2174,[2]行业排放因子!$A:$B,2,0)</f>
        <v>9.6615781889079599</v>
      </c>
      <c r="K2174" s="9" t="s">
        <v>756</v>
      </c>
    </row>
    <row r="2175" spans="1:11" ht="12.5" customHeight="1" x14ac:dyDescent="0.25">
      <c r="A2175" s="5" t="s">
        <v>8045</v>
      </c>
      <c r="B2175" s="6" t="s">
        <v>7578</v>
      </c>
      <c r="C2175" s="6" t="s">
        <v>7579</v>
      </c>
      <c r="D2175" s="6" t="s">
        <v>8046</v>
      </c>
      <c r="E2175" s="6" t="s">
        <v>8047</v>
      </c>
      <c r="F2175" s="6" t="s">
        <v>8048</v>
      </c>
      <c r="G2175" s="9" t="s">
        <v>8049</v>
      </c>
      <c r="H2175" s="9" t="s">
        <v>18</v>
      </c>
      <c r="I2175" s="16" t="str">
        <f>VLOOKUP(F2175,[1]完整分类结果!$E:$G,3,0)</f>
        <v>普通机械制造业</v>
      </c>
      <c r="J2175" s="16">
        <f>VLOOKUP(I2175,[2]行业排放因子!$A:$B,2,0)</f>
        <v>9.6615781889079599</v>
      </c>
      <c r="K2175" s="9" t="s">
        <v>756</v>
      </c>
    </row>
    <row r="2176" spans="1:11" ht="12.5" customHeight="1" x14ac:dyDescent="0.25">
      <c r="A2176" s="5" t="s">
        <v>8050</v>
      </c>
      <c r="B2176" s="6" t="s">
        <v>7578</v>
      </c>
      <c r="C2176" s="6" t="s">
        <v>7579</v>
      </c>
      <c r="D2176" s="6" t="s">
        <v>8046</v>
      </c>
      <c r="E2176" s="6" t="s">
        <v>8051</v>
      </c>
      <c r="F2176" s="6" t="s">
        <v>8052</v>
      </c>
      <c r="G2176" s="9" t="s">
        <v>8053</v>
      </c>
      <c r="H2176" s="9" t="s">
        <v>18</v>
      </c>
      <c r="I2176" s="16" t="str">
        <f>VLOOKUP(F2176,[1]完整分类结果!$E:$G,3,0)</f>
        <v>普通机械制造业</v>
      </c>
      <c r="J2176" s="16">
        <f>VLOOKUP(I2176,[2]行业排放因子!$A:$B,2,0)</f>
        <v>9.6615781889079599</v>
      </c>
      <c r="K2176" s="9" t="s">
        <v>756</v>
      </c>
    </row>
    <row r="2177" spans="1:11" ht="12.5" customHeight="1" x14ac:dyDescent="0.25">
      <c r="A2177" s="5" t="s">
        <v>8054</v>
      </c>
      <c r="B2177" s="6" t="s">
        <v>7578</v>
      </c>
      <c r="C2177" s="6" t="s">
        <v>7579</v>
      </c>
      <c r="D2177" s="6" t="s">
        <v>8046</v>
      </c>
      <c r="E2177" s="6" t="s">
        <v>8055</v>
      </c>
      <c r="F2177" s="6" t="s">
        <v>8056</v>
      </c>
      <c r="G2177" s="9" t="s">
        <v>8057</v>
      </c>
      <c r="H2177" s="9" t="s">
        <v>18</v>
      </c>
      <c r="I2177" s="16" t="str">
        <f>VLOOKUP(F2177,[1]完整分类结果!$E:$G,3,0)</f>
        <v>普通机械制造业</v>
      </c>
      <c r="J2177" s="16">
        <f>VLOOKUP(I2177,[2]行业排放因子!$A:$B,2,0)</f>
        <v>9.6615781889079599</v>
      </c>
      <c r="K2177" s="9" t="s">
        <v>756</v>
      </c>
    </row>
    <row r="2178" spans="1:11" ht="12.5" customHeight="1" x14ac:dyDescent="0.25">
      <c r="A2178" s="5" t="s">
        <v>8058</v>
      </c>
      <c r="B2178" s="6" t="s">
        <v>7578</v>
      </c>
      <c r="C2178" s="6" t="s">
        <v>7579</v>
      </c>
      <c r="D2178" s="6" t="s">
        <v>8046</v>
      </c>
      <c r="E2178" s="6" t="s">
        <v>8059</v>
      </c>
      <c r="F2178" s="6" t="s">
        <v>8060</v>
      </c>
      <c r="G2178" s="9" t="s">
        <v>8061</v>
      </c>
      <c r="H2178" s="9" t="s">
        <v>18</v>
      </c>
      <c r="I2178" s="16" t="str">
        <f>VLOOKUP(F2178,[1]完整分类结果!$E:$G,3,0)</f>
        <v>普通机械制造业</v>
      </c>
      <c r="J2178" s="16">
        <f>VLOOKUP(I2178,[2]行业排放因子!$A:$B,2,0)</f>
        <v>9.6615781889079599</v>
      </c>
      <c r="K2178" s="9" t="s">
        <v>756</v>
      </c>
    </row>
    <row r="2179" spans="1:11" ht="12.5" customHeight="1" x14ac:dyDescent="0.25">
      <c r="A2179" s="5" t="s">
        <v>8062</v>
      </c>
      <c r="B2179" s="6" t="s">
        <v>7578</v>
      </c>
      <c r="C2179" s="6" t="s">
        <v>7579</v>
      </c>
      <c r="D2179" s="6" t="s">
        <v>8046</v>
      </c>
      <c r="E2179" s="6" t="s">
        <v>8063</v>
      </c>
      <c r="F2179" s="6" t="s">
        <v>8064</v>
      </c>
      <c r="G2179" s="9"/>
      <c r="H2179" s="9" t="s">
        <v>18</v>
      </c>
      <c r="I2179" s="16" t="str">
        <f>VLOOKUP(F2179,[1]完整分类结果!$E:$G,3,0)</f>
        <v>普通机械制造业</v>
      </c>
      <c r="J2179" s="16">
        <f>VLOOKUP(I2179,[2]行业排放因子!$A:$B,2,0)</f>
        <v>9.6615781889079599</v>
      </c>
      <c r="K2179" s="9" t="s">
        <v>756</v>
      </c>
    </row>
    <row r="2180" spans="1:11" ht="12.5" customHeight="1" x14ac:dyDescent="0.25">
      <c r="A2180" s="5" t="s">
        <v>8065</v>
      </c>
      <c r="B2180" s="6" t="s">
        <v>7578</v>
      </c>
      <c r="C2180" s="6" t="s">
        <v>7579</v>
      </c>
      <c r="D2180" s="6" t="s">
        <v>8066</v>
      </c>
      <c r="E2180" s="6" t="s">
        <v>8067</v>
      </c>
      <c r="F2180" s="6" t="s">
        <v>8068</v>
      </c>
      <c r="G2180" s="9" t="s">
        <v>8069</v>
      </c>
      <c r="H2180" s="9" t="s">
        <v>18</v>
      </c>
      <c r="I2180" s="16" t="str">
        <f>VLOOKUP(F2180,[1]完整分类结果!$E:$G,3,0)</f>
        <v>普通机械制造业</v>
      </c>
      <c r="J2180" s="16">
        <f>VLOOKUP(I2180,[2]行业排放因子!$A:$B,2,0)</f>
        <v>9.6615781889079599</v>
      </c>
      <c r="K2180" s="9" t="s">
        <v>756</v>
      </c>
    </row>
    <row r="2181" spans="1:11" ht="12.5" customHeight="1" x14ac:dyDescent="0.25">
      <c r="A2181" s="5" t="s">
        <v>8070</v>
      </c>
      <c r="B2181" s="6" t="s">
        <v>7578</v>
      </c>
      <c r="C2181" s="6" t="s">
        <v>7579</v>
      </c>
      <c r="D2181" s="6" t="s">
        <v>8066</v>
      </c>
      <c r="E2181" s="6" t="s">
        <v>8071</v>
      </c>
      <c r="F2181" s="6" t="s">
        <v>8072</v>
      </c>
      <c r="G2181" s="9" t="s">
        <v>8073</v>
      </c>
      <c r="H2181" s="9" t="s">
        <v>18</v>
      </c>
      <c r="I2181" s="16" t="str">
        <f>VLOOKUP(F2181,[1]完整分类结果!$E:$G,3,0)</f>
        <v>普通机械制造业</v>
      </c>
      <c r="J2181" s="16">
        <f>VLOOKUP(I2181,[2]行业排放因子!$A:$B,2,0)</f>
        <v>9.6615781889079599</v>
      </c>
      <c r="K2181" s="9" t="s">
        <v>756</v>
      </c>
    </row>
    <row r="2182" spans="1:11" ht="12.5" customHeight="1" x14ac:dyDescent="0.25">
      <c r="A2182" s="5" t="s">
        <v>8074</v>
      </c>
      <c r="B2182" s="6" t="s">
        <v>7578</v>
      </c>
      <c r="C2182" s="6" t="s">
        <v>7579</v>
      </c>
      <c r="D2182" s="6" t="s">
        <v>8066</v>
      </c>
      <c r="E2182" s="6" t="s">
        <v>8075</v>
      </c>
      <c r="F2182" s="6" t="s">
        <v>8076</v>
      </c>
      <c r="G2182" s="9" t="s">
        <v>8077</v>
      </c>
      <c r="H2182" s="9" t="s">
        <v>18</v>
      </c>
      <c r="I2182" s="16" t="str">
        <f>VLOOKUP(F2182,[1]完整分类结果!$E:$G,3,0)</f>
        <v>普通机械制造业</v>
      </c>
      <c r="J2182" s="16">
        <f>VLOOKUP(I2182,[2]行业排放因子!$A:$B,2,0)</f>
        <v>9.6615781889079599</v>
      </c>
      <c r="K2182" s="9" t="s">
        <v>756</v>
      </c>
    </row>
    <row r="2183" spans="1:11" ht="12.5" customHeight="1" x14ac:dyDescent="0.25">
      <c r="A2183" s="5" t="s">
        <v>8078</v>
      </c>
      <c r="B2183" s="6" t="s">
        <v>7578</v>
      </c>
      <c r="C2183" s="6" t="s">
        <v>7579</v>
      </c>
      <c r="D2183" s="6" t="s">
        <v>8079</v>
      </c>
      <c r="E2183" s="6" t="s">
        <v>8080</v>
      </c>
      <c r="F2183" s="6" t="s">
        <v>8081</v>
      </c>
      <c r="G2183" s="9" t="s">
        <v>8082</v>
      </c>
      <c r="H2183" s="9" t="s">
        <v>18</v>
      </c>
      <c r="I2183" s="16" t="str">
        <f>VLOOKUP(F2183,[1]完整分类结果!$E:$G,3,0)</f>
        <v>普通机械制造业</v>
      </c>
      <c r="J2183" s="16">
        <f>VLOOKUP(I2183,[2]行业排放因子!$A:$B,2,0)</f>
        <v>9.6615781889079599</v>
      </c>
      <c r="K2183" s="9" t="s">
        <v>756</v>
      </c>
    </row>
    <row r="2184" spans="1:11" ht="12.5" customHeight="1" x14ac:dyDescent="0.25">
      <c r="A2184" s="5" t="s">
        <v>8083</v>
      </c>
      <c r="B2184" s="6" t="s">
        <v>7578</v>
      </c>
      <c r="C2184" s="6" t="s">
        <v>7579</v>
      </c>
      <c r="D2184" s="6" t="s">
        <v>8079</v>
      </c>
      <c r="E2184" s="6" t="s">
        <v>8084</v>
      </c>
      <c r="F2184" s="6" t="s">
        <v>8079</v>
      </c>
      <c r="G2184" s="9" t="s">
        <v>8085</v>
      </c>
      <c r="H2184" s="9" t="s">
        <v>18</v>
      </c>
      <c r="I2184" s="16" t="str">
        <f>VLOOKUP(F2184,[1]完整分类结果!$E:$G,3,0)</f>
        <v>普通机械制造业</v>
      </c>
      <c r="J2184" s="16">
        <f>VLOOKUP(I2184,[2]行业排放因子!$A:$B,2,0)</f>
        <v>9.6615781889079599</v>
      </c>
      <c r="K2184" s="9" t="s">
        <v>756</v>
      </c>
    </row>
    <row r="2185" spans="1:11" ht="12.5" customHeight="1" x14ac:dyDescent="0.25">
      <c r="A2185" s="5" t="s">
        <v>8086</v>
      </c>
      <c r="B2185" s="6" t="s">
        <v>7578</v>
      </c>
      <c r="C2185" s="6" t="s">
        <v>7579</v>
      </c>
      <c r="D2185" s="6" t="s">
        <v>8079</v>
      </c>
      <c r="E2185" s="6" t="s">
        <v>8087</v>
      </c>
      <c r="F2185" s="6" t="s">
        <v>8088</v>
      </c>
      <c r="G2185" s="9" t="s">
        <v>8089</v>
      </c>
      <c r="H2185" s="9" t="s">
        <v>18</v>
      </c>
      <c r="I2185" s="16" t="str">
        <f>VLOOKUP(F2185,[1]完整分类结果!$E:$G,3,0)</f>
        <v>普通机械制造业</v>
      </c>
      <c r="J2185" s="16">
        <f>VLOOKUP(I2185,[2]行业排放因子!$A:$B,2,0)</f>
        <v>9.6615781889079599</v>
      </c>
      <c r="K2185" s="9" t="s">
        <v>756</v>
      </c>
    </row>
    <row r="2186" spans="1:11" ht="12.5" customHeight="1" x14ac:dyDescent="0.25">
      <c r="A2186" s="5" t="s">
        <v>8090</v>
      </c>
      <c r="B2186" s="6" t="s">
        <v>7578</v>
      </c>
      <c r="C2186" s="6" t="s">
        <v>7579</v>
      </c>
      <c r="D2186" s="6" t="s">
        <v>8079</v>
      </c>
      <c r="E2186" s="6" t="s">
        <v>8091</v>
      </c>
      <c r="F2186" s="6" t="s">
        <v>8092</v>
      </c>
      <c r="G2186" s="9" t="s">
        <v>8093</v>
      </c>
      <c r="H2186" s="9" t="s">
        <v>18</v>
      </c>
      <c r="I2186" s="16" t="str">
        <f>VLOOKUP(F2186,[1]完整分类结果!$E:$G,3,0)</f>
        <v>普通机械制造业</v>
      </c>
      <c r="J2186" s="16">
        <f>VLOOKUP(I2186,[2]行业排放因子!$A:$B,2,0)</f>
        <v>9.6615781889079599</v>
      </c>
      <c r="K2186" s="9" t="s">
        <v>756</v>
      </c>
    </row>
    <row r="2187" spans="1:11" ht="12.5" customHeight="1" x14ac:dyDescent="0.25">
      <c r="A2187" s="5" t="s">
        <v>8094</v>
      </c>
      <c r="B2187" s="6" t="s">
        <v>7578</v>
      </c>
      <c r="C2187" s="6" t="s">
        <v>7579</v>
      </c>
      <c r="D2187" s="6" t="s">
        <v>8079</v>
      </c>
      <c r="E2187" s="6" t="s">
        <v>8095</v>
      </c>
      <c r="F2187" s="6" t="s">
        <v>8096</v>
      </c>
      <c r="G2187" s="9" t="s">
        <v>8097</v>
      </c>
      <c r="H2187" s="9" t="s">
        <v>18</v>
      </c>
      <c r="I2187" s="16" t="str">
        <f>VLOOKUP(F2187,[1]完整分类结果!$E:$G,3,0)</f>
        <v>普通机械制造业</v>
      </c>
      <c r="J2187" s="16">
        <f>VLOOKUP(I2187,[2]行业排放因子!$A:$B,2,0)</f>
        <v>9.6615781889079599</v>
      </c>
      <c r="K2187" s="9" t="s">
        <v>756</v>
      </c>
    </row>
    <row r="2188" spans="1:11" ht="12.5" customHeight="1" x14ac:dyDescent="0.25">
      <c r="A2188" s="5" t="s">
        <v>8098</v>
      </c>
      <c r="B2188" s="6" t="s">
        <v>7578</v>
      </c>
      <c r="C2188" s="6" t="s">
        <v>7579</v>
      </c>
      <c r="D2188" s="6" t="s">
        <v>8079</v>
      </c>
      <c r="E2188" s="6" t="s">
        <v>8099</v>
      </c>
      <c r="F2188" s="6" t="s">
        <v>8100</v>
      </c>
      <c r="G2188" s="9" t="s">
        <v>8101</v>
      </c>
      <c r="H2188" s="9" t="s">
        <v>18</v>
      </c>
      <c r="I2188" s="16" t="str">
        <f>VLOOKUP(F2188,[1]完整分类结果!$E:$G,3,0)</f>
        <v>普通机械制造业</v>
      </c>
      <c r="J2188" s="16">
        <f>VLOOKUP(I2188,[2]行业排放因子!$A:$B,2,0)</f>
        <v>9.6615781889079599</v>
      </c>
      <c r="K2188" s="9" t="s">
        <v>756</v>
      </c>
    </row>
    <row r="2189" spans="1:11" ht="12.5" customHeight="1" x14ac:dyDescent="0.25">
      <c r="A2189" s="5" t="s">
        <v>8102</v>
      </c>
      <c r="B2189" s="6" t="s">
        <v>7578</v>
      </c>
      <c r="C2189" s="6" t="s">
        <v>7579</v>
      </c>
      <c r="D2189" s="6" t="s">
        <v>8079</v>
      </c>
      <c r="E2189" s="6" t="s">
        <v>8103</v>
      </c>
      <c r="F2189" s="6" t="s">
        <v>8104</v>
      </c>
      <c r="G2189" s="9" t="s">
        <v>8105</v>
      </c>
      <c r="H2189" s="9" t="s">
        <v>18</v>
      </c>
      <c r="I2189" s="16" t="str">
        <f>VLOOKUP(F2189,[1]完整分类结果!$E:$G,3,0)</f>
        <v>普通机械制造业</v>
      </c>
      <c r="J2189" s="16">
        <f>VLOOKUP(I2189,[2]行业排放因子!$A:$B,2,0)</f>
        <v>9.6615781889079599</v>
      </c>
      <c r="K2189" s="9" t="s">
        <v>756</v>
      </c>
    </row>
    <row r="2190" spans="1:11" ht="12.5" customHeight="1" x14ac:dyDescent="0.25">
      <c r="A2190" s="5" t="s">
        <v>8106</v>
      </c>
      <c r="B2190" s="6" t="s">
        <v>7578</v>
      </c>
      <c r="C2190" s="6" t="s">
        <v>7579</v>
      </c>
      <c r="D2190" s="6" t="s">
        <v>8079</v>
      </c>
      <c r="E2190" s="6" t="s">
        <v>8107</v>
      </c>
      <c r="F2190" s="6" t="s">
        <v>8108</v>
      </c>
      <c r="G2190" s="9" t="s">
        <v>8109</v>
      </c>
      <c r="H2190" s="9" t="s">
        <v>18</v>
      </c>
      <c r="I2190" s="16" t="str">
        <f>VLOOKUP(F2190,[1]完整分类结果!$E:$G,3,0)</f>
        <v>普通机械制造业</v>
      </c>
      <c r="J2190" s="16">
        <f>VLOOKUP(I2190,[2]行业排放因子!$A:$B,2,0)</f>
        <v>9.6615781889079599</v>
      </c>
      <c r="K2190" s="9" t="s">
        <v>756</v>
      </c>
    </row>
    <row r="2191" spans="1:11" ht="12.5" customHeight="1" x14ac:dyDescent="0.25">
      <c r="A2191" s="5" t="s">
        <v>8110</v>
      </c>
      <c r="B2191" s="6" t="s">
        <v>7578</v>
      </c>
      <c r="C2191" s="6" t="s">
        <v>7579</v>
      </c>
      <c r="D2191" s="6" t="s">
        <v>8111</v>
      </c>
      <c r="E2191" s="6" t="s">
        <v>8112</v>
      </c>
      <c r="F2191" s="6" t="s">
        <v>8113</v>
      </c>
      <c r="G2191" s="9" t="s">
        <v>8114</v>
      </c>
      <c r="H2191" s="9" t="s">
        <v>18</v>
      </c>
      <c r="I2191" s="16" t="str">
        <f>VLOOKUP(F2191,[1]完整分类结果!$E:$G,3,0)</f>
        <v>普通机械制造业</v>
      </c>
      <c r="J2191" s="16">
        <f>VLOOKUP(I2191,[2]行业排放因子!$A:$B,2,0)</f>
        <v>9.6615781889079599</v>
      </c>
      <c r="K2191" s="9" t="s">
        <v>756</v>
      </c>
    </row>
    <row r="2192" spans="1:11" ht="12.5" customHeight="1" x14ac:dyDescent="0.25">
      <c r="A2192" s="5" t="s">
        <v>8115</v>
      </c>
      <c r="B2192" s="6" t="s">
        <v>7578</v>
      </c>
      <c r="C2192" s="6" t="s">
        <v>7579</v>
      </c>
      <c r="D2192" s="6" t="s">
        <v>8116</v>
      </c>
      <c r="E2192" s="6" t="s">
        <v>8117</v>
      </c>
      <c r="F2192" s="6" t="s">
        <v>8118</v>
      </c>
      <c r="G2192" s="9" t="s">
        <v>8119</v>
      </c>
      <c r="H2192" s="9" t="s">
        <v>18</v>
      </c>
      <c r="I2192" s="16" t="str">
        <f>VLOOKUP(F2192,[1]完整分类结果!$E:$G,3,0)</f>
        <v>普通机械制造业</v>
      </c>
      <c r="J2192" s="16">
        <f>VLOOKUP(I2192,[2]行业排放因子!$A:$B,2,0)</f>
        <v>9.6615781889079599</v>
      </c>
      <c r="K2192" s="9" t="s">
        <v>756</v>
      </c>
    </row>
    <row r="2193" spans="1:11" ht="12.5" customHeight="1" x14ac:dyDescent="0.25">
      <c r="A2193" s="5" t="s">
        <v>8120</v>
      </c>
      <c r="B2193" s="6" t="s">
        <v>7578</v>
      </c>
      <c r="C2193" s="6" t="s">
        <v>7579</v>
      </c>
      <c r="D2193" s="6" t="s">
        <v>8116</v>
      </c>
      <c r="E2193" s="6" t="s">
        <v>8121</v>
      </c>
      <c r="F2193" s="6" t="s">
        <v>8122</v>
      </c>
      <c r="G2193" s="9" t="s">
        <v>8123</v>
      </c>
      <c r="H2193" s="9" t="s">
        <v>18</v>
      </c>
      <c r="I2193" s="16" t="str">
        <f>VLOOKUP(F2193,[1]完整分类结果!$E:$G,3,0)</f>
        <v>普通机械制造业</v>
      </c>
      <c r="J2193" s="16">
        <f>VLOOKUP(I2193,[2]行业排放因子!$A:$B,2,0)</f>
        <v>9.6615781889079599</v>
      </c>
      <c r="K2193" s="9" t="s">
        <v>756</v>
      </c>
    </row>
    <row r="2194" spans="1:11" ht="12.5" customHeight="1" x14ac:dyDescent="0.25">
      <c r="A2194" s="5" t="s">
        <v>8124</v>
      </c>
      <c r="B2194" s="6" t="s">
        <v>7578</v>
      </c>
      <c r="C2194" s="6" t="s">
        <v>7579</v>
      </c>
      <c r="D2194" s="6" t="s">
        <v>8116</v>
      </c>
      <c r="E2194" s="6" t="s">
        <v>8125</v>
      </c>
      <c r="F2194" s="6" t="s">
        <v>8126</v>
      </c>
      <c r="G2194" s="9" t="s">
        <v>8127</v>
      </c>
      <c r="H2194" s="9" t="s">
        <v>18</v>
      </c>
      <c r="I2194" s="16" t="str">
        <f>VLOOKUP(F2194,[1]完整分类结果!$E:$G,3,0)</f>
        <v>普通机械制造业</v>
      </c>
      <c r="J2194" s="16">
        <f>VLOOKUP(I2194,[2]行业排放因子!$A:$B,2,0)</f>
        <v>9.6615781889079599</v>
      </c>
      <c r="K2194" s="9" t="s">
        <v>756</v>
      </c>
    </row>
    <row r="2195" spans="1:11" ht="12.5" customHeight="1" x14ac:dyDescent="0.25">
      <c r="A2195" s="5" t="s">
        <v>8128</v>
      </c>
      <c r="B2195" s="6" t="s">
        <v>7578</v>
      </c>
      <c r="C2195" s="6" t="s">
        <v>7579</v>
      </c>
      <c r="D2195" s="6" t="s">
        <v>8116</v>
      </c>
      <c r="E2195" s="6" t="s">
        <v>8129</v>
      </c>
      <c r="F2195" s="6" t="s">
        <v>8130</v>
      </c>
      <c r="G2195" s="9" t="s">
        <v>8131</v>
      </c>
      <c r="H2195" s="9" t="s">
        <v>18</v>
      </c>
      <c r="I2195" s="16" t="str">
        <f>VLOOKUP(F2195,[1]完整分类结果!$E:$G,3,0)</f>
        <v>普通机械制造业</v>
      </c>
      <c r="J2195" s="16">
        <f>VLOOKUP(I2195,[2]行业排放因子!$A:$B,2,0)</f>
        <v>9.6615781889079599</v>
      </c>
      <c r="K2195" s="9" t="s">
        <v>756</v>
      </c>
    </row>
    <row r="2196" spans="1:11" ht="12.5" customHeight="1" x14ac:dyDescent="0.25">
      <c r="A2196" s="5" t="s">
        <v>8132</v>
      </c>
      <c r="B2196" s="6" t="s">
        <v>7578</v>
      </c>
      <c r="C2196" s="6" t="s">
        <v>7579</v>
      </c>
      <c r="D2196" s="6" t="s">
        <v>8116</v>
      </c>
      <c r="E2196" s="6" t="s">
        <v>8133</v>
      </c>
      <c r="F2196" s="6" t="s">
        <v>8134</v>
      </c>
      <c r="G2196" s="9"/>
      <c r="H2196" s="9" t="s">
        <v>18</v>
      </c>
      <c r="I2196" s="16" t="str">
        <f>VLOOKUP(F2196,[1]完整分类结果!$E:$G,3,0)</f>
        <v>普通机械制造业</v>
      </c>
      <c r="J2196" s="16">
        <f>VLOOKUP(I2196,[2]行业排放因子!$A:$B,2,0)</f>
        <v>9.6615781889079599</v>
      </c>
      <c r="K2196" s="9" t="s">
        <v>756</v>
      </c>
    </row>
    <row r="2197" spans="1:11" ht="12.5" customHeight="1" x14ac:dyDescent="0.25">
      <c r="A2197" s="5" t="s">
        <v>8135</v>
      </c>
      <c r="B2197" s="6" t="s">
        <v>7578</v>
      </c>
      <c r="C2197" s="6" t="s">
        <v>7579</v>
      </c>
      <c r="D2197" s="6" t="s">
        <v>8116</v>
      </c>
      <c r="E2197" s="6" t="s">
        <v>8136</v>
      </c>
      <c r="F2197" s="6" t="s">
        <v>8137</v>
      </c>
      <c r="G2197" s="9" t="s">
        <v>8138</v>
      </c>
      <c r="H2197" s="9" t="s">
        <v>18</v>
      </c>
      <c r="I2197" s="16" t="str">
        <f>VLOOKUP(F2197,[1]完整分类结果!$E:$G,3,0)</f>
        <v>普通机械制造业</v>
      </c>
      <c r="J2197" s="16">
        <f>VLOOKUP(I2197,[2]行业排放因子!$A:$B,2,0)</f>
        <v>9.6615781889079599</v>
      </c>
      <c r="K2197" s="9" t="s">
        <v>756</v>
      </c>
    </row>
    <row r="2198" spans="1:11" ht="12.5" customHeight="1" x14ac:dyDescent="0.25">
      <c r="A2198" s="5" t="s">
        <v>8139</v>
      </c>
      <c r="B2198" s="6" t="s">
        <v>7578</v>
      </c>
      <c r="C2198" s="6" t="s">
        <v>7579</v>
      </c>
      <c r="D2198" s="6" t="s">
        <v>8116</v>
      </c>
      <c r="E2198" s="6" t="s">
        <v>8140</v>
      </c>
      <c r="F2198" s="6" t="s">
        <v>8141</v>
      </c>
      <c r="G2198" s="9" t="s">
        <v>8142</v>
      </c>
      <c r="H2198" s="9" t="s">
        <v>18</v>
      </c>
      <c r="I2198" s="16" t="str">
        <f>VLOOKUP(F2198,[1]完整分类结果!$E:$G,3,0)</f>
        <v>普通机械制造业</v>
      </c>
      <c r="J2198" s="16">
        <f>VLOOKUP(I2198,[2]行业排放因子!$A:$B,2,0)</f>
        <v>9.6615781889079599</v>
      </c>
      <c r="K2198" s="9" t="s">
        <v>756</v>
      </c>
    </row>
    <row r="2199" spans="1:11" ht="12.5" customHeight="1" x14ac:dyDescent="0.25">
      <c r="A2199" s="5" t="s">
        <v>8143</v>
      </c>
      <c r="B2199" s="6" t="s">
        <v>7578</v>
      </c>
      <c r="C2199" s="6" t="s">
        <v>7579</v>
      </c>
      <c r="D2199" s="6" t="s">
        <v>8116</v>
      </c>
      <c r="E2199" s="6" t="s">
        <v>8144</v>
      </c>
      <c r="F2199" s="6" t="s">
        <v>8145</v>
      </c>
      <c r="G2199" s="9" t="s">
        <v>8146</v>
      </c>
      <c r="H2199" s="9" t="s">
        <v>18</v>
      </c>
      <c r="I2199" s="16" t="str">
        <f>VLOOKUP(F2199,[1]完整分类结果!$E:$G,3,0)</f>
        <v>普通机械制造业</v>
      </c>
      <c r="J2199" s="16">
        <f>VLOOKUP(I2199,[2]行业排放因子!$A:$B,2,0)</f>
        <v>9.6615781889079599</v>
      </c>
      <c r="K2199" s="9" t="s">
        <v>756</v>
      </c>
    </row>
    <row r="2200" spans="1:11" ht="12.5" customHeight="1" x14ac:dyDescent="0.25">
      <c r="A2200" s="5" t="s">
        <v>8147</v>
      </c>
      <c r="B2200" s="6" t="s">
        <v>7578</v>
      </c>
      <c r="C2200" s="6" t="s">
        <v>7579</v>
      </c>
      <c r="D2200" s="6" t="s">
        <v>8148</v>
      </c>
      <c r="E2200" s="6" t="s">
        <v>8149</v>
      </c>
      <c r="F2200" s="6" t="s">
        <v>8150</v>
      </c>
      <c r="G2200" s="9" t="s">
        <v>8151</v>
      </c>
      <c r="H2200" s="9" t="s">
        <v>18</v>
      </c>
      <c r="I2200" s="16" t="str">
        <f>VLOOKUP(F2200,[1]完整分类结果!$E:$G,3,0)</f>
        <v>普通机械制造业</v>
      </c>
      <c r="J2200" s="16">
        <f>VLOOKUP(I2200,[2]行业排放因子!$A:$B,2,0)</f>
        <v>9.6615781889079599</v>
      </c>
      <c r="K2200" s="9" t="s">
        <v>756</v>
      </c>
    </row>
    <row r="2201" spans="1:11" ht="12.5" customHeight="1" x14ac:dyDescent="0.25">
      <c r="A2201" s="5" t="s">
        <v>8152</v>
      </c>
      <c r="B2201" s="6" t="s">
        <v>7578</v>
      </c>
      <c r="C2201" s="6" t="s">
        <v>7579</v>
      </c>
      <c r="D2201" s="6" t="s">
        <v>8148</v>
      </c>
      <c r="E2201" s="6" t="s">
        <v>8153</v>
      </c>
      <c r="F2201" s="6" t="s">
        <v>8154</v>
      </c>
      <c r="G2201" s="9" t="s">
        <v>8155</v>
      </c>
      <c r="H2201" s="9" t="s">
        <v>18</v>
      </c>
      <c r="I2201" s="16" t="str">
        <f>VLOOKUP(F2201,[1]完整分类结果!$E:$G,3,0)</f>
        <v>普通机械制造业</v>
      </c>
      <c r="J2201" s="16">
        <f>VLOOKUP(I2201,[2]行业排放因子!$A:$B,2,0)</f>
        <v>9.6615781889079599</v>
      </c>
      <c r="K2201" s="9" t="s">
        <v>756</v>
      </c>
    </row>
    <row r="2202" spans="1:11" ht="12.5" customHeight="1" x14ac:dyDescent="0.25">
      <c r="A2202" s="5" t="s">
        <v>8156</v>
      </c>
      <c r="B2202" s="6" t="s">
        <v>7578</v>
      </c>
      <c r="C2202" s="6" t="s">
        <v>7579</v>
      </c>
      <c r="D2202" s="6" t="s">
        <v>8148</v>
      </c>
      <c r="E2202" s="6" t="s">
        <v>8157</v>
      </c>
      <c r="F2202" s="6" t="s">
        <v>8158</v>
      </c>
      <c r="G2202" s="9" t="s">
        <v>8159</v>
      </c>
      <c r="H2202" s="9" t="s">
        <v>18</v>
      </c>
      <c r="I2202" s="16" t="str">
        <f>VLOOKUP(F2202,[1]完整分类结果!$E:$G,3,0)</f>
        <v>普通机械制造业</v>
      </c>
      <c r="J2202" s="16">
        <f>VLOOKUP(I2202,[2]行业排放因子!$A:$B,2,0)</f>
        <v>9.6615781889079599</v>
      </c>
      <c r="K2202" s="9" t="s">
        <v>756</v>
      </c>
    </row>
    <row r="2203" spans="1:11" ht="12.5" customHeight="1" x14ac:dyDescent="0.25">
      <c r="A2203" s="5" t="s">
        <v>8160</v>
      </c>
      <c r="B2203" s="6" t="s">
        <v>7578</v>
      </c>
      <c r="C2203" s="6" t="s">
        <v>7579</v>
      </c>
      <c r="D2203" s="6" t="s">
        <v>8148</v>
      </c>
      <c r="E2203" s="6" t="s">
        <v>8161</v>
      </c>
      <c r="F2203" s="6" t="s">
        <v>8162</v>
      </c>
      <c r="G2203" s="9" t="s">
        <v>8163</v>
      </c>
      <c r="H2203" s="9" t="s">
        <v>18</v>
      </c>
      <c r="I2203" s="16" t="str">
        <f>VLOOKUP(F2203,[1]完整分类结果!$E:$G,3,0)</f>
        <v>普通机械制造业</v>
      </c>
      <c r="J2203" s="16">
        <f>VLOOKUP(I2203,[2]行业排放因子!$A:$B,2,0)</f>
        <v>9.6615781889079599</v>
      </c>
      <c r="K2203" s="9" t="s">
        <v>756</v>
      </c>
    </row>
    <row r="2204" spans="1:11" ht="12.5" customHeight="1" x14ac:dyDescent="0.25">
      <c r="A2204" s="5" t="s">
        <v>8164</v>
      </c>
      <c r="B2204" s="6" t="s">
        <v>7578</v>
      </c>
      <c r="C2204" s="6" t="s">
        <v>7579</v>
      </c>
      <c r="D2204" s="6" t="s">
        <v>7579</v>
      </c>
      <c r="E2204" s="6" t="s">
        <v>8165</v>
      </c>
      <c r="F2204" s="6" t="s">
        <v>8166</v>
      </c>
      <c r="G2204" s="9" t="s">
        <v>8167</v>
      </c>
      <c r="H2204" s="9" t="s">
        <v>18</v>
      </c>
      <c r="I2204" s="16" t="str">
        <f>VLOOKUP(F2204,[1]完整分类结果!$E:$G,3,0)</f>
        <v>普通机械制造业</v>
      </c>
      <c r="J2204" s="16">
        <f>VLOOKUP(I2204,[2]行业排放因子!$A:$B,2,0)</f>
        <v>9.6615781889079599</v>
      </c>
      <c r="K2204" s="9" t="s">
        <v>756</v>
      </c>
    </row>
    <row r="2205" spans="1:11" ht="12.5" customHeight="1" x14ac:dyDescent="0.25">
      <c r="A2205" s="5" t="s">
        <v>8168</v>
      </c>
      <c r="B2205" s="6" t="s">
        <v>7578</v>
      </c>
      <c r="C2205" s="6" t="s">
        <v>7579</v>
      </c>
      <c r="D2205" s="6" t="s">
        <v>7579</v>
      </c>
      <c r="E2205" s="6" t="s">
        <v>8169</v>
      </c>
      <c r="F2205" s="6" t="s">
        <v>8170</v>
      </c>
      <c r="G2205" s="9" t="s">
        <v>8171</v>
      </c>
      <c r="H2205" s="9" t="s">
        <v>18</v>
      </c>
      <c r="I2205" s="16" t="str">
        <f>VLOOKUP(F2205,[1]完整分类结果!$E:$G,3,0)</f>
        <v>普通机械制造业</v>
      </c>
      <c r="J2205" s="16">
        <f>VLOOKUP(I2205,[2]行业排放因子!$A:$B,2,0)</f>
        <v>9.6615781889079599</v>
      </c>
      <c r="K2205" s="9" t="s">
        <v>756</v>
      </c>
    </row>
    <row r="2206" spans="1:11" ht="12.5" customHeight="1" x14ac:dyDescent="0.25">
      <c r="A2206" s="5" t="s">
        <v>8172</v>
      </c>
      <c r="B2206" s="6" t="s">
        <v>7578</v>
      </c>
      <c r="C2206" s="6" t="s">
        <v>7579</v>
      </c>
      <c r="D2206" s="6" t="s">
        <v>7579</v>
      </c>
      <c r="E2206" s="6" t="s">
        <v>8173</v>
      </c>
      <c r="F2206" s="6" t="s">
        <v>8174</v>
      </c>
      <c r="G2206" s="9" t="s">
        <v>8175</v>
      </c>
      <c r="H2206" s="9" t="s">
        <v>18</v>
      </c>
      <c r="I2206" s="16" t="str">
        <f>VLOOKUP(F2206,[1]完整分类结果!$E:$G,3,0)</f>
        <v>普通机械制造业</v>
      </c>
      <c r="J2206" s="16">
        <f>VLOOKUP(I2206,[2]行业排放因子!$A:$B,2,0)</f>
        <v>9.6615781889079599</v>
      </c>
      <c r="K2206" s="9" t="s">
        <v>756</v>
      </c>
    </row>
    <row r="2207" spans="1:11" ht="12.5" customHeight="1" x14ac:dyDescent="0.25">
      <c r="A2207" s="5" t="s">
        <v>8176</v>
      </c>
      <c r="B2207" s="6" t="s">
        <v>7578</v>
      </c>
      <c r="C2207" s="6" t="s">
        <v>7579</v>
      </c>
      <c r="D2207" s="6" t="s">
        <v>7579</v>
      </c>
      <c r="E2207" s="6" t="s">
        <v>8177</v>
      </c>
      <c r="F2207" s="6" t="s">
        <v>8178</v>
      </c>
      <c r="G2207" s="9" t="s">
        <v>8179</v>
      </c>
      <c r="H2207" s="9" t="s">
        <v>18</v>
      </c>
      <c r="I2207" s="16" t="str">
        <f>VLOOKUP(F2207,[1]完整分类结果!$E:$G,3,0)</f>
        <v>普通机械制造业</v>
      </c>
      <c r="J2207" s="16">
        <f>VLOOKUP(I2207,[2]行业排放因子!$A:$B,2,0)</f>
        <v>9.6615781889079599</v>
      </c>
      <c r="K2207" s="9" t="s">
        <v>756</v>
      </c>
    </row>
    <row r="2208" spans="1:11" ht="12.5" customHeight="1" x14ac:dyDescent="0.25">
      <c r="A2208" s="5" t="s">
        <v>8180</v>
      </c>
      <c r="B2208" s="6" t="s">
        <v>7578</v>
      </c>
      <c r="C2208" s="6" t="s">
        <v>7579</v>
      </c>
      <c r="D2208" s="6" t="s">
        <v>7579</v>
      </c>
      <c r="E2208" s="6" t="s">
        <v>8181</v>
      </c>
      <c r="F2208" s="6" t="s">
        <v>8182</v>
      </c>
      <c r="G2208" s="9" t="s">
        <v>8183</v>
      </c>
      <c r="H2208" s="9" t="s">
        <v>18</v>
      </c>
      <c r="I2208" s="16" t="str">
        <f>VLOOKUP(F2208,[1]完整分类结果!$E:$G,3,0)</f>
        <v>普通机械制造业</v>
      </c>
      <c r="J2208" s="16">
        <f>VLOOKUP(I2208,[2]行业排放因子!$A:$B,2,0)</f>
        <v>9.6615781889079599</v>
      </c>
      <c r="K2208" s="9" t="s">
        <v>756</v>
      </c>
    </row>
    <row r="2209" spans="1:11" ht="12.5" customHeight="1" x14ac:dyDescent="0.25">
      <c r="A2209" s="5" t="s">
        <v>8184</v>
      </c>
      <c r="B2209" s="6" t="s">
        <v>7578</v>
      </c>
      <c r="C2209" s="6" t="s">
        <v>7579</v>
      </c>
      <c r="D2209" s="6" t="s">
        <v>7579</v>
      </c>
      <c r="E2209" s="6" t="s">
        <v>8185</v>
      </c>
      <c r="F2209" s="6" t="s">
        <v>8186</v>
      </c>
      <c r="G2209" s="9" t="s">
        <v>8187</v>
      </c>
      <c r="H2209" s="9" t="s">
        <v>18</v>
      </c>
      <c r="I2209" s="16" t="str">
        <f>VLOOKUP(F2209,[1]完整分类结果!$E:$G,3,0)</f>
        <v>普通机械制造业</v>
      </c>
      <c r="J2209" s="16">
        <f>VLOOKUP(I2209,[2]行业排放因子!$A:$B,2,0)</f>
        <v>9.6615781889079599</v>
      </c>
      <c r="K2209" s="9" t="s">
        <v>756</v>
      </c>
    </row>
    <row r="2210" spans="1:11" ht="12.5" customHeight="1" x14ac:dyDescent="0.25">
      <c r="A2210" s="5" t="s">
        <v>8188</v>
      </c>
      <c r="B2210" s="6" t="s">
        <v>7578</v>
      </c>
      <c r="C2210" s="6" t="s">
        <v>7579</v>
      </c>
      <c r="D2210" s="6" t="s">
        <v>7579</v>
      </c>
      <c r="E2210" s="6" t="s">
        <v>8189</v>
      </c>
      <c r="F2210" s="6" t="s">
        <v>8190</v>
      </c>
      <c r="G2210" s="9" t="s">
        <v>8191</v>
      </c>
      <c r="H2210" s="9" t="s">
        <v>18</v>
      </c>
      <c r="I2210" s="16" t="str">
        <f>VLOOKUP(F2210,[1]完整分类结果!$E:$G,3,0)</f>
        <v>普通机械制造业</v>
      </c>
      <c r="J2210" s="16">
        <f>VLOOKUP(I2210,[2]行业排放因子!$A:$B,2,0)</f>
        <v>9.6615781889079599</v>
      </c>
      <c r="K2210" s="9" t="s">
        <v>756</v>
      </c>
    </row>
    <row r="2211" spans="1:11" ht="12.5" customHeight="1" x14ac:dyDescent="0.25">
      <c r="A2211" s="5" t="s">
        <v>8192</v>
      </c>
      <c r="B2211" s="6" t="s">
        <v>7578</v>
      </c>
      <c r="C2211" s="6" t="s">
        <v>7579</v>
      </c>
      <c r="D2211" s="6" t="s">
        <v>7579</v>
      </c>
      <c r="E2211" s="6" t="s">
        <v>8193</v>
      </c>
      <c r="F2211" s="6" t="s">
        <v>8194</v>
      </c>
      <c r="G2211" s="9"/>
      <c r="H2211" s="9" t="s">
        <v>18</v>
      </c>
      <c r="I2211" s="16" t="str">
        <f>VLOOKUP(F2211,[1]完整分类结果!$E:$G,3,0)</f>
        <v>普通机械制造业</v>
      </c>
      <c r="J2211" s="16">
        <f>VLOOKUP(I2211,[2]行业排放因子!$A:$B,2,0)</f>
        <v>9.6615781889079599</v>
      </c>
      <c r="K2211" s="9" t="s">
        <v>756</v>
      </c>
    </row>
    <row r="2212" spans="1:11" ht="12.5" customHeight="1" x14ac:dyDescent="0.25">
      <c r="A2212" s="5" t="s">
        <v>8195</v>
      </c>
      <c r="B2212" s="6" t="s">
        <v>7578</v>
      </c>
      <c r="C2212" s="6" t="s">
        <v>7579</v>
      </c>
      <c r="D2212" s="6" t="s">
        <v>7579</v>
      </c>
      <c r="E2212" s="6" t="s">
        <v>8196</v>
      </c>
      <c r="F2212" s="6" t="s">
        <v>8197</v>
      </c>
      <c r="G2212" s="9" t="s">
        <v>8198</v>
      </c>
      <c r="H2212" s="9" t="s">
        <v>18</v>
      </c>
      <c r="I2212" s="16" t="str">
        <f>VLOOKUP(F2212,[1]完整分类结果!$E:$G,3,0)</f>
        <v>普通机械制造业</v>
      </c>
      <c r="J2212" s="16">
        <f>VLOOKUP(I2212,[2]行业排放因子!$A:$B,2,0)</f>
        <v>9.6615781889079599</v>
      </c>
      <c r="K2212" s="9" t="s">
        <v>756</v>
      </c>
    </row>
    <row r="2213" spans="1:11" ht="12.5" customHeight="1" x14ac:dyDescent="0.25">
      <c r="A2213" s="5" t="s">
        <v>8199</v>
      </c>
      <c r="B2213" s="6" t="s">
        <v>7578</v>
      </c>
      <c r="C2213" s="6" t="s">
        <v>7579</v>
      </c>
      <c r="D2213" s="6" t="s">
        <v>7579</v>
      </c>
      <c r="E2213" s="6" t="s">
        <v>8200</v>
      </c>
      <c r="F2213" s="6" t="s">
        <v>8201</v>
      </c>
      <c r="G2213" s="9" t="s">
        <v>8202</v>
      </c>
      <c r="H2213" s="9" t="s">
        <v>18</v>
      </c>
      <c r="I2213" s="16" t="str">
        <f>VLOOKUP(F2213,[1]完整分类结果!$E:$G,3,0)</f>
        <v>普通机械制造业</v>
      </c>
      <c r="J2213" s="16">
        <f>VLOOKUP(I2213,[2]行业排放因子!$A:$B,2,0)</f>
        <v>9.6615781889079599</v>
      </c>
      <c r="K2213" s="9" t="s">
        <v>756</v>
      </c>
    </row>
    <row r="2214" spans="1:11" ht="12.5" customHeight="1" x14ac:dyDescent="0.25">
      <c r="A2214" s="5" t="s">
        <v>8203</v>
      </c>
      <c r="B2214" s="6" t="s">
        <v>7578</v>
      </c>
      <c r="C2214" s="6" t="s">
        <v>7579</v>
      </c>
      <c r="D2214" s="6" t="s">
        <v>7579</v>
      </c>
      <c r="E2214" s="6" t="s">
        <v>8204</v>
      </c>
      <c r="F2214" s="6" t="s">
        <v>8205</v>
      </c>
      <c r="G2214" s="9" t="s">
        <v>8206</v>
      </c>
      <c r="H2214" s="9" t="s">
        <v>18</v>
      </c>
      <c r="I2214" s="16" t="str">
        <f>VLOOKUP(F2214,[1]完整分类结果!$E:$G,3,0)</f>
        <v>普通机械制造业</v>
      </c>
      <c r="J2214" s="16">
        <f>VLOOKUP(I2214,[2]行业排放因子!$A:$B,2,0)</f>
        <v>9.6615781889079599</v>
      </c>
      <c r="K2214" s="9" t="s">
        <v>756</v>
      </c>
    </row>
    <row r="2215" spans="1:11" ht="12.5" customHeight="1" x14ac:dyDescent="0.25">
      <c r="A2215" s="5" t="s">
        <v>8207</v>
      </c>
      <c r="B2215" s="6" t="s">
        <v>7578</v>
      </c>
      <c r="C2215" s="6" t="s">
        <v>7579</v>
      </c>
      <c r="D2215" s="6" t="s">
        <v>7579</v>
      </c>
      <c r="E2215" s="6" t="s">
        <v>8208</v>
      </c>
      <c r="F2215" s="6" t="s">
        <v>8209</v>
      </c>
      <c r="G2215" s="9" t="s">
        <v>8210</v>
      </c>
      <c r="H2215" s="9" t="s">
        <v>18</v>
      </c>
      <c r="I2215" s="16" t="str">
        <f>VLOOKUP(F2215,[1]完整分类结果!$E:$G,3,0)</f>
        <v>普通机械制造业</v>
      </c>
      <c r="J2215" s="16">
        <f>VLOOKUP(I2215,[2]行业排放因子!$A:$B,2,0)</f>
        <v>9.6615781889079599</v>
      </c>
      <c r="K2215" s="9" t="s">
        <v>756</v>
      </c>
    </row>
    <row r="2216" spans="1:11" ht="12.5" customHeight="1" x14ac:dyDescent="0.25">
      <c r="A2216" s="5" t="s">
        <v>8211</v>
      </c>
      <c r="B2216" s="6" t="s">
        <v>7578</v>
      </c>
      <c r="C2216" s="6" t="s">
        <v>7579</v>
      </c>
      <c r="D2216" s="6" t="s">
        <v>7579</v>
      </c>
      <c r="E2216" s="6" t="s">
        <v>8212</v>
      </c>
      <c r="F2216" s="6" t="s">
        <v>8213</v>
      </c>
      <c r="G2216" s="9" t="s">
        <v>8214</v>
      </c>
      <c r="H2216" s="9" t="s">
        <v>18</v>
      </c>
      <c r="I2216" s="16" t="str">
        <f>VLOOKUP(F2216,[1]完整分类结果!$E:$G,3,0)</f>
        <v>普通机械制造业</v>
      </c>
      <c r="J2216" s="16">
        <f>VLOOKUP(I2216,[2]行业排放因子!$A:$B,2,0)</f>
        <v>9.6615781889079599</v>
      </c>
      <c r="K2216" s="9" t="s">
        <v>756</v>
      </c>
    </row>
    <row r="2217" spans="1:11" ht="12.5" customHeight="1" x14ac:dyDescent="0.25">
      <c r="A2217" s="5" t="s">
        <v>8215</v>
      </c>
      <c r="B2217" s="6" t="s">
        <v>7578</v>
      </c>
      <c r="C2217" s="6" t="s">
        <v>7579</v>
      </c>
      <c r="D2217" s="6" t="s">
        <v>7579</v>
      </c>
      <c r="E2217" s="6" t="s">
        <v>8216</v>
      </c>
      <c r="F2217" s="6" t="s">
        <v>8217</v>
      </c>
      <c r="G2217" s="9" t="s">
        <v>8218</v>
      </c>
      <c r="H2217" s="9" t="s">
        <v>18</v>
      </c>
      <c r="I2217" s="16" t="str">
        <f>VLOOKUP(F2217,[1]完整分类结果!$E:$G,3,0)</f>
        <v>普通机械制造业</v>
      </c>
      <c r="J2217" s="16">
        <f>VLOOKUP(I2217,[2]行业排放因子!$A:$B,2,0)</f>
        <v>9.6615781889079599</v>
      </c>
      <c r="K2217" s="9" t="s">
        <v>756</v>
      </c>
    </row>
    <row r="2218" spans="1:11" ht="12.5" customHeight="1" x14ac:dyDescent="0.25">
      <c r="A2218" s="5" t="s">
        <v>8219</v>
      </c>
      <c r="B2218" s="6" t="s">
        <v>7578</v>
      </c>
      <c r="C2218" s="6" t="s">
        <v>7579</v>
      </c>
      <c r="D2218" s="6" t="s">
        <v>7579</v>
      </c>
      <c r="E2218" s="6" t="s">
        <v>8220</v>
      </c>
      <c r="F2218" s="6" t="s">
        <v>8221</v>
      </c>
      <c r="G2218" s="9" t="s">
        <v>8222</v>
      </c>
      <c r="H2218" s="9" t="s">
        <v>18</v>
      </c>
      <c r="I2218" s="16" t="str">
        <f>VLOOKUP(F2218,[1]完整分类结果!$E:$G,3,0)</f>
        <v>普通机械制造业</v>
      </c>
      <c r="J2218" s="16">
        <f>VLOOKUP(I2218,[2]行业排放因子!$A:$B,2,0)</f>
        <v>9.6615781889079599</v>
      </c>
      <c r="K2218" s="9" t="s">
        <v>756</v>
      </c>
    </row>
    <row r="2219" spans="1:11" ht="12.5" customHeight="1" x14ac:dyDescent="0.25">
      <c r="A2219" s="5" t="s">
        <v>8223</v>
      </c>
      <c r="B2219" s="6" t="s">
        <v>7578</v>
      </c>
      <c r="C2219" s="6" t="s">
        <v>7579</v>
      </c>
      <c r="D2219" s="6" t="s">
        <v>7579</v>
      </c>
      <c r="E2219" s="6" t="s">
        <v>8224</v>
      </c>
      <c r="F2219" s="6" t="s">
        <v>8225</v>
      </c>
      <c r="G2219" s="9"/>
      <c r="H2219" s="9" t="s">
        <v>18</v>
      </c>
      <c r="I2219" s="16" t="str">
        <f>VLOOKUP(F2219,[1]完整分类结果!$E:$G,3,0)</f>
        <v>普通机械制造业</v>
      </c>
      <c r="J2219" s="16">
        <f>VLOOKUP(I2219,[2]行业排放因子!$A:$B,2,0)</f>
        <v>9.6615781889079599</v>
      </c>
      <c r="K2219" s="9" t="s">
        <v>756</v>
      </c>
    </row>
    <row r="2220" spans="1:11" ht="12.5" customHeight="1" x14ac:dyDescent="0.25">
      <c r="A2220" s="5" t="s">
        <v>8226</v>
      </c>
      <c r="B2220" s="6" t="s">
        <v>7578</v>
      </c>
      <c r="C2220" s="6" t="s">
        <v>7579</v>
      </c>
      <c r="D2220" s="6" t="s">
        <v>7579</v>
      </c>
      <c r="E2220" s="6" t="s">
        <v>8227</v>
      </c>
      <c r="F2220" s="6" t="s">
        <v>8228</v>
      </c>
      <c r="G2220" s="9" t="s">
        <v>8229</v>
      </c>
      <c r="H2220" s="9" t="s">
        <v>18</v>
      </c>
      <c r="I2220" s="16" t="str">
        <f>VLOOKUP(F2220,[1]完整分类结果!$E:$G,3,0)</f>
        <v>普通机械制造业</v>
      </c>
      <c r="J2220" s="16">
        <f>VLOOKUP(I2220,[2]行业排放因子!$A:$B,2,0)</f>
        <v>9.6615781889079599</v>
      </c>
      <c r="K2220" s="9" t="s">
        <v>756</v>
      </c>
    </row>
    <row r="2221" spans="1:11" ht="12.5" customHeight="1" x14ac:dyDescent="0.25">
      <c r="A2221" s="5" t="s">
        <v>8230</v>
      </c>
      <c r="B2221" s="6" t="s">
        <v>7578</v>
      </c>
      <c r="C2221" s="6" t="s">
        <v>7579</v>
      </c>
      <c r="D2221" s="6" t="s">
        <v>7579</v>
      </c>
      <c r="E2221" s="6" t="s">
        <v>8231</v>
      </c>
      <c r="F2221" s="6" t="s">
        <v>8232</v>
      </c>
      <c r="G2221" s="9" t="s">
        <v>8233</v>
      </c>
      <c r="H2221" s="9" t="s">
        <v>18</v>
      </c>
      <c r="I2221" s="16" t="str">
        <f>VLOOKUP(F2221,[1]完整分类结果!$E:$G,3,0)</f>
        <v>普通机械制造业</v>
      </c>
      <c r="J2221" s="16">
        <f>VLOOKUP(I2221,[2]行业排放因子!$A:$B,2,0)</f>
        <v>9.6615781889079599</v>
      </c>
      <c r="K2221" s="9" t="s">
        <v>756</v>
      </c>
    </row>
    <row r="2222" spans="1:11" ht="12.5" customHeight="1" x14ac:dyDescent="0.25">
      <c r="A2222" s="5" t="s">
        <v>8234</v>
      </c>
      <c r="B2222" s="6" t="s">
        <v>7578</v>
      </c>
      <c r="C2222" s="6" t="s">
        <v>7579</v>
      </c>
      <c r="D2222" s="6" t="s">
        <v>7579</v>
      </c>
      <c r="E2222" s="6" t="s">
        <v>8235</v>
      </c>
      <c r="F2222" s="6" t="s">
        <v>8236</v>
      </c>
      <c r="G2222" s="9" t="s">
        <v>8237</v>
      </c>
      <c r="H2222" s="9" t="s">
        <v>18</v>
      </c>
      <c r="I2222" s="16" t="str">
        <f>VLOOKUP(F2222,[1]完整分类结果!$E:$G,3,0)</f>
        <v>普通机械制造业</v>
      </c>
      <c r="J2222" s="16">
        <f>VLOOKUP(I2222,[2]行业排放因子!$A:$B,2,0)</f>
        <v>9.6615781889079599</v>
      </c>
      <c r="K2222" s="9" t="s">
        <v>756</v>
      </c>
    </row>
    <row r="2223" spans="1:11" ht="12.5" customHeight="1" x14ac:dyDescent="0.25">
      <c r="A2223" s="5" t="s">
        <v>8238</v>
      </c>
      <c r="B2223" s="6" t="s">
        <v>7578</v>
      </c>
      <c r="C2223" s="6" t="s">
        <v>7579</v>
      </c>
      <c r="D2223" s="6" t="s">
        <v>7579</v>
      </c>
      <c r="E2223" s="6" t="s">
        <v>8239</v>
      </c>
      <c r="F2223" s="6" t="s">
        <v>8240</v>
      </c>
      <c r="G2223" s="9" t="s">
        <v>8241</v>
      </c>
      <c r="H2223" s="9" t="s">
        <v>18</v>
      </c>
      <c r="I2223" s="16" t="str">
        <f>VLOOKUP(F2223,[1]完整分类结果!$E:$G,3,0)</f>
        <v>普通机械制造业</v>
      </c>
      <c r="J2223" s="16">
        <f>VLOOKUP(I2223,[2]行业排放因子!$A:$B,2,0)</f>
        <v>9.6615781889079599</v>
      </c>
      <c r="K2223" s="9" t="s">
        <v>756</v>
      </c>
    </row>
    <row r="2224" spans="1:11" ht="12.5" customHeight="1" x14ac:dyDescent="0.25">
      <c r="A2224" s="5" t="s">
        <v>8242</v>
      </c>
      <c r="B2224" s="6" t="s">
        <v>7578</v>
      </c>
      <c r="C2224" s="6" t="s">
        <v>7579</v>
      </c>
      <c r="D2224" s="6" t="s">
        <v>7579</v>
      </c>
      <c r="E2224" s="6" t="s">
        <v>8243</v>
      </c>
      <c r="F2224" s="6" t="s">
        <v>8244</v>
      </c>
      <c r="G2224" s="9" t="s">
        <v>8245</v>
      </c>
      <c r="H2224" s="9" t="s">
        <v>18</v>
      </c>
      <c r="I2224" s="16" t="str">
        <f>VLOOKUP(F2224,[1]完整分类结果!$E:$G,3,0)</f>
        <v>普通机械制造业</v>
      </c>
      <c r="J2224" s="16">
        <f>VLOOKUP(I2224,[2]行业排放因子!$A:$B,2,0)</f>
        <v>9.6615781889079599</v>
      </c>
      <c r="K2224" s="9" t="s">
        <v>756</v>
      </c>
    </row>
    <row r="2225" spans="1:11" ht="12.5" customHeight="1" x14ac:dyDescent="0.25">
      <c r="A2225" s="5" t="s">
        <v>8246</v>
      </c>
      <c r="B2225" s="6" t="s">
        <v>7578</v>
      </c>
      <c r="C2225" s="6" t="s">
        <v>7579</v>
      </c>
      <c r="D2225" s="6" t="s">
        <v>8247</v>
      </c>
      <c r="E2225" s="6" t="s">
        <v>8248</v>
      </c>
      <c r="F2225" s="6" t="s">
        <v>8249</v>
      </c>
      <c r="G2225" s="9" t="s">
        <v>8250</v>
      </c>
      <c r="H2225" s="9" t="s">
        <v>18</v>
      </c>
      <c r="I2225" s="16" t="str">
        <f>VLOOKUP(F2225,[1]完整分类结果!$E:$G,3,0)</f>
        <v>普通机械制造业</v>
      </c>
      <c r="J2225" s="16">
        <f>VLOOKUP(I2225,[2]行业排放因子!$A:$B,2,0)</f>
        <v>9.6615781889079599</v>
      </c>
      <c r="K2225" s="9" t="s">
        <v>756</v>
      </c>
    </row>
    <row r="2226" spans="1:11" ht="12.5" customHeight="1" x14ac:dyDescent="0.25">
      <c r="A2226" s="5" t="s">
        <v>8251</v>
      </c>
      <c r="B2226" s="6" t="s">
        <v>7578</v>
      </c>
      <c r="C2226" s="6" t="s">
        <v>7579</v>
      </c>
      <c r="D2226" s="6" t="s">
        <v>8247</v>
      </c>
      <c r="E2226" s="6" t="s">
        <v>8252</v>
      </c>
      <c r="F2226" s="6" t="s">
        <v>8253</v>
      </c>
      <c r="G2226" s="9" t="s">
        <v>8254</v>
      </c>
      <c r="H2226" s="9" t="s">
        <v>18</v>
      </c>
      <c r="I2226" s="16" t="str">
        <f>VLOOKUP(F2226,[1]完整分类结果!$E:$G,3,0)</f>
        <v>普通机械制造业</v>
      </c>
      <c r="J2226" s="16">
        <f>VLOOKUP(I2226,[2]行业排放因子!$A:$B,2,0)</f>
        <v>9.6615781889079599</v>
      </c>
      <c r="K2226" s="9" t="s">
        <v>756</v>
      </c>
    </row>
    <row r="2227" spans="1:11" ht="12.5" customHeight="1" x14ac:dyDescent="0.25">
      <c r="A2227" s="5" t="s">
        <v>8255</v>
      </c>
      <c r="B2227" s="6" t="s">
        <v>7578</v>
      </c>
      <c r="C2227" s="6" t="s">
        <v>7579</v>
      </c>
      <c r="D2227" s="6" t="s">
        <v>8247</v>
      </c>
      <c r="E2227" s="6" t="s">
        <v>8256</v>
      </c>
      <c r="F2227" s="6" t="s">
        <v>8257</v>
      </c>
      <c r="G2227" s="9" t="s">
        <v>8258</v>
      </c>
      <c r="H2227" s="9" t="s">
        <v>18</v>
      </c>
      <c r="I2227" s="16" t="str">
        <f>VLOOKUP(F2227,[1]完整分类结果!$E:$G,3,0)</f>
        <v>普通机械制造业</v>
      </c>
      <c r="J2227" s="16">
        <f>VLOOKUP(I2227,[2]行业排放因子!$A:$B,2,0)</f>
        <v>9.6615781889079599</v>
      </c>
      <c r="K2227" s="9" t="s">
        <v>3898</v>
      </c>
    </row>
    <row r="2228" spans="1:11" ht="12.5" customHeight="1" x14ac:dyDescent="0.25">
      <c r="A2228" s="5" t="s">
        <v>8259</v>
      </c>
      <c r="B2228" s="6" t="s">
        <v>7578</v>
      </c>
      <c r="C2228" s="6" t="s">
        <v>7579</v>
      </c>
      <c r="D2228" s="6" t="s">
        <v>8247</v>
      </c>
      <c r="E2228" s="6" t="s">
        <v>8260</v>
      </c>
      <c r="F2228" s="6" t="s">
        <v>8261</v>
      </c>
      <c r="G2228" s="9" t="s">
        <v>8262</v>
      </c>
      <c r="H2228" s="9" t="s">
        <v>18</v>
      </c>
      <c r="I2228" s="16" t="str">
        <f>VLOOKUP(F2228,[1]完整分类结果!$E:$G,3,0)</f>
        <v>普通机械制造业</v>
      </c>
      <c r="J2228" s="16">
        <f>VLOOKUP(I2228,[2]行业排放因子!$A:$B,2,0)</f>
        <v>9.6615781889079599</v>
      </c>
      <c r="K2228" s="9" t="s">
        <v>3898</v>
      </c>
    </row>
    <row r="2229" spans="1:11" ht="12.5" customHeight="1" x14ac:dyDescent="0.25">
      <c r="A2229" s="5" t="s">
        <v>8263</v>
      </c>
      <c r="B2229" s="6" t="s">
        <v>7578</v>
      </c>
      <c r="C2229" s="6" t="s">
        <v>7579</v>
      </c>
      <c r="D2229" s="6" t="s">
        <v>8247</v>
      </c>
      <c r="E2229" s="6" t="s">
        <v>8264</v>
      </c>
      <c r="F2229" s="6" t="s">
        <v>8265</v>
      </c>
      <c r="G2229" s="9" t="s">
        <v>8266</v>
      </c>
      <c r="H2229" s="9" t="s">
        <v>18</v>
      </c>
      <c r="I2229" s="16" t="str">
        <f>VLOOKUP(F2229,[1]完整分类结果!$E:$G,3,0)</f>
        <v>普通机械制造业</v>
      </c>
      <c r="J2229" s="16">
        <f>VLOOKUP(I2229,[2]行业排放因子!$A:$B,2,0)</f>
        <v>9.6615781889079599</v>
      </c>
      <c r="K2229" s="9" t="s">
        <v>3898</v>
      </c>
    </row>
    <row r="2230" spans="1:11" ht="12.5" customHeight="1" x14ac:dyDescent="0.25">
      <c r="A2230" s="5" t="s">
        <v>8267</v>
      </c>
      <c r="B2230" s="6" t="s">
        <v>7578</v>
      </c>
      <c r="C2230" s="6" t="s">
        <v>7579</v>
      </c>
      <c r="D2230" s="6" t="s">
        <v>8268</v>
      </c>
      <c r="E2230" s="6" t="s">
        <v>8269</v>
      </c>
      <c r="F2230" s="6" t="s">
        <v>8270</v>
      </c>
      <c r="G2230" s="9" t="s">
        <v>8271</v>
      </c>
      <c r="H2230" s="9" t="s">
        <v>18</v>
      </c>
      <c r="I2230" s="16" t="str">
        <f>VLOOKUP(F2230,[1]完整分类结果!$E:$G,3,0)</f>
        <v>普通机械制造业</v>
      </c>
      <c r="J2230" s="16">
        <f>VLOOKUP(I2230,[2]行业排放因子!$A:$B,2,0)</f>
        <v>9.6615781889079599</v>
      </c>
      <c r="K2230" s="9" t="s">
        <v>756</v>
      </c>
    </row>
    <row r="2231" spans="1:11" ht="12.5" customHeight="1" x14ac:dyDescent="0.25">
      <c r="A2231" s="5" t="s">
        <v>8272</v>
      </c>
      <c r="B2231" s="6" t="s">
        <v>7578</v>
      </c>
      <c r="C2231" s="6" t="s">
        <v>7579</v>
      </c>
      <c r="D2231" s="6" t="s">
        <v>8268</v>
      </c>
      <c r="E2231" s="6" t="s">
        <v>8273</v>
      </c>
      <c r="F2231" s="6" t="s">
        <v>8274</v>
      </c>
      <c r="G2231" s="9" t="s">
        <v>8275</v>
      </c>
      <c r="H2231" s="9" t="s">
        <v>18</v>
      </c>
      <c r="I2231" s="16" t="str">
        <f>VLOOKUP(F2231,[1]完整分类结果!$E:$G,3,0)</f>
        <v>普通机械制造业</v>
      </c>
      <c r="J2231" s="16">
        <f>VLOOKUP(I2231,[2]行业排放因子!$A:$B,2,0)</f>
        <v>9.6615781889079599</v>
      </c>
      <c r="K2231" s="9" t="s">
        <v>756</v>
      </c>
    </row>
    <row r="2232" spans="1:11" ht="12.5" customHeight="1" x14ac:dyDescent="0.25">
      <c r="A2232" s="5" t="s">
        <v>8276</v>
      </c>
      <c r="B2232" s="6" t="s">
        <v>7578</v>
      </c>
      <c r="C2232" s="6" t="s">
        <v>7579</v>
      </c>
      <c r="D2232" s="6" t="s">
        <v>8268</v>
      </c>
      <c r="E2232" s="6" t="s">
        <v>8277</v>
      </c>
      <c r="F2232" s="6" t="s">
        <v>8278</v>
      </c>
      <c r="G2232" s="9" t="s">
        <v>8279</v>
      </c>
      <c r="H2232" s="9" t="s">
        <v>18</v>
      </c>
      <c r="I2232" s="16" t="str">
        <f>VLOOKUP(F2232,[1]完整分类结果!$E:$G,3,0)</f>
        <v>普通机械制造业</v>
      </c>
      <c r="J2232" s="16">
        <f>VLOOKUP(I2232,[2]行业排放因子!$A:$B,2,0)</f>
        <v>9.6615781889079599</v>
      </c>
      <c r="K2232" s="9" t="s">
        <v>756</v>
      </c>
    </row>
    <row r="2233" spans="1:11" ht="12.5" customHeight="1" x14ac:dyDescent="0.25">
      <c r="A2233" s="5" t="s">
        <v>8280</v>
      </c>
      <c r="B2233" s="6" t="s">
        <v>7578</v>
      </c>
      <c r="C2233" s="6" t="s">
        <v>7579</v>
      </c>
      <c r="D2233" s="6" t="s">
        <v>8281</v>
      </c>
      <c r="E2233" s="6" t="s">
        <v>8282</v>
      </c>
      <c r="F2233" s="6" t="s">
        <v>8281</v>
      </c>
      <c r="G2233" s="9" t="s">
        <v>8283</v>
      </c>
      <c r="H2233" s="9" t="s">
        <v>18</v>
      </c>
      <c r="I2233" s="16" t="str">
        <f>VLOOKUP(F2233,[1]完整分类结果!$E:$G,3,0)</f>
        <v>普通机械制造业</v>
      </c>
      <c r="J2233" s="16">
        <f>VLOOKUP(I2233,[2]行业排放因子!$A:$B,2,0)</f>
        <v>9.6615781889079599</v>
      </c>
      <c r="K2233" s="9" t="s">
        <v>756</v>
      </c>
    </row>
    <row r="2234" spans="1:11" ht="12.5" customHeight="1" x14ac:dyDescent="0.25">
      <c r="A2234" s="5" t="s">
        <v>8284</v>
      </c>
      <c r="B2234" s="6" t="s">
        <v>7578</v>
      </c>
      <c r="C2234" s="6" t="s">
        <v>7579</v>
      </c>
      <c r="D2234" s="6" t="s">
        <v>8281</v>
      </c>
      <c r="E2234" s="6" t="s">
        <v>8285</v>
      </c>
      <c r="F2234" s="6" t="s">
        <v>8286</v>
      </c>
      <c r="G2234" s="9" t="s">
        <v>8287</v>
      </c>
      <c r="H2234" s="9" t="s">
        <v>18</v>
      </c>
      <c r="I2234" s="16" t="str">
        <f>VLOOKUP(F2234,[1]完整分类结果!$E:$G,3,0)</f>
        <v>普通机械制造业</v>
      </c>
      <c r="J2234" s="16">
        <f>VLOOKUP(I2234,[2]行业排放因子!$A:$B,2,0)</f>
        <v>9.6615781889079599</v>
      </c>
      <c r="K2234" s="9" t="s">
        <v>756</v>
      </c>
    </row>
    <row r="2235" spans="1:11" ht="12.5" customHeight="1" x14ac:dyDescent="0.25">
      <c r="A2235" s="5" t="s">
        <v>8288</v>
      </c>
      <c r="B2235" s="6" t="s">
        <v>7578</v>
      </c>
      <c r="C2235" s="6" t="s">
        <v>7579</v>
      </c>
      <c r="D2235" s="6" t="s">
        <v>8281</v>
      </c>
      <c r="E2235" s="6" t="s">
        <v>8289</v>
      </c>
      <c r="F2235" s="6" t="s">
        <v>8290</v>
      </c>
      <c r="G2235" s="9" t="s">
        <v>8291</v>
      </c>
      <c r="H2235" s="9" t="s">
        <v>18</v>
      </c>
      <c r="I2235" s="16" t="str">
        <f>VLOOKUP(F2235,[1]完整分类结果!$E:$G,3,0)</f>
        <v>普通机械制造业</v>
      </c>
      <c r="J2235" s="16">
        <f>VLOOKUP(I2235,[2]行业排放因子!$A:$B,2,0)</f>
        <v>9.6615781889079599</v>
      </c>
      <c r="K2235" s="9" t="s">
        <v>756</v>
      </c>
    </row>
    <row r="2236" spans="1:11" ht="12.5" customHeight="1" x14ac:dyDescent="0.25">
      <c r="A2236" s="5" t="s">
        <v>8292</v>
      </c>
      <c r="B2236" s="6" t="s">
        <v>7578</v>
      </c>
      <c r="C2236" s="6" t="s">
        <v>7579</v>
      </c>
      <c r="D2236" s="6" t="s">
        <v>8281</v>
      </c>
      <c r="E2236" s="6" t="s">
        <v>8293</v>
      </c>
      <c r="F2236" s="6" t="s">
        <v>8294</v>
      </c>
      <c r="G2236" s="9" t="s">
        <v>8295</v>
      </c>
      <c r="H2236" s="9" t="s">
        <v>18</v>
      </c>
      <c r="I2236" s="16" t="str">
        <f>VLOOKUP(F2236,[1]完整分类结果!$E:$G,3,0)</f>
        <v>普通机械制造业</v>
      </c>
      <c r="J2236" s="16">
        <f>VLOOKUP(I2236,[2]行业排放因子!$A:$B,2,0)</f>
        <v>9.6615781889079599</v>
      </c>
      <c r="K2236" s="9" t="s">
        <v>756</v>
      </c>
    </row>
    <row r="2237" spans="1:11" ht="12.5" customHeight="1" x14ac:dyDescent="0.25">
      <c r="A2237" s="5" t="s">
        <v>8296</v>
      </c>
      <c r="B2237" s="6" t="s">
        <v>7578</v>
      </c>
      <c r="C2237" s="6" t="s">
        <v>7579</v>
      </c>
      <c r="D2237" s="6" t="s">
        <v>8281</v>
      </c>
      <c r="E2237" s="6" t="s">
        <v>8297</v>
      </c>
      <c r="F2237" s="6" t="s">
        <v>8298</v>
      </c>
      <c r="G2237" s="9" t="s">
        <v>8299</v>
      </c>
      <c r="H2237" s="9" t="s">
        <v>18</v>
      </c>
      <c r="I2237" s="16" t="str">
        <f>VLOOKUP(F2237,[1]完整分类结果!$E:$G,3,0)</f>
        <v>普通机械制造业</v>
      </c>
      <c r="J2237" s="16">
        <f>VLOOKUP(I2237,[2]行业排放因子!$A:$B,2,0)</f>
        <v>9.6615781889079599</v>
      </c>
      <c r="K2237" s="9" t="s">
        <v>756</v>
      </c>
    </row>
    <row r="2238" spans="1:11" ht="12.5" customHeight="1" x14ac:dyDescent="0.25">
      <c r="A2238" s="5" t="s">
        <v>8300</v>
      </c>
      <c r="B2238" s="6" t="s">
        <v>7578</v>
      </c>
      <c r="C2238" s="6" t="s">
        <v>7579</v>
      </c>
      <c r="D2238" s="6" t="s">
        <v>8301</v>
      </c>
      <c r="E2238" s="6" t="s">
        <v>8302</v>
      </c>
      <c r="F2238" s="6" t="s">
        <v>8303</v>
      </c>
      <c r="G2238" s="9" t="s">
        <v>8304</v>
      </c>
      <c r="H2238" s="9" t="s">
        <v>18</v>
      </c>
      <c r="I2238" s="16" t="str">
        <f>VLOOKUP(F2238,[1]完整分类结果!$E:$G,3,0)</f>
        <v>普通机械制造业</v>
      </c>
      <c r="J2238" s="16">
        <f>VLOOKUP(I2238,[2]行业排放因子!$A:$B,2,0)</f>
        <v>9.6615781889079599</v>
      </c>
      <c r="K2238" s="9" t="s">
        <v>756</v>
      </c>
    </row>
    <row r="2239" spans="1:11" ht="12.5" customHeight="1" x14ac:dyDescent="0.25">
      <c r="A2239" s="5" t="s">
        <v>8305</v>
      </c>
      <c r="B2239" s="6" t="s">
        <v>7578</v>
      </c>
      <c r="C2239" s="6" t="s">
        <v>7579</v>
      </c>
      <c r="D2239" s="6" t="s">
        <v>8301</v>
      </c>
      <c r="E2239" s="6" t="s">
        <v>8306</v>
      </c>
      <c r="F2239" s="6" t="s">
        <v>8307</v>
      </c>
      <c r="G2239" s="9" t="s">
        <v>8308</v>
      </c>
      <c r="H2239" s="9" t="s">
        <v>18</v>
      </c>
      <c r="I2239" s="16" t="str">
        <f>VLOOKUP(F2239,[1]完整分类结果!$E:$G,3,0)</f>
        <v>普通机械制造业</v>
      </c>
      <c r="J2239" s="16">
        <f>VLOOKUP(I2239,[2]行业排放因子!$A:$B,2,0)</f>
        <v>9.6615781889079599</v>
      </c>
      <c r="K2239" s="9" t="s">
        <v>756</v>
      </c>
    </row>
    <row r="2240" spans="1:11" ht="12.5" customHeight="1" x14ac:dyDescent="0.25">
      <c r="A2240" s="5" t="s">
        <v>8309</v>
      </c>
      <c r="B2240" s="6" t="s">
        <v>7578</v>
      </c>
      <c r="C2240" s="6" t="s">
        <v>7579</v>
      </c>
      <c r="D2240" s="6" t="s">
        <v>8301</v>
      </c>
      <c r="E2240" s="6" t="s">
        <v>8310</v>
      </c>
      <c r="F2240" s="6" t="s">
        <v>8311</v>
      </c>
      <c r="G2240" s="9" t="s">
        <v>8312</v>
      </c>
      <c r="H2240" s="9" t="s">
        <v>18</v>
      </c>
      <c r="I2240" s="16" t="str">
        <f>VLOOKUP(F2240,[1]完整分类结果!$E:$G,3,0)</f>
        <v>普通机械制造业</v>
      </c>
      <c r="J2240" s="16">
        <f>VLOOKUP(I2240,[2]行业排放因子!$A:$B,2,0)</f>
        <v>9.6615781889079599</v>
      </c>
      <c r="K2240" s="9" t="s">
        <v>756</v>
      </c>
    </row>
    <row r="2241" spans="1:11" ht="12.5" customHeight="1" x14ac:dyDescent="0.25">
      <c r="A2241" s="5" t="s">
        <v>8313</v>
      </c>
      <c r="B2241" s="6" t="s">
        <v>7578</v>
      </c>
      <c r="C2241" s="6" t="s">
        <v>7579</v>
      </c>
      <c r="D2241" s="6" t="s">
        <v>8301</v>
      </c>
      <c r="E2241" s="6" t="s">
        <v>8314</v>
      </c>
      <c r="F2241" s="6" t="s">
        <v>8315</v>
      </c>
      <c r="G2241" s="9" t="s">
        <v>8316</v>
      </c>
      <c r="H2241" s="9" t="s">
        <v>18</v>
      </c>
      <c r="I2241" s="16" t="str">
        <f>VLOOKUP(F2241,[1]完整分类结果!$E:$G,3,0)</f>
        <v>普通机械制造业</v>
      </c>
      <c r="J2241" s="16">
        <f>VLOOKUP(I2241,[2]行业排放因子!$A:$B,2,0)</f>
        <v>9.6615781889079599</v>
      </c>
      <c r="K2241" s="9" t="s">
        <v>756</v>
      </c>
    </row>
    <row r="2242" spans="1:11" ht="12.5" customHeight="1" x14ac:dyDescent="0.25">
      <c r="A2242" s="5" t="s">
        <v>8317</v>
      </c>
      <c r="B2242" s="6" t="s">
        <v>7578</v>
      </c>
      <c r="C2242" s="6" t="s">
        <v>7579</v>
      </c>
      <c r="D2242" s="6" t="s">
        <v>8318</v>
      </c>
      <c r="E2242" s="6" t="s">
        <v>8319</v>
      </c>
      <c r="F2242" s="6" t="s">
        <v>8320</v>
      </c>
      <c r="G2242" s="9" t="s">
        <v>8321</v>
      </c>
      <c r="H2242" s="9" t="s">
        <v>18</v>
      </c>
      <c r="I2242" s="16" t="str">
        <f>VLOOKUP(F2242,[1]完整分类结果!$E:$G,3,0)</f>
        <v>普通机械制造业</v>
      </c>
      <c r="J2242" s="16">
        <f>VLOOKUP(I2242,[2]行业排放因子!$A:$B,2,0)</f>
        <v>9.6615781889079599</v>
      </c>
      <c r="K2242" s="9" t="s">
        <v>756</v>
      </c>
    </row>
    <row r="2243" spans="1:11" ht="12.5" customHeight="1" x14ac:dyDescent="0.25">
      <c r="A2243" s="5" t="s">
        <v>8322</v>
      </c>
      <c r="B2243" s="6" t="s">
        <v>7578</v>
      </c>
      <c r="C2243" s="6" t="s">
        <v>7579</v>
      </c>
      <c r="D2243" s="6" t="s">
        <v>8318</v>
      </c>
      <c r="E2243" s="6" t="s">
        <v>8323</v>
      </c>
      <c r="F2243" s="6" t="s">
        <v>8324</v>
      </c>
      <c r="G2243" s="9" t="s">
        <v>8325</v>
      </c>
      <c r="H2243" s="9" t="s">
        <v>18</v>
      </c>
      <c r="I2243" s="16" t="str">
        <f>VLOOKUP(F2243,[1]完整分类结果!$E:$G,3,0)</f>
        <v>普通机械制造业</v>
      </c>
      <c r="J2243" s="16">
        <f>VLOOKUP(I2243,[2]行业排放因子!$A:$B,2,0)</f>
        <v>9.6615781889079599</v>
      </c>
      <c r="K2243" s="9" t="s">
        <v>756</v>
      </c>
    </row>
    <row r="2244" spans="1:11" ht="12.5" customHeight="1" x14ac:dyDescent="0.25">
      <c r="A2244" s="5" t="s">
        <v>8326</v>
      </c>
      <c r="B2244" s="6" t="s">
        <v>7578</v>
      </c>
      <c r="C2244" s="6" t="s">
        <v>7579</v>
      </c>
      <c r="D2244" s="6" t="s">
        <v>8318</v>
      </c>
      <c r="E2244" s="6" t="s">
        <v>8327</v>
      </c>
      <c r="F2244" s="6" t="s">
        <v>8328</v>
      </c>
      <c r="G2244" s="9" t="s">
        <v>8329</v>
      </c>
      <c r="H2244" s="9" t="s">
        <v>18</v>
      </c>
      <c r="I2244" s="16" t="str">
        <f>VLOOKUP(F2244,[1]完整分类结果!$E:$G,3,0)</f>
        <v>普通机械制造业</v>
      </c>
      <c r="J2244" s="16">
        <f>VLOOKUP(I2244,[2]行业排放因子!$A:$B,2,0)</f>
        <v>9.6615781889079599</v>
      </c>
      <c r="K2244" s="9" t="s">
        <v>756</v>
      </c>
    </row>
    <row r="2245" spans="1:11" ht="12.5" customHeight="1" x14ac:dyDescent="0.25">
      <c r="A2245" s="5" t="s">
        <v>8330</v>
      </c>
      <c r="B2245" s="6" t="s">
        <v>7578</v>
      </c>
      <c r="C2245" s="6" t="s">
        <v>7579</v>
      </c>
      <c r="D2245" s="6" t="s">
        <v>8318</v>
      </c>
      <c r="E2245" s="6" t="s">
        <v>8331</v>
      </c>
      <c r="F2245" s="6" t="s">
        <v>8332</v>
      </c>
      <c r="G2245" s="9" t="s">
        <v>8333</v>
      </c>
      <c r="H2245" s="9" t="s">
        <v>18</v>
      </c>
      <c r="I2245" s="16" t="str">
        <f>VLOOKUP(F2245,[1]完整分类结果!$E:$G,3,0)</f>
        <v>普通机械制造业</v>
      </c>
      <c r="J2245" s="16">
        <f>VLOOKUP(I2245,[2]行业排放因子!$A:$B,2,0)</f>
        <v>9.6615781889079599</v>
      </c>
      <c r="K2245" s="9" t="s">
        <v>756</v>
      </c>
    </row>
    <row r="2246" spans="1:11" ht="12.5" customHeight="1" x14ac:dyDescent="0.25">
      <c r="A2246" s="5" t="s">
        <v>8334</v>
      </c>
      <c r="B2246" s="6" t="s">
        <v>7578</v>
      </c>
      <c r="C2246" s="6" t="s">
        <v>7579</v>
      </c>
      <c r="D2246" s="6" t="s">
        <v>8318</v>
      </c>
      <c r="E2246" s="6" t="s">
        <v>8335</v>
      </c>
      <c r="F2246" s="6" t="s">
        <v>8336</v>
      </c>
      <c r="G2246" s="9" t="s">
        <v>8337</v>
      </c>
      <c r="H2246" s="9" t="s">
        <v>18</v>
      </c>
      <c r="I2246" s="16" t="str">
        <f>VLOOKUP(F2246,[1]完整分类结果!$E:$G,3,0)</f>
        <v>普通机械制造业</v>
      </c>
      <c r="J2246" s="16">
        <f>VLOOKUP(I2246,[2]行业排放因子!$A:$B,2,0)</f>
        <v>9.6615781889079599</v>
      </c>
      <c r="K2246" s="9" t="s">
        <v>756</v>
      </c>
    </row>
    <row r="2247" spans="1:11" ht="12.5" customHeight="1" x14ac:dyDescent="0.25">
      <c r="A2247" s="5" t="s">
        <v>8338</v>
      </c>
      <c r="B2247" s="6" t="s">
        <v>7578</v>
      </c>
      <c r="C2247" s="6" t="s">
        <v>7579</v>
      </c>
      <c r="D2247" s="6" t="s">
        <v>8318</v>
      </c>
      <c r="E2247" s="6" t="s">
        <v>8339</v>
      </c>
      <c r="F2247" s="6" t="s">
        <v>8340</v>
      </c>
      <c r="G2247" s="9"/>
      <c r="H2247" s="9" t="s">
        <v>18</v>
      </c>
      <c r="I2247" s="16" t="str">
        <f>VLOOKUP(F2247,[1]完整分类结果!$E:$G,3,0)</f>
        <v>普通机械制造业</v>
      </c>
      <c r="J2247" s="16">
        <f>VLOOKUP(I2247,[2]行业排放因子!$A:$B,2,0)</f>
        <v>9.6615781889079599</v>
      </c>
      <c r="K2247" s="9" t="s">
        <v>756</v>
      </c>
    </row>
    <row r="2248" spans="1:11" ht="12.5" customHeight="1" x14ac:dyDescent="0.25">
      <c r="A2248" s="5" t="s">
        <v>8341</v>
      </c>
      <c r="B2248" s="6" t="s">
        <v>7578</v>
      </c>
      <c r="C2248" s="6" t="s">
        <v>7579</v>
      </c>
      <c r="D2248" s="6" t="s">
        <v>8342</v>
      </c>
      <c r="E2248" s="6" t="s">
        <v>8343</v>
      </c>
      <c r="F2248" s="6" t="s">
        <v>8344</v>
      </c>
      <c r="G2248" s="9" t="s">
        <v>8345</v>
      </c>
      <c r="H2248" s="9" t="s">
        <v>18</v>
      </c>
      <c r="I2248" s="16" t="str">
        <f>VLOOKUP(F2248,[1]完整分类结果!$E:$G,3,0)</f>
        <v>普通机械制造业</v>
      </c>
      <c r="J2248" s="16">
        <f>VLOOKUP(I2248,[2]行业排放因子!$A:$B,2,0)</f>
        <v>9.6615781889079599</v>
      </c>
      <c r="K2248" s="9" t="s">
        <v>756</v>
      </c>
    </row>
    <row r="2249" spans="1:11" ht="12.5" customHeight="1" x14ac:dyDescent="0.25">
      <c r="A2249" s="5" t="s">
        <v>8346</v>
      </c>
      <c r="B2249" s="6" t="s">
        <v>7578</v>
      </c>
      <c r="C2249" s="6" t="s">
        <v>7579</v>
      </c>
      <c r="D2249" s="6" t="s">
        <v>8342</v>
      </c>
      <c r="E2249" s="6" t="s">
        <v>8347</v>
      </c>
      <c r="F2249" s="6" t="s">
        <v>8348</v>
      </c>
      <c r="G2249" s="9" t="s">
        <v>8349</v>
      </c>
      <c r="H2249" s="9" t="s">
        <v>18</v>
      </c>
      <c r="I2249" s="16" t="str">
        <f>VLOOKUP(F2249,[1]完整分类结果!$E:$G,3,0)</f>
        <v>普通机械制造业</v>
      </c>
      <c r="J2249" s="16">
        <f>VLOOKUP(I2249,[2]行业排放因子!$A:$B,2,0)</f>
        <v>9.6615781889079599</v>
      </c>
      <c r="K2249" s="9" t="s">
        <v>756</v>
      </c>
    </row>
    <row r="2250" spans="1:11" ht="12.5" customHeight="1" x14ac:dyDescent="0.25">
      <c r="A2250" s="5" t="s">
        <v>8350</v>
      </c>
      <c r="B2250" s="6" t="s">
        <v>7578</v>
      </c>
      <c r="C2250" s="6" t="s">
        <v>7579</v>
      </c>
      <c r="D2250" s="6" t="s">
        <v>8342</v>
      </c>
      <c r="E2250" s="6" t="s">
        <v>8351</v>
      </c>
      <c r="F2250" s="6" t="s">
        <v>8352</v>
      </c>
      <c r="G2250" s="9" t="s">
        <v>8353</v>
      </c>
      <c r="H2250" s="9" t="s">
        <v>18</v>
      </c>
      <c r="I2250" s="16" t="str">
        <f>VLOOKUP(F2250,[1]完整分类结果!$E:$G,3,0)</f>
        <v>普通机械制造业</v>
      </c>
      <c r="J2250" s="16">
        <f>VLOOKUP(I2250,[2]行业排放因子!$A:$B,2,0)</f>
        <v>9.6615781889079599</v>
      </c>
      <c r="K2250" s="9" t="s">
        <v>756</v>
      </c>
    </row>
    <row r="2251" spans="1:11" ht="12.5" customHeight="1" x14ac:dyDescent="0.25">
      <c r="A2251" s="5" t="s">
        <v>8354</v>
      </c>
      <c r="B2251" s="6" t="s">
        <v>7578</v>
      </c>
      <c r="C2251" s="6" t="s">
        <v>7579</v>
      </c>
      <c r="D2251" s="6" t="s">
        <v>8342</v>
      </c>
      <c r="E2251" s="6" t="s">
        <v>8355</v>
      </c>
      <c r="F2251" s="6" t="s">
        <v>8356</v>
      </c>
      <c r="G2251" s="9" t="s">
        <v>8357</v>
      </c>
      <c r="H2251" s="9" t="s">
        <v>18</v>
      </c>
      <c r="I2251" s="16" t="str">
        <f>VLOOKUP(F2251,[1]完整分类结果!$E:$G,3,0)</f>
        <v>普通机械制造业</v>
      </c>
      <c r="J2251" s="16">
        <f>VLOOKUP(I2251,[2]行业排放因子!$A:$B,2,0)</f>
        <v>9.6615781889079599</v>
      </c>
      <c r="K2251" s="9" t="s">
        <v>756</v>
      </c>
    </row>
    <row r="2252" spans="1:11" ht="12.5" customHeight="1" x14ac:dyDescent="0.25">
      <c r="A2252" s="5" t="s">
        <v>8358</v>
      </c>
      <c r="B2252" s="6" t="s">
        <v>7578</v>
      </c>
      <c r="C2252" s="6" t="s">
        <v>7579</v>
      </c>
      <c r="D2252" s="6" t="s">
        <v>8342</v>
      </c>
      <c r="E2252" s="6" t="s">
        <v>8359</v>
      </c>
      <c r="F2252" s="6" t="s">
        <v>8360</v>
      </c>
      <c r="G2252" s="9"/>
      <c r="H2252" s="9" t="s">
        <v>18</v>
      </c>
      <c r="I2252" s="16" t="str">
        <f>VLOOKUP(F2252,[1]完整分类结果!$E:$G,3,0)</f>
        <v>普通机械制造业</v>
      </c>
      <c r="J2252" s="16">
        <f>VLOOKUP(I2252,[2]行业排放因子!$A:$B,2,0)</f>
        <v>9.6615781889079599</v>
      </c>
      <c r="K2252" s="9" t="s">
        <v>756</v>
      </c>
    </row>
    <row r="2253" spans="1:11" ht="12.5" customHeight="1" x14ac:dyDescent="0.25">
      <c r="A2253" s="5" t="s">
        <v>8361</v>
      </c>
      <c r="B2253" s="6" t="s">
        <v>7578</v>
      </c>
      <c r="C2253" s="6" t="s">
        <v>7579</v>
      </c>
      <c r="D2253" s="6" t="s">
        <v>8342</v>
      </c>
      <c r="E2253" s="6" t="s">
        <v>8362</v>
      </c>
      <c r="F2253" s="6" t="s">
        <v>8363</v>
      </c>
      <c r="G2253" s="9"/>
      <c r="H2253" s="9" t="s">
        <v>18</v>
      </c>
      <c r="I2253" s="16" t="str">
        <f>VLOOKUP(F2253,[1]完整分类结果!$E:$G,3,0)</f>
        <v>普通机械制造业</v>
      </c>
      <c r="J2253" s="16">
        <f>VLOOKUP(I2253,[2]行业排放因子!$A:$B,2,0)</f>
        <v>9.6615781889079599</v>
      </c>
      <c r="K2253" s="9" t="s">
        <v>756</v>
      </c>
    </row>
    <row r="2254" spans="1:11" ht="12.5" customHeight="1" x14ac:dyDescent="0.25">
      <c r="A2254" s="5" t="s">
        <v>8364</v>
      </c>
      <c r="B2254" s="6" t="s">
        <v>7578</v>
      </c>
      <c r="C2254" s="6" t="s">
        <v>7579</v>
      </c>
      <c r="D2254" s="6" t="s">
        <v>8342</v>
      </c>
      <c r="E2254" s="6" t="s">
        <v>8365</v>
      </c>
      <c r="F2254" s="6" t="s">
        <v>8366</v>
      </c>
      <c r="G2254" s="9"/>
      <c r="H2254" s="9" t="s">
        <v>18</v>
      </c>
      <c r="I2254" s="16" t="str">
        <f>VLOOKUP(F2254,[1]完整分类结果!$E:$G,3,0)</f>
        <v>普通机械制造业</v>
      </c>
      <c r="J2254" s="16">
        <f>VLOOKUP(I2254,[2]行业排放因子!$A:$B,2,0)</f>
        <v>9.6615781889079599</v>
      </c>
      <c r="K2254" s="9" t="s">
        <v>756</v>
      </c>
    </row>
    <row r="2255" spans="1:11" ht="12.5" customHeight="1" x14ac:dyDescent="0.25">
      <c r="A2255" s="5" t="s">
        <v>8367</v>
      </c>
      <c r="B2255" s="6" t="s">
        <v>7578</v>
      </c>
      <c r="C2255" s="6" t="s">
        <v>7579</v>
      </c>
      <c r="D2255" s="6" t="s">
        <v>8368</v>
      </c>
      <c r="E2255" s="6" t="s">
        <v>8369</v>
      </c>
      <c r="F2255" s="6" t="s">
        <v>8368</v>
      </c>
      <c r="G2255" s="9" t="s">
        <v>8370</v>
      </c>
      <c r="H2255" s="9" t="s">
        <v>18</v>
      </c>
      <c r="I2255" s="16" t="str">
        <f>VLOOKUP(F2255,[1]完整分类结果!$E:$G,3,0)</f>
        <v>普通机械制造业</v>
      </c>
      <c r="J2255" s="16">
        <f>VLOOKUP(I2255,[2]行业排放因子!$A:$B,2,0)</f>
        <v>9.6615781889079599</v>
      </c>
      <c r="K2255" s="9" t="s">
        <v>756</v>
      </c>
    </row>
    <row r="2256" spans="1:11" ht="12.5" customHeight="1" x14ac:dyDescent="0.25">
      <c r="A2256" s="5" t="s">
        <v>8371</v>
      </c>
      <c r="B2256" s="6" t="s">
        <v>7578</v>
      </c>
      <c r="C2256" s="6" t="s">
        <v>7579</v>
      </c>
      <c r="D2256" s="6" t="s">
        <v>8368</v>
      </c>
      <c r="E2256" s="6" t="s">
        <v>8372</v>
      </c>
      <c r="F2256" s="6" t="s">
        <v>8373</v>
      </c>
      <c r="G2256" s="9" t="s">
        <v>8374</v>
      </c>
      <c r="H2256" s="9" t="s">
        <v>18</v>
      </c>
      <c r="I2256" s="16" t="str">
        <f>VLOOKUP(F2256,[1]完整分类结果!$E:$G,3,0)</f>
        <v>普通机械制造业</v>
      </c>
      <c r="J2256" s="16">
        <f>VLOOKUP(I2256,[2]行业排放因子!$A:$B,2,0)</f>
        <v>9.6615781889079599</v>
      </c>
      <c r="K2256" s="9" t="s">
        <v>756</v>
      </c>
    </row>
    <row r="2257" spans="1:11" ht="12.5" customHeight="1" x14ac:dyDescent="0.25">
      <c r="A2257" s="5" t="s">
        <v>8375</v>
      </c>
      <c r="B2257" s="6" t="s">
        <v>7578</v>
      </c>
      <c r="C2257" s="6" t="s">
        <v>7579</v>
      </c>
      <c r="D2257" s="6" t="s">
        <v>8368</v>
      </c>
      <c r="E2257" s="6" t="s">
        <v>8376</v>
      </c>
      <c r="F2257" s="6" t="s">
        <v>8377</v>
      </c>
      <c r="G2257" s="9" t="s">
        <v>8378</v>
      </c>
      <c r="H2257" s="9" t="s">
        <v>18</v>
      </c>
      <c r="I2257" s="16" t="str">
        <f>VLOOKUP(F2257,[1]完整分类结果!$E:$G,3,0)</f>
        <v>普通机械制造业</v>
      </c>
      <c r="J2257" s="16">
        <f>VLOOKUP(I2257,[2]行业排放因子!$A:$B,2,0)</f>
        <v>9.6615781889079599</v>
      </c>
      <c r="K2257" s="9" t="s">
        <v>756</v>
      </c>
    </row>
    <row r="2258" spans="1:11" ht="12.5" customHeight="1" x14ac:dyDescent="0.25">
      <c r="A2258" s="5" t="s">
        <v>8379</v>
      </c>
      <c r="B2258" s="6" t="s">
        <v>7578</v>
      </c>
      <c r="C2258" s="6" t="s">
        <v>7579</v>
      </c>
      <c r="D2258" s="6" t="s">
        <v>7579</v>
      </c>
      <c r="E2258" s="6" t="s">
        <v>8380</v>
      </c>
      <c r="F2258" s="6" t="s">
        <v>8381</v>
      </c>
      <c r="G2258" s="9" t="s">
        <v>8382</v>
      </c>
      <c r="H2258" s="9" t="s">
        <v>18</v>
      </c>
      <c r="I2258" s="16" t="str">
        <f>VLOOKUP(F2258,[1]完整分类结果!$E:$G,3,0)</f>
        <v>普通机械制造业</v>
      </c>
      <c r="J2258" s="16">
        <f>VLOOKUP(I2258,[2]行业排放因子!$A:$B,2,0)</f>
        <v>9.6615781889079599</v>
      </c>
      <c r="K2258" s="9" t="s">
        <v>756</v>
      </c>
    </row>
    <row r="2259" spans="1:11" ht="12.5" customHeight="1" x14ac:dyDescent="0.25">
      <c r="A2259" s="5" t="s">
        <v>8383</v>
      </c>
      <c r="B2259" s="6" t="s">
        <v>7578</v>
      </c>
      <c r="C2259" s="6" t="s">
        <v>8384</v>
      </c>
      <c r="D2259" s="6" t="s">
        <v>8385</v>
      </c>
      <c r="E2259" s="6" t="s">
        <v>8386</v>
      </c>
      <c r="F2259" s="6" t="s">
        <v>8387</v>
      </c>
      <c r="G2259" s="9" t="s">
        <v>8388</v>
      </c>
      <c r="H2259" s="9" t="s">
        <v>18</v>
      </c>
      <c r="I2259" s="16" t="str">
        <f>VLOOKUP(F2259,[1]完整分类结果!$E:$G,3,0)</f>
        <v>普通机械制造业</v>
      </c>
      <c r="J2259" s="16">
        <f>VLOOKUP(I2259,[2]行业排放因子!$A:$B,2,0)</f>
        <v>9.6615781889079599</v>
      </c>
      <c r="K2259" s="9" t="s">
        <v>756</v>
      </c>
    </row>
    <row r="2260" spans="1:11" ht="12.5" customHeight="1" x14ac:dyDescent="0.25">
      <c r="A2260" s="5" t="s">
        <v>8389</v>
      </c>
      <c r="B2260" s="6" t="s">
        <v>7578</v>
      </c>
      <c r="C2260" s="6" t="s">
        <v>8384</v>
      </c>
      <c r="D2260" s="6" t="s">
        <v>8385</v>
      </c>
      <c r="E2260" s="6" t="s">
        <v>8390</v>
      </c>
      <c r="F2260" s="6" t="s">
        <v>8391</v>
      </c>
      <c r="G2260" s="9" t="s">
        <v>8392</v>
      </c>
      <c r="H2260" s="9" t="s">
        <v>18</v>
      </c>
      <c r="I2260" s="16" t="str">
        <f>VLOOKUP(F2260,[1]完整分类结果!$E:$G,3,0)</f>
        <v>普通机械制造业</v>
      </c>
      <c r="J2260" s="16">
        <f>VLOOKUP(I2260,[2]行业排放因子!$A:$B,2,0)</f>
        <v>9.6615781889079599</v>
      </c>
      <c r="K2260" s="9" t="s">
        <v>756</v>
      </c>
    </row>
    <row r="2261" spans="1:11" ht="12.5" customHeight="1" x14ac:dyDescent="0.25">
      <c r="A2261" s="5" t="s">
        <v>8393</v>
      </c>
      <c r="B2261" s="6" t="s">
        <v>7578</v>
      </c>
      <c r="C2261" s="6" t="s">
        <v>8384</v>
      </c>
      <c r="D2261" s="6" t="s">
        <v>8385</v>
      </c>
      <c r="E2261" s="6" t="s">
        <v>8394</v>
      </c>
      <c r="F2261" s="6" t="s">
        <v>8395</v>
      </c>
      <c r="G2261" s="9" t="s">
        <v>8396</v>
      </c>
      <c r="H2261" s="9" t="s">
        <v>18</v>
      </c>
      <c r="I2261" s="16" t="str">
        <f>VLOOKUP(F2261,[1]完整分类结果!$E:$G,3,0)</f>
        <v>普通机械制造业</v>
      </c>
      <c r="J2261" s="16">
        <f>VLOOKUP(I2261,[2]行业排放因子!$A:$B,2,0)</f>
        <v>9.6615781889079599</v>
      </c>
      <c r="K2261" s="9" t="s">
        <v>756</v>
      </c>
    </row>
    <row r="2262" spans="1:11" ht="12.5" customHeight="1" x14ac:dyDescent="0.25">
      <c r="A2262" s="5" t="s">
        <v>8397</v>
      </c>
      <c r="B2262" s="6" t="s">
        <v>7578</v>
      </c>
      <c r="C2262" s="6" t="s">
        <v>8384</v>
      </c>
      <c r="D2262" s="6" t="s">
        <v>8385</v>
      </c>
      <c r="E2262" s="6" t="s">
        <v>8398</v>
      </c>
      <c r="F2262" s="6" t="s">
        <v>8399</v>
      </c>
      <c r="G2262" s="9" t="s">
        <v>8400</v>
      </c>
      <c r="H2262" s="9" t="s">
        <v>18</v>
      </c>
      <c r="I2262" s="16" t="str">
        <f>VLOOKUP(F2262,[1]完整分类结果!$E:$G,3,0)</f>
        <v>普通机械制造业</v>
      </c>
      <c r="J2262" s="16">
        <f>VLOOKUP(I2262,[2]行业排放因子!$A:$B,2,0)</f>
        <v>9.6615781889079599</v>
      </c>
      <c r="K2262" s="9" t="s">
        <v>756</v>
      </c>
    </row>
    <row r="2263" spans="1:11" ht="12.5" customHeight="1" x14ac:dyDescent="0.25">
      <c r="A2263" s="5" t="s">
        <v>8401</v>
      </c>
      <c r="B2263" s="6" t="s">
        <v>7578</v>
      </c>
      <c r="C2263" s="6" t="s">
        <v>8384</v>
      </c>
      <c r="D2263" s="6" t="s">
        <v>8385</v>
      </c>
      <c r="E2263" s="6" t="s">
        <v>8402</v>
      </c>
      <c r="F2263" s="6" t="s">
        <v>8403</v>
      </c>
      <c r="G2263" s="9" t="s">
        <v>8404</v>
      </c>
      <c r="H2263" s="9" t="s">
        <v>18</v>
      </c>
      <c r="I2263" s="16" t="str">
        <f>VLOOKUP(F2263,[1]完整分类结果!$E:$G,3,0)</f>
        <v>普通机械制造业</v>
      </c>
      <c r="J2263" s="16">
        <f>VLOOKUP(I2263,[2]行业排放因子!$A:$B,2,0)</f>
        <v>9.6615781889079599</v>
      </c>
      <c r="K2263" s="9" t="s">
        <v>756</v>
      </c>
    </row>
    <row r="2264" spans="1:11" ht="12.5" customHeight="1" x14ac:dyDescent="0.25">
      <c r="A2264" s="5" t="s">
        <v>8405</v>
      </c>
      <c r="B2264" s="6" t="s">
        <v>7578</v>
      </c>
      <c r="C2264" s="6" t="s">
        <v>8384</v>
      </c>
      <c r="D2264" s="6" t="s">
        <v>8385</v>
      </c>
      <c r="E2264" s="6" t="s">
        <v>8406</v>
      </c>
      <c r="F2264" s="6" t="s">
        <v>8407</v>
      </c>
      <c r="G2264" s="9" t="s">
        <v>8408</v>
      </c>
      <c r="H2264" s="9" t="s">
        <v>18</v>
      </c>
      <c r="I2264" s="16" t="str">
        <f>VLOOKUP(F2264,[1]完整分类结果!$E:$G,3,0)</f>
        <v>普通机械制造业</v>
      </c>
      <c r="J2264" s="16">
        <f>VLOOKUP(I2264,[2]行业排放因子!$A:$B,2,0)</f>
        <v>9.6615781889079599</v>
      </c>
      <c r="K2264" s="9" t="s">
        <v>756</v>
      </c>
    </row>
    <row r="2265" spans="1:11" ht="12.5" customHeight="1" x14ac:dyDescent="0.25">
      <c r="A2265" s="5" t="s">
        <v>8409</v>
      </c>
      <c r="B2265" s="6" t="s">
        <v>7578</v>
      </c>
      <c r="C2265" s="6" t="s">
        <v>8384</v>
      </c>
      <c r="D2265" s="6" t="s">
        <v>8385</v>
      </c>
      <c r="E2265" s="6" t="s">
        <v>8410</v>
      </c>
      <c r="F2265" s="6" t="s">
        <v>8411</v>
      </c>
      <c r="G2265" s="9" t="s">
        <v>8412</v>
      </c>
      <c r="H2265" s="9" t="s">
        <v>18</v>
      </c>
      <c r="I2265" s="16" t="str">
        <f>VLOOKUP(F2265,[1]完整分类结果!$E:$G,3,0)</f>
        <v>普通机械制造业</v>
      </c>
      <c r="J2265" s="16">
        <f>VLOOKUP(I2265,[2]行业排放因子!$A:$B,2,0)</f>
        <v>9.6615781889079599</v>
      </c>
      <c r="K2265" s="9" t="s">
        <v>756</v>
      </c>
    </row>
    <row r="2266" spans="1:11" ht="12.5" customHeight="1" x14ac:dyDescent="0.25">
      <c r="A2266" s="5" t="s">
        <v>8413</v>
      </c>
      <c r="B2266" s="6" t="s">
        <v>7578</v>
      </c>
      <c r="C2266" s="6" t="s">
        <v>8384</v>
      </c>
      <c r="D2266" s="6" t="s">
        <v>8385</v>
      </c>
      <c r="E2266" s="6" t="s">
        <v>8414</v>
      </c>
      <c r="F2266" s="6" t="s">
        <v>8415</v>
      </c>
      <c r="G2266" s="9" t="s">
        <v>8416</v>
      </c>
      <c r="H2266" s="9" t="s">
        <v>18</v>
      </c>
      <c r="I2266" s="16" t="str">
        <f>VLOOKUP(F2266,[1]完整分类结果!$E:$G,3,0)</f>
        <v>普通机械制造业</v>
      </c>
      <c r="J2266" s="16">
        <f>VLOOKUP(I2266,[2]行业排放因子!$A:$B,2,0)</f>
        <v>9.6615781889079599</v>
      </c>
      <c r="K2266" s="9" t="s">
        <v>756</v>
      </c>
    </row>
    <row r="2267" spans="1:11" ht="12.5" customHeight="1" x14ac:dyDescent="0.25">
      <c r="A2267" s="5" t="s">
        <v>8417</v>
      </c>
      <c r="B2267" s="6" t="s">
        <v>7578</v>
      </c>
      <c r="C2267" s="6" t="s">
        <v>8384</v>
      </c>
      <c r="D2267" s="6" t="s">
        <v>8385</v>
      </c>
      <c r="E2267" s="6" t="s">
        <v>8418</v>
      </c>
      <c r="F2267" s="6" t="s">
        <v>8419</v>
      </c>
      <c r="G2267" s="9"/>
      <c r="H2267" s="9" t="s">
        <v>18</v>
      </c>
      <c r="I2267" s="16" t="str">
        <f>VLOOKUP(F2267,[1]完整分类结果!$E:$G,3,0)</f>
        <v>普通机械制造业</v>
      </c>
      <c r="J2267" s="16">
        <f>VLOOKUP(I2267,[2]行业排放因子!$A:$B,2,0)</f>
        <v>9.6615781889079599</v>
      </c>
      <c r="K2267" s="9" t="s">
        <v>756</v>
      </c>
    </row>
    <row r="2268" spans="1:11" ht="12.5" customHeight="1" x14ac:dyDescent="0.25">
      <c r="A2268" s="5" t="s">
        <v>8420</v>
      </c>
      <c r="B2268" s="6" t="s">
        <v>7578</v>
      </c>
      <c r="C2268" s="6" t="s">
        <v>8384</v>
      </c>
      <c r="D2268" s="6" t="s">
        <v>8421</v>
      </c>
      <c r="E2268" s="6" t="s">
        <v>8422</v>
      </c>
      <c r="F2268" s="6" t="s">
        <v>8423</v>
      </c>
      <c r="G2268" s="9" t="s">
        <v>8424</v>
      </c>
      <c r="H2268" s="9" t="s">
        <v>18</v>
      </c>
      <c r="I2268" s="16" t="str">
        <f>VLOOKUP(F2268,[1]完整分类结果!$E:$G,3,0)</f>
        <v>普通机械制造业</v>
      </c>
      <c r="J2268" s="16">
        <f>VLOOKUP(I2268,[2]行业排放因子!$A:$B,2,0)</f>
        <v>9.6615781889079599</v>
      </c>
      <c r="K2268" s="9" t="s">
        <v>756</v>
      </c>
    </row>
    <row r="2269" spans="1:11" ht="12.5" customHeight="1" x14ac:dyDescent="0.25">
      <c r="A2269" s="5" t="s">
        <v>8425</v>
      </c>
      <c r="B2269" s="6" t="s">
        <v>7578</v>
      </c>
      <c r="C2269" s="6" t="s">
        <v>8384</v>
      </c>
      <c r="D2269" s="6" t="s">
        <v>8421</v>
      </c>
      <c r="E2269" s="6" t="s">
        <v>8426</v>
      </c>
      <c r="F2269" s="6" t="s">
        <v>8427</v>
      </c>
      <c r="G2269" s="9" t="s">
        <v>8428</v>
      </c>
      <c r="H2269" s="9" t="s">
        <v>18</v>
      </c>
      <c r="I2269" s="16" t="str">
        <f>VLOOKUP(F2269,[1]完整分类结果!$E:$G,3,0)</f>
        <v>普通机械制造业</v>
      </c>
      <c r="J2269" s="16">
        <f>VLOOKUP(I2269,[2]行业排放因子!$A:$B,2,0)</f>
        <v>9.6615781889079599</v>
      </c>
      <c r="K2269" s="9" t="s">
        <v>756</v>
      </c>
    </row>
    <row r="2270" spans="1:11" ht="12.5" customHeight="1" x14ac:dyDescent="0.25">
      <c r="A2270" s="5" t="s">
        <v>8429</v>
      </c>
      <c r="B2270" s="6" t="s">
        <v>7578</v>
      </c>
      <c r="C2270" s="6" t="s">
        <v>8384</v>
      </c>
      <c r="D2270" s="6" t="s">
        <v>8421</v>
      </c>
      <c r="E2270" s="6" t="s">
        <v>8430</v>
      </c>
      <c r="F2270" s="6" t="s">
        <v>8431</v>
      </c>
      <c r="G2270" s="9" t="s">
        <v>8432</v>
      </c>
      <c r="H2270" s="9" t="s">
        <v>18</v>
      </c>
      <c r="I2270" s="16" t="str">
        <f>VLOOKUP(F2270,[1]完整分类结果!$E:$G,3,0)</f>
        <v>普通机械制造业</v>
      </c>
      <c r="J2270" s="16">
        <f>VLOOKUP(I2270,[2]行业排放因子!$A:$B,2,0)</f>
        <v>9.6615781889079599</v>
      </c>
      <c r="K2270" s="9" t="s">
        <v>756</v>
      </c>
    </row>
    <row r="2271" spans="1:11" ht="12.5" customHeight="1" x14ac:dyDescent="0.25">
      <c r="A2271" s="5" t="s">
        <v>8433</v>
      </c>
      <c r="B2271" s="6" t="s">
        <v>7578</v>
      </c>
      <c r="C2271" s="6" t="s">
        <v>8384</v>
      </c>
      <c r="D2271" s="6" t="s">
        <v>8421</v>
      </c>
      <c r="E2271" s="6" t="s">
        <v>8434</v>
      </c>
      <c r="F2271" s="6" t="s">
        <v>8435</v>
      </c>
      <c r="G2271" s="9" t="s">
        <v>8436</v>
      </c>
      <c r="H2271" s="9" t="s">
        <v>18</v>
      </c>
      <c r="I2271" s="16" t="str">
        <f>VLOOKUP(F2271,[1]完整分类结果!$E:$G,3,0)</f>
        <v>普通机械制造业</v>
      </c>
      <c r="J2271" s="16">
        <f>VLOOKUP(I2271,[2]行业排放因子!$A:$B,2,0)</f>
        <v>9.6615781889079599</v>
      </c>
      <c r="K2271" s="9" t="s">
        <v>756</v>
      </c>
    </row>
    <row r="2272" spans="1:11" ht="12.5" customHeight="1" x14ac:dyDescent="0.25">
      <c r="A2272" s="5" t="s">
        <v>8437</v>
      </c>
      <c r="B2272" s="6" t="s">
        <v>7578</v>
      </c>
      <c r="C2272" s="6" t="s">
        <v>8384</v>
      </c>
      <c r="D2272" s="6" t="s">
        <v>8421</v>
      </c>
      <c r="E2272" s="6" t="s">
        <v>8438</v>
      </c>
      <c r="F2272" s="6" t="s">
        <v>8439</v>
      </c>
      <c r="G2272" s="9" t="s">
        <v>8440</v>
      </c>
      <c r="H2272" s="9" t="s">
        <v>18</v>
      </c>
      <c r="I2272" s="16" t="str">
        <f>VLOOKUP(F2272,[1]完整分类结果!$E:$G,3,0)</f>
        <v>普通机械制造业</v>
      </c>
      <c r="J2272" s="16">
        <f>VLOOKUP(I2272,[2]行业排放因子!$A:$B,2,0)</f>
        <v>9.6615781889079599</v>
      </c>
      <c r="K2272" s="9" t="s">
        <v>756</v>
      </c>
    </row>
    <row r="2273" spans="1:11" ht="12.5" customHeight="1" x14ac:dyDescent="0.25">
      <c r="A2273" s="5" t="s">
        <v>8441</v>
      </c>
      <c r="B2273" s="6" t="s">
        <v>7578</v>
      </c>
      <c r="C2273" s="6" t="s">
        <v>8384</v>
      </c>
      <c r="D2273" s="6" t="s">
        <v>8421</v>
      </c>
      <c r="E2273" s="6" t="s">
        <v>8442</v>
      </c>
      <c r="F2273" s="6" t="s">
        <v>8443</v>
      </c>
      <c r="G2273" s="9" t="s">
        <v>8444</v>
      </c>
      <c r="H2273" s="9" t="s">
        <v>18</v>
      </c>
      <c r="I2273" s="16" t="str">
        <f>VLOOKUP(F2273,[1]完整分类结果!$E:$G,3,0)</f>
        <v>普通机械制造业</v>
      </c>
      <c r="J2273" s="16">
        <f>VLOOKUP(I2273,[2]行业排放因子!$A:$B,2,0)</f>
        <v>9.6615781889079599</v>
      </c>
      <c r="K2273" s="9" t="s">
        <v>756</v>
      </c>
    </row>
    <row r="2274" spans="1:11" ht="12.5" customHeight="1" x14ac:dyDescent="0.25">
      <c r="A2274" s="5" t="s">
        <v>8445</v>
      </c>
      <c r="B2274" s="6" t="s">
        <v>7578</v>
      </c>
      <c r="C2274" s="6" t="s">
        <v>8384</v>
      </c>
      <c r="D2274" s="6" t="s">
        <v>8421</v>
      </c>
      <c r="E2274" s="6" t="s">
        <v>8446</v>
      </c>
      <c r="F2274" s="6" t="s">
        <v>8447</v>
      </c>
      <c r="G2274" s="9" t="s">
        <v>8448</v>
      </c>
      <c r="H2274" s="9" t="s">
        <v>18</v>
      </c>
      <c r="I2274" s="16" t="str">
        <f>VLOOKUP(F2274,[1]完整分类结果!$E:$G,3,0)</f>
        <v>普通机械制造业</v>
      </c>
      <c r="J2274" s="16">
        <f>VLOOKUP(I2274,[2]行业排放因子!$A:$B,2,0)</f>
        <v>9.6615781889079599</v>
      </c>
      <c r="K2274" s="9" t="s">
        <v>756</v>
      </c>
    </row>
    <row r="2275" spans="1:11" ht="12.5" customHeight="1" x14ac:dyDescent="0.25">
      <c r="A2275" s="5" t="s">
        <v>8449</v>
      </c>
      <c r="B2275" s="6" t="s">
        <v>7578</v>
      </c>
      <c r="C2275" s="6" t="s">
        <v>8384</v>
      </c>
      <c r="D2275" s="6" t="s">
        <v>8421</v>
      </c>
      <c r="E2275" s="6" t="s">
        <v>8450</v>
      </c>
      <c r="F2275" s="6" t="s">
        <v>8451</v>
      </c>
      <c r="G2275" s="9" t="s">
        <v>8452</v>
      </c>
      <c r="H2275" s="9" t="s">
        <v>18</v>
      </c>
      <c r="I2275" s="16" t="str">
        <f>VLOOKUP(F2275,[1]完整分类结果!$E:$G,3,0)</f>
        <v>普通机械制造业</v>
      </c>
      <c r="J2275" s="16">
        <f>VLOOKUP(I2275,[2]行业排放因子!$A:$B,2,0)</f>
        <v>9.6615781889079599</v>
      </c>
      <c r="K2275" s="9" t="s">
        <v>756</v>
      </c>
    </row>
    <row r="2276" spans="1:11" ht="12.5" customHeight="1" x14ac:dyDescent="0.25">
      <c r="A2276" s="5" t="s">
        <v>8453</v>
      </c>
      <c r="B2276" s="6" t="s">
        <v>7578</v>
      </c>
      <c r="C2276" s="6" t="s">
        <v>8384</v>
      </c>
      <c r="D2276" s="6" t="s">
        <v>8421</v>
      </c>
      <c r="E2276" s="6" t="s">
        <v>8454</v>
      </c>
      <c r="F2276" s="6" t="s">
        <v>8455</v>
      </c>
      <c r="G2276" s="9" t="s">
        <v>8456</v>
      </c>
      <c r="H2276" s="9" t="s">
        <v>18</v>
      </c>
      <c r="I2276" s="16" t="str">
        <f>VLOOKUP(F2276,[1]完整分类结果!$E:$G,3,0)</f>
        <v>普通机械制造业</v>
      </c>
      <c r="J2276" s="16">
        <f>VLOOKUP(I2276,[2]行业排放因子!$A:$B,2,0)</f>
        <v>9.6615781889079599</v>
      </c>
      <c r="K2276" s="9" t="s">
        <v>756</v>
      </c>
    </row>
    <row r="2277" spans="1:11" ht="12.5" customHeight="1" x14ac:dyDescent="0.25">
      <c r="A2277" s="5" t="s">
        <v>8457</v>
      </c>
      <c r="B2277" s="6" t="s">
        <v>7578</v>
      </c>
      <c r="C2277" s="6" t="s">
        <v>8384</v>
      </c>
      <c r="D2277" s="6" t="s">
        <v>8458</v>
      </c>
      <c r="E2277" s="6" t="s">
        <v>8459</v>
      </c>
      <c r="F2277" s="6" t="s">
        <v>8460</v>
      </c>
      <c r="G2277" s="9" t="s">
        <v>8461</v>
      </c>
      <c r="H2277" s="9" t="s">
        <v>18</v>
      </c>
      <c r="I2277" s="16" t="str">
        <f>VLOOKUP(F2277,[1]完整分类结果!$E:$G,3,0)</f>
        <v>专用设备制造业</v>
      </c>
      <c r="J2277" s="16">
        <f>VLOOKUP(I2277,[2]行业排放因子!$A:$B,2,0)</f>
        <v>2.3522392431260499</v>
      </c>
      <c r="K2277" s="9" t="s">
        <v>756</v>
      </c>
    </row>
    <row r="2278" spans="1:11" ht="12.5" customHeight="1" x14ac:dyDescent="0.25">
      <c r="A2278" s="5" t="s">
        <v>8462</v>
      </c>
      <c r="B2278" s="6" t="s">
        <v>7578</v>
      </c>
      <c r="C2278" s="6" t="s">
        <v>8384</v>
      </c>
      <c r="D2278" s="6" t="s">
        <v>8458</v>
      </c>
      <c r="E2278" s="6" t="s">
        <v>8463</v>
      </c>
      <c r="F2278" s="6" t="s">
        <v>8464</v>
      </c>
      <c r="G2278" s="9" t="s">
        <v>8465</v>
      </c>
      <c r="H2278" s="9" t="s">
        <v>18</v>
      </c>
      <c r="I2278" s="16" t="str">
        <f>VLOOKUP(F2278,[1]完整分类结果!$E:$G,3,0)</f>
        <v>专用设备制造业</v>
      </c>
      <c r="J2278" s="16">
        <f>VLOOKUP(I2278,[2]行业排放因子!$A:$B,2,0)</f>
        <v>2.3522392431260499</v>
      </c>
      <c r="K2278" s="9" t="s">
        <v>756</v>
      </c>
    </row>
    <row r="2279" spans="1:11" ht="12.5" customHeight="1" x14ac:dyDescent="0.25">
      <c r="A2279" s="5" t="s">
        <v>8466</v>
      </c>
      <c r="B2279" s="6" t="s">
        <v>7578</v>
      </c>
      <c r="C2279" s="6" t="s">
        <v>8384</v>
      </c>
      <c r="D2279" s="6" t="s">
        <v>8458</v>
      </c>
      <c r="E2279" s="6" t="s">
        <v>8467</v>
      </c>
      <c r="F2279" s="6" t="s">
        <v>8468</v>
      </c>
      <c r="G2279" s="9" t="s">
        <v>8469</v>
      </c>
      <c r="H2279" s="9" t="s">
        <v>18</v>
      </c>
      <c r="I2279" s="16" t="str">
        <f>VLOOKUP(F2279,[1]完整分类结果!$E:$G,3,0)</f>
        <v>专用设备制造业</v>
      </c>
      <c r="J2279" s="16">
        <f>VLOOKUP(I2279,[2]行业排放因子!$A:$B,2,0)</f>
        <v>2.3522392431260499</v>
      </c>
      <c r="K2279" s="9" t="s">
        <v>756</v>
      </c>
    </row>
    <row r="2280" spans="1:11" ht="12.5" customHeight="1" x14ac:dyDescent="0.25">
      <c r="A2280" s="5" t="s">
        <v>8470</v>
      </c>
      <c r="B2280" s="6" t="s">
        <v>7578</v>
      </c>
      <c r="C2280" s="6" t="s">
        <v>8384</v>
      </c>
      <c r="D2280" s="6" t="s">
        <v>8458</v>
      </c>
      <c r="E2280" s="6" t="s">
        <v>8471</v>
      </c>
      <c r="F2280" s="6" t="s">
        <v>8472</v>
      </c>
      <c r="G2280" s="9" t="s">
        <v>8473</v>
      </c>
      <c r="H2280" s="9" t="s">
        <v>18</v>
      </c>
      <c r="I2280" s="16" t="str">
        <f>VLOOKUP(F2280,[1]完整分类结果!$E:$G,3,0)</f>
        <v>专用设备制造业</v>
      </c>
      <c r="J2280" s="16">
        <f>VLOOKUP(I2280,[2]行业排放因子!$A:$B,2,0)</f>
        <v>2.3522392431260499</v>
      </c>
      <c r="K2280" s="9" t="s">
        <v>756</v>
      </c>
    </row>
    <row r="2281" spans="1:11" ht="12.5" customHeight="1" x14ac:dyDescent="0.25">
      <c r="A2281" s="5" t="s">
        <v>8474</v>
      </c>
      <c r="B2281" s="6" t="s">
        <v>7578</v>
      </c>
      <c r="C2281" s="6" t="s">
        <v>8384</v>
      </c>
      <c r="D2281" s="6" t="s">
        <v>8458</v>
      </c>
      <c r="E2281" s="6" t="s">
        <v>8475</v>
      </c>
      <c r="F2281" s="6" t="s">
        <v>8476</v>
      </c>
      <c r="G2281" s="9" t="s">
        <v>8477</v>
      </c>
      <c r="H2281" s="9" t="s">
        <v>18</v>
      </c>
      <c r="I2281" s="16" t="str">
        <f>VLOOKUP(F2281,[1]完整分类结果!$E:$G,3,0)</f>
        <v>专用设备制造业</v>
      </c>
      <c r="J2281" s="16">
        <f>VLOOKUP(I2281,[2]行业排放因子!$A:$B,2,0)</f>
        <v>2.3522392431260499</v>
      </c>
      <c r="K2281" s="9" t="s">
        <v>756</v>
      </c>
    </row>
    <row r="2282" spans="1:11" ht="12.5" customHeight="1" x14ac:dyDescent="0.25">
      <c r="A2282" s="5" t="s">
        <v>8478</v>
      </c>
      <c r="B2282" s="6" t="s">
        <v>7578</v>
      </c>
      <c r="C2282" s="6" t="s">
        <v>8384</v>
      </c>
      <c r="D2282" s="6" t="s">
        <v>8458</v>
      </c>
      <c r="E2282" s="6" t="s">
        <v>8479</v>
      </c>
      <c r="F2282" s="6" t="s">
        <v>8480</v>
      </c>
      <c r="G2282" s="9" t="s">
        <v>8481</v>
      </c>
      <c r="H2282" s="9" t="s">
        <v>18</v>
      </c>
      <c r="I2282" s="16" t="str">
        <f>VLOOKUP(F2282,[1]完整分类结果!$E:$G,3,0)</f>
        <v>专用设备制造业</v>
      </c>
      <c r="J2282" s="16">
        <f>VLOOKUP(I2282,[2]行业排放因子!$A:$B,2,0)</f>
        <v>2.3522392431260499</v>
      </c>
      <c r="K2282" s="9" t="s">
        <v>756</v>
      </c>
    </row>
    <row r="2283" spans="1:11" ht="12.5" customHeight="1" x14ac:dyDescent="0.25">
      <c r="A2283" s="5" t="s">
        <v>8482</v>
      </c>
      <c r="B2283" s="6" t="s">
        <v>7578</v>
      </c>
      <c r="C2283" s="6" t="s">
        <v>8384</v>
      </c>
      <c r="D2283" s="6" t="s">
        <v>8458</v>
      </c>
      <c r="E2283" s="6" t="s">
        <v>8483</v>
      </c>
      <c r="F2283" s="6" t="s">
        <v>8484</v>
      </c>
      <c r="G2283" s="9" t="s">
        <v>8485</v>
      </c>
      <c r="H2283" s="9" t="s">
        <v>18</v>
      </c>
      <c r="I2283" s="16" t="str">
        <f>VLOOKUP(F2283,[1]完整分类结果!$E:$G,3,0)</f>
        <v>专用设备制造业</v>
      </c>
      <c r="J2283" s="16">
        <f>VLOOKUP(I2283,[2]行业排放因子!$A:$B,2,0)</f>
        <v>2.3522392431260499</v>
      </c>
      <c r="K2283" s="9" t="s">
        <v>756</v>
      </c>
    </row>
    <row r="2284" spans="1:11" ht="12.5" customHeight="1" x14ac:dyDescent="0.25">
      <c r="A2284" s="5" t="s">
        <v>8486</v>
      </c>
      <c r="B2284" s="6" t="s">
        <v>7578</v>
      </c>
      <c r="C2284" s="6" t="s">
        <v>8384</v>
      </c>
      <c r="D2284" s="6" t="s">
        <v>8458</v>
      </c>
      <c r="E2284" s="6" t="s">
        <v>8487</v>
      </c>
      <c r="F2284" s="6" t="s">
        <v>8488</v>
      </c>
      <c r="G2284" s="9" t="s">
        <v>8489</v>
      </c>
      <c r="H2284" s="9" t="s">
        <v>18</v>
      </c>
      <c r="I2284" s="16" t="str">
        <f>VLOOKUP(F2284,[1]完整分类结果!$E:$G,3,0)</f>
        <v>专用设备制造业</v>
      </c>
      <c r="J2284" s="16">
        <f>VLOOKUP(I2284,[2]行业排放因子!$A:$B,2,0)</f>
        <v>2.3522392431260499</v>
      </c>
      <c r="K2284" s="9" t="s">
        <v>756</v>
      </c>
    </row>
    <row r="2285" spans="1:11" ht="12.5" customHeight="1" x14ac:dyDescent="0.25">
      <c r="A2285" s="5" t="s">
        <v>8490</v>
      </c>
      <c r="B2285" s="6" t="s">
        <v>7578</v>
      </c>
      <c r="C2285" s="6" t="s">
        <v>8384</v>
      </c>
      <c r="D2285" s="6" t="s">
        <v>8458</v>
      </c>
      <c r="E2285" s="6" t="s">
        <v>8491</v>
      </c>
      <c r="F2285" s="6" t="s">
        <v>8492</v>
      </c>
      <c r="G2285" s="9" t="s">
        <v>8493</v>
      </c>
      <c r="H2285" s="9" t="s">
        <v>18</v>
      </c>
      <c r="I2285" s="16" t="str">
        <f>VLOOKUP(F2285,[1]完整分类结果!$E:$G,3,0)</f>
        <v>专用设备制造业</v>
      </c>
      <c r="J2285" s="16">
        <f>VLOOKUP(I2285,[2]行业排放因子!$A:$B,2,0)</f>
        <v>2.3522392431260499</v>
      </c>
      <c r="K2285" s="9" t="s">
        <v>756</v>
      </c>
    </row>
    <row r="2286" spans="1:11" ht="12.5" customHeight="1" x14ac:dyDescent="0.25">
      <c r="A2286" s="5" t="s">
        <v>8494</v>
      </c>
      <c r="B2286" s="6" t="s">
        <v>7578</v>
      </c>
      <c r="C2286" s="6" t="s">
        <v>8384</v>
      </c>
      <c r="D2286" s="6" t="s">
        <v>8495</v>
      </c>
      <c r="E2286" s="6" t="s">
        <v>8496</v>
      </c>
      <c r="F2286" s="6" t="s">
        <v>8495</v>
      </c>
      <c r="G2286" s="9" t="s">
        <v>8497</v>
      </c>
      <c r="H2286" s="9" t="s">
        <v>18</v>
      </c>
      <c r="I2286" s="16" t="str">
        <f>VLOOKUP(F2286,[1]完整分类结果!$E:$G,3,0)</f>
        <v>普通机械制造业</v>
      </c>
      <c r="J2286" s="16">
        <f>VLOOKUP(I2286,[2]行业排放因子!$A:$B,2,0)</f>
        <v>9.6615781889079599</v>
      </c>
      <c r="K2286" s="9" t="s">
        <v>756</v>
      </c>
    </row>
    <row r="2287" spans="1:11" ht="12.5" customHeight="1" x14ac:dyDescent="0.25">
      <c r="A2287" s="5" t="s">
        <v>8498</v>
      </c>
      <c r="B2287" s="6" t="s">
        <v>7578</v>
      </c>
      <c r="C2287" s="6" t="s">
        <v>8384</v>
      </c>
      <c r="D2287" s="6" t="s">
        <v>8495</v>
      </c>
      <c r="E2287" s="6" t="s">
        <v>8499</v>
      </c>
      <c r="F2287" s="6" t="s">
        <v>8500</v>
      </c>
      <c r="G2287" s="9" t="s">
        <v>8501</v>
      </c>
      <c r="H2287" s="9" t="s">
        <v>18</v>
      </c>
      <c r="I2287" s="16" t="str">
        <f>VLOOKUP(F2287,[1]完整分类结果!$E:$G,3,0)</f>
        <v>普通机械制造业</v>
      </c>
      <c r="J2287" s="16">
        <f>VLOOKUP(I2287,[2]行业排放因子!$A:$B,2,0)</f>
        <v>9.6615781889079599</v>
      </c>
      <c r="K2287" s="9" t="s">
        <v>756</v>
      </c>
    </row>
    <row r="2288" spans="1:11" ht="12.5" customHeight="1" x14ac:dyDescent="0.25">
      <c r="A2288" s="5" t="s">
        <v>8502</v>
      </c>
      <c r="B2288" s="6" t="s">
        <v>7578</v>
      </c>
      <c r="C2288" s="6" t="s">
        <v>8384</v>
      </c>
      <c r="D2288" s="6" t="s">
        <v>8495</v>
      </c>
      <c r="E2288" s="6" t="s">
        <v>8503</v>
      </c>
      <c r="F2288" s="6" t="s">
        <v>8504</v>
      </c>
      <c r="G2288" s="9" t="s">
        <v>8505</v>
      </c>
      <c r="H2288" s="9" t="s">
        <v>18</v>
      </c>
      <c r="I2288" s="16" t="str">
        <f>VLOOKUP(F2288,[1]完整分类结果!$E:$G,3,0)</f>
        <v>普通机械制造业</v>
      </c>
      <c r="J2288" s="16">
        <f>VLOOKUP(I2288,[2]行业排放因子!$A:$B,2,0)</f>
        <v>9.6615781889079599</v>
      </c>
      <c r="K2288" s="9" t="s">
        <v>756</v>
      </c>
    </row>
    <row r="2289" spans="1:11" ht="12.5" customHeight="1" x14ac:dyDescent="0.25">
      <c r="A2289" s="5" t="s">
        <v>8506</v>
      </c>
      <c r="B2289" s="6" t="s">
        <v>7578</v>
      </c>
      <c r="C2289" s="6" t="s">
        <v>8384</v>
      </c>
      <c r="D2289" s="6" t="s">
        <v>8495</v>
      </c>
      <c r="E2289" s="6" t="s">
        <v>8507</v>
      </c>
      <c r="F2289" s="6" t="s">
        <v>8508</v>
      </c>
      <c r="G2289" s="9" t="s">
        <v>8509</v>
      </c>
      <c r="H2289" s="9" t="s">
        <v>18</v>
      </c>
      <c r="I2289" s="16" t="str">
        <f>VLOOKUP(F2289,[1]完整分类结果!$E:$G,3,0)</f>
        <v>普通机械制造业</v>
      </c>
      <c r="J2289" s="16">
        <f>VLOOKUP(I2289,[2]行业排放因子!$A:$B,2,0)</f>
        <v>9.6615781889079599</v>
      </c>
      <c r="K2289" s="9" t="s">
        <v>756</v>
      </c>
    </row>
    <row r="2290" spans="1:11" ht="12.5" customHeight="1" x14ac:dyDescent="0.25">
      <c r="A2290" s="5" t="s">
        <v>8510</v>
      </c>
      <c r="B2290" s="6" t="s">
        <v>7578</v>
      </c>
      <c r="C2290" s="6" t="s">
        <v>8384</v>
      </c>
      <c r="D2290" s="6" t="s">
        <v>8495</v>
      </c>
      <c r="E2290" s="6" t="s">
        <v>8511</v>
      </c>
      <c r="F2290" s="6" t="s">
        <v>8512</v>
      </c>
      <c r="G2290" s="9" t="s">
        <v>8513</v>
      </c>
      <c r="H2290" s="9" t="s">
        <v>18</v>
      </c>
      <c r="I2290" s="16" t="str">
        <f>VLOOKUP(F2290,[1]完整分类结果!$E:$G,3,0)</f>
        <v>普通机械制造业</v>
      </c>
      <c r="J2290" s="16">
        <f>VLOOKUP(I2290,[2]行业排放因子!$A:$B,2,0)</f>
        <v>9.6615781889079599</v>
      </c>
      <c r="K2290" s="9" t="s">
        <v>756</v>
      </c>
    </row>
    <row r="2291" spans="1:11" ht="12.5" customHeight="1" x14ac:dyDescent="0.25">
      <c r="A2291" s="5" t="s">
        <v>8514</v>
      </c>
      <c r="B2291" s="6" t="s">
        <v>7578</v>
      </c>
      <c r="C2291" s="6" t="s">
        <v>8384</v>
      </c>
      <c r="D2291" s="6" t="s">
        <v>8495</v>
      </c>
      <c r="E2291" s="6" t="s">
        <v>8515</v>
      </c>
      <c r="F2291" s="6" t="s">
        <v>8516</v>
      </c>
      <c r="G2291" s="9" t="s">
        <v>8517</v>
      </c>
      <c r="H2291" s="9" t="s">
        <v>18</v>
      </c>
      <c r="I2291" s="16" t="str">
        <f>VLOOKUP(F2291,[1]完整分类结果!$E:$G,3,0)</f>
        <v>普通机械制造业</v>
      </c>
      <c r="J2291" s="16">
        <f>VLOOKUP(I2291,[2]行业排放因子!$A:$B,2,0)</f>
        <v>9.6615781889079599</v>
      </c>
      <c r="K2291" s="9" t="s">
        <v>756</v>
      </c>
    </row>
    <row r="2292" spans="1:11" ht="12.5" customHeight="1" x14ac:dyDescent="0.25">
      <c r="A2292" s="5" t="s">
        <v>8518</v>
      </c>
      <c r="B2292" s="6" t="s">
        <v>7578</v>
      </c>
      <c r="C2292" s="6" t="s">
        <v>8384</v>
      </c>
      <c r="D2292" s="6" t="s">
        <v>8495</v>
      </c>
      <c r="E2292" s="6" t="s">
        <v>8519</v>
      </c>
      <c r="F2292" s="6" t="s">
        <v>8520</v>
      </c>
      <c r="G2292" s="9" t="s">
        <v>8521</v>
      </c>
      <c r="H2292" s="9" t="s">
        <v>18</v>
      </c>
      <c r="I2292" s="16" t="str">
        <f>VLOOKUP(F2292,[1]完整分类结果!$E:$G,3,0)</f>
        <v>普通机械制造业</v>
      </c>
      <c r="J2292" s="16">
        <f>VLOOKUP(I2292,[2]行业排放因子!$A:$B,2,0)</f>
        <v>9.6615781889079599</v>
      </c>
      <c r="K2292" s="9" t="s">
        <v>756</v>
      </c>
    </row>
    <row r="2293" spans="1:11" ht="12.5" customHeight="1" x14ac:dyDescent="0.25">
      <c r="A2293" s="5" t="s">
        <v>8522</v>
      </c>
      <c r="B2293" s="6" t="s">
        <v>7578</v>
      </c>
      <c r="C2293" s="6" t="s">
        <v>8384</v>
      </c>
      <c r="D2293" s="6" t="s">
        <v>8495</v>
      </c>
      <c r="E2293" s="6" t="s">
        <v>8523</v>
      </c>
      <c r="F2293" s="6" t="s">
        <v>8524</v>
      </c>
      <c r="G2293" s="9" t="s">
        <v>8525</v>
      </c>
      <c r="H2293" s="9" t="s">
        <v>18</v>
      </c>
      <c r="I2293" s="16" t="str">
        <f>VLOOKUP(F2293,[1]完整分类结果!$E:$G,3,0)</f>
        <v>普通机械制造业</v>
      </c>
      <c r="J2293" s="16">
        <f>VLOOKUP(I2293,[2]行业排放因子!$A:$B,2,0)</f>
        <v>9.6615781889079599</v>
      </c>
      <c r="K2293" s="9" t="s">
        <v>756</v>
      </c>
    </row>
    <row r="2294" spans="1:11" ht="12.5" customHeight="1" x14ac:dyDescent="0.25">
      <c r="A2294" s="5" t="s">
        <v>8526</v>
      </c>
      <c r="B2294" s="6" t="s">
        <v>7578</v>
      </c>
      <c r="C2294" s="6" t="s">
        <v>8384</v>
      </c>
      <c r="D2294" s="6" t="s">
        <v>8495</v>
      </c>
      <c r="E2294" s="6" t="s">
        <v>8527</v>
      </c>
      <c r="F2294" s="6" t="s">
        <v>8528</v>
      </c>
      <c r="G2294" s="9" t="s">
        <v>8529</v>
      </c>
      <c r="H2294" s="9" t="s">
        <v>18</v>
      </c>
      <c r="I2294" s="16" t="str">
        <f>VLOOKUP(F2294,[1]完整分类结果!$E:$G,3,0)</f>
        <v>普通机械制造业</v>
      </c>
      <c r="J2294" s="16">
        <f>VLOOKUP(I2294,[2]行业排放因子!$A:$B,2,0)</f>
        <v>9.6615781889079599</v>
      </c>
      <c r="K2294" s="9" t="s">
        <v>756</v>
      </c>
    </row>
    <row r="2295" spans="1:11" ht="12.5" customHeight="1" x14ac:dyDescent="0.25">
      <c r="A2295" s="5" t="s">
        <v>8530</v>
      </c>
      <c r="B2295" s="6" t="s">
        <v>7578</v>
      </c>
      <c r="C2295" s="6" t="s">
        <v>8384</v>
      </c>
      <c r="D2295" s="6" t="s">
        <v>8495</v>
      </c>
      <c r="E2295" s="6" t="s">
        <v>8531</v>
      </c>
      <c r="F2295" s="6" t="s">
        <v>8532</v>
      </c>
      <c r="G2295" s="9" t="s">
        <v>8533</v>
      </c>
      <c r="H2295" s="9" t="s">
        <v>18</v>
      </c>
      <c r="I2295" s="16" t="str">
        <f>VLOOKUP(F2295,[1]完整分类结果!$E:$G,3,0)</f>
        <v>普通机械制造业</v>
      </c>
      <c r="J2295" s="16">
        <f>VLOOKUP(I2295,[2]行业排放因子!$A:$B,2,0)</f>
        <v>9.6615781889079599</v>
      </c>
      <c r="K2295" s="9" t="s">
        <v>756</v>
      </c>
    </row>
    <row r="2296" spans="1:11" ht="12.5" customHeight="1" x14ac:dyDescent="0.25">
      <c r="A2296" s="5" t="s">
        <v>8534</v>
      </c>
      <c r="B2296" s="6" t="s">
        <v>7578</v>
      </c>
      <c r="C2296" s="6" t="s">
        <v>8384</v>
      </c>
      <c r="D2296" s="6" t="s">
        <v>8495</v>
      </c>
      <c r="E2296" s="6" t="s">
        <v>8535</v>
      </c>
      <c r="F2296" s="6" t="s">
        <v>8536</v>
      </c>
      <c r="G2296" s="9" t="s">
        <v>8537</v>
      </c>
      <c r="H2296" s="9" t="s">
        <v>18</v>
      </c>
      <c r="I2296" s="16" t="str">
        <f>VLOOKUP(F2296,[1]完整分类结果!$E:$G,3,0)</f>
        <v>普通机械制造业</v>
      </c>
      <c r="J2296" s="16">
        <f>VLOOKUP(I2296,[2]行业排放因子!$A:$B,2,0)</f>
        <v>9.6615781889079599</v>
      </c>
      <c r="K2296" s="9" t="s">
        <v>756</v>
      </c>
    </row>
    <row r="2297" spans="1:11" ht="12.5" customHeight="1" x14ac:dyDescent="0.25">
      <c r="A2297" s="5" t="s">
        <v>8538</v>
      </c>
      <c r="B2297" s="6" t="s">
        <v>7578</v>
      </c>
      <c r="C2297" s="6" t="s">
        <v>8384</v>
      </c>
      <c r="D2297" s="6" t="s">
        <v>8539</v>
      </c>
      <c r="E2297" s="6" t="s">
        <v>8540</v>
      </c>
      <c r="F2297" s="6" t="s">
        <v>8541</v>
      </c>
      <c r="G2297" s="9" t="s">
        <v>8542</v>
      </c>
      <c r="H2297" s="9" t="s">
        <v>18</v>
      </c>
      <c r="I2297" s="16" t="str">
        <f>VLOOKUP(F2297,[1]完整分类结果!$E:$G,3,0)</f>
        <v>普通机械制造业</v>
      </c>
      <c r="J2297" s="16">
        <f>VLOOKUP(I2297,[2]行业排放因子!$A:$B,2,0)</f>
        <v>9.6615781889079599</v>
      </c>
      <c r="K2297" s="9" t="s">
        <v>756</v>
      </c>
    </row>
    <row r="2298" spans="1:11" ht="12.5" customHeight="1" x14ac:dyDescent="0.25">
      <c r="A2298" s="5" t="s">
        <v>8543</v>
      </c>
      <c r="B2298" s="6" t="s">
        <v>7578</v>
      </c>
      <c r="C2298" s="6" t="s">
        <v>8384</v>
      </c>
      <c r="D2298" s="6" t="s">
        <v>8539</v>
      </c>
      <c r="E2298" s="6" t="s">
        <v>8544</v>
      </c>
      <c r="F2298" s="6" t="s">
        <v>8545</v>
      </c>
      <c r="G2298" s="9" t="s">
        <v>8546</v>
      </c>
      <c r="H2298" s="9" t="s">
        <v>18</v>
      </c>
      <c r="I2298" s="16" t="str">
        <f>VLOOKUP(F2298,[1]完整分类结果!$E:$G,3,0)</f>
        <v>普通机械制造业</v>
      </c>
      <c r="J2298" s="16">
        <f>VLOOKUP(I2298,[2]行业排放因子!$A:$B,2,0)</f>
        <v>9.6615781889079599</v>
      </c>
      <c r="K2298" s="9" t="s">
        <v>756</v>
      </c>
    </row>
    <row r="2299" spans="1:11" ht="12.5" customHeight="1" x14ac:dyDescent="0.25">
      <c r="A2299" s="5" t="s">
        <v>8547</v>
      </c>
      <c r="B2299" s="6" t="s">
        <v>7578</v>
      </c>
      <c r="C2299" s="6" t="s">
        <v>8384</v>
      </c>
      <c r="D2299" s="6" t="s">
        <v>8539</v>
      </c>
      <c r="E2299" s="6" t="s">
        <v>8548</v>
      </c>
      <c r="F2299" s="6" t="s">
        <v>8549</v>
      </c>
      <c r="G2299" s="9" t="s">
        <v>8550</v>
      </c>
      <c r="H2299" s="9" t="s">
        <v>18</v>
      </c>
      <c r="I2299" s="16" t="str">
        <f>VLOOKUP(F2299,[1]完整分类结果!$E:$G,3,0)</f>
        <v>普通机械制造业</v>
      </c>
      <c r="J2299" s="16">
        <f>VLOOKUP(I2299,[2]行业排放因子!$A:$B,2,0)</f>
        <v>9.6615781889079599</v>
      </c>
      <c r="K2299" s="9" t="s">
        <v>756</v>
      </c>
    </row>
    <row r="2300" spans="1:11" ht="12.5" customHeight="1" x14ac:dyDescent="0.25">
      <c r="A2300" s="5" t="s">
        <v>8551</v>
      </c>
      <c r="B2300" s="6" t="s">
        <v>7578</v>
      </c>
      <c r="C2300" s="6" t="s">
        <v>8384</v>
      </c>
      <c r="D2300" s="6" t="s">
        <v>8539</v>
      </c>
      <c r="E2300" s="6" t="s">
        <v>8552</v>
      </c>
      <c r="F2300" s="6" t="s">
        <v>8553</v>
      </c>
      <c r="G2300" s="9" t="s">
        <v>8554</v>
      </c>
      <c r="H2300" s="9" t="s">
        <v>18</v>
      </c>
      <c r="I2300" s="16" t="str">
        <f>VLOOKUP(F2300,[1]完整分类结果!$E:$G,3,0)</f>
        <v>普通机械制造业</v>
      </c>
      <c r="J2300" s="16">
        <f>VLOOKUP(I2300,[2]行业排放因子!$A:$B,2,0)</f>
        <v>9.6615781889079599</v>
      </c>
      <c r="K2300" s="9" t="s">
        <v>756</v>
      </c>
    </row>
    <row r="2301" spans="1:11" ht="12.5" customHeight="1" x14ac:dyDescent="0.25">
      <c r="A2301" s="5" t="s">
        <v>8555</v>
      </c>
      <c r="B2301" s="6" t="s">
        <v>7578</v>
      </c>
      <c r="C2301" s="6" t="s">
        <v>8384</v>
      </c>
      <c r="D2301" s="6" t="s">
        <v>8556</v>
      </c>
      <c r="E2301" s="6" t="s">
        <v>8557</v>
      </c>
      <c r="F2301" s="6" t="s">
        <v>8558</v>
      </c>
      <c r="G2301" s="9" t="s">
        <v>8559</v>
      </c>
      <c r="H2301" s="9" t="s">
        <v>18</v>
      </c>
      <c r="I2301" s="16" t="str">
        <f>VLOOKUP(F2301,[1]完整分类结果!$E:$G,3,0)</f>
        <v>普通机械制造业</v>
      </c>
      <c r="J2301" s="16">
        <f>VLOOKUP(I2301,[2]行业排放因子!$A:$B,2,0)</f>
        <v>9.6615781889079599</v>
      </c>
      <c r="K2301" s="9" t="s">
        <v>756</v>
      </c>
    </row>
    <row r="2302" spans="1:11" ht="12.5" customHeight="1" x14ac:dyDescent="0.25">
      <c r="A2302" s="5" t="s">
        <v>8560</v>
      </c>
      <c r="B2302" s="6" t="s">
        <v>7578</v>
      </c>
      <c r="C2302" s="6" t="s">
        <v>8384</v>
      </c>
      <c r="D2302" s="6" t="s">
        <v>8556</v>
      </c>
      <c r="E2302" s="6" t="s">
        <v>8561</v>
      </c>
      <c r="F2302" s="6" t="s">
        <v>8562</v>
      </c>
      <c r="G2302" s="9" t="s">
        <v>8563</v>
      </c>
      <c r="H2302" s="9" t="s">
        <v>18</v>
      </c>
      <c r="I2302" s="16" t="str">
        <f>VLOOKUP(F2302,[1]完整分类结果!$E:$G,3,0)</f>
        <v>普通机械制造业</v>
      </c>
      <c r="J2302" s="16">
        <f>VLOOKUP(I2302,[2]行业排放因子!$A:$B,2,0)</f>
        <v>9.6615781889079599</v>
      </c>
      <c r="K2302" s="9" t="s">
        <v>756</v>
      </c>
    </row>
    <row r="2303" spans="1:11" ht="12.5" customHeight="1" x14ac:dyDescent="0.25">
      <c r="A2303" s="5" t="s">
        <v>8564</v>
      </c>
      <c r="B2303" s="6" t="s">
        <v>7578</v>
      </c>
      <c r="C2303" s="6" t="s">
        <v>8384</v>
      </c>
      <c r="D2303" s="6" t="s">
        <v>8556</v>
      </c>
      <c r="E2303" s="6" t="s">
        <v>8565</v>
      </c>
      <c r="F2303" s="6" t="s">
        <v>8566</v>
      </c>
      <c r="G2303" s="9" t="s">
        <v>8567</v>
      </c>
      <c r="H2303" s="9" t="s">
        <v>18</v>
      </c>
      <c r="I2303" s="16" t="str">
        <f>VLOOKUP(F2303,[1]完整分类结果!$E:$G,3,0)</f>
        <v>普通机械制造业</v>
      </c>
      <c r="J2303" s="16">
        <f>VLOOKUP(I2303,[2]行业排放因子!$A:$B,2,0)</f>
        <v>9.6615781889079599</v>
      </c>
      <c r="K2303" s="9" t="s">
        <v>756</v>
      </c>
    </row>
    <row r="2304" spans="1:11" ht="12.5" customHeight="1" x14ac:dyDescent="0.25">
      <c r="A2304" s="5" t="s">
        <v>8568</v>
      </c>
      <c r="B2304" s="6" t="s">
        <v>7578</v>
      </c>
      <c r="C2304" s="6" t="s">
        <v>8384</v>
      </c>
      <c r="D2304" s="6" t="s">
        <v>8556</v>
      </c>
      <c r="E2304" s="6" t="s">
        <v>8569</v>
      </c>
      <c r="F2304" s="6" t="s">
        <v>8570</v>
      </c>
      <c r="G2304" s="9" t="s">
        <v>8571</v>
      </c>
      <c r="H2304" s="9" t="s">
        <v>18</v>
      </c>
      <c r="I2304" s="16" t="str">
        <f>VLOOKUP(F2304,[1]完整分类结果!$E:$G,3,0)</f>
        <v>普通机械制造业</v>
      </c>
      <c r="J2304" s="16">
        <f>VLOOKUP(I2304,[2]行业排放因子!$A:$B,2,0)</f>
        <v>9.6615781889079599</v>
      </c>
      <c r="K2304" s="9" t="s">
        <v>756</v>
      </c>
    </row>
    <row r="2305" spans="1:11" ht="12.5" customHeight="1" x14ac:dyDescent="0.25">
      <c r="A2305" s="5" t="s">
        <v>8572</v>
      </c>
      <c r="B2305" s="6" t="s">
        <v>7578</v>
      </c>
      <c r="C2305" s="6" t="s">
        <v>8384</v>
      </c>
      <c r="D2305" s="6" t="s">
        <v>8556</v>
      </c>
      <c r="E2305" s="6" t="s">
        <v>8573</v>
      </c>
      <c r="F2305" s="6" t="s">
        <v>8574</v>
      </c>
      <c r="G2305" s="9" t="s">
        <v>8575</v>
      </c>
      <c r="H2305" s="9" t="s">
        <v>18</v>
      </c>
      <c r="I2305" s="16" t="str">
        <f>VLOOKUP(F2305,[1]完整分类结果!$E:$G,3,0)</f>
        <v>普通机械制造业</v>
      </c>
      <c r="J2305" s="16">
        <f>VLOOKUP(I2305,[2]行业排放因子!$A:$B,2,0)</f>
        <v>9.6615781889079599</v>
      </c>
      <c r="K2305" s="9" t="s">
        <v>756</v>
      </c>
    </row>
    <row r="2306" spans="1:11" ht="12.5" customHeight="1" x14ac:dyDescent="0.25">
      <c r="A2306" s="5" t="s">
        <v>8576</v>
      </c>
      <c r="B2306" s="6" t="s">
        <v>7578</v>
      </c>
      <c r="C2306" s="6" t="s">
        <v>8384</v>
      </c>
      <c r="D2306" s="6" t="s">
        <v>8556</v>
      </c>
      <c r="E2306" s="6" t="s">
        <v>8577</v>
      </c>
      <c r="F2306" s="6" t="s">
        <v>8578</v>
      </c>
      <c r="G2306" s="9"/>
      <c r="H2306" s="9" t="s">
        <v>18</v>
      </c>
      <c r="I2306" s="16" t="str">
        <f>VLOOKUP(F2306,[1]完整分类结果!$E:$G,3,0)</f>
        <v>普通机械制造业</v>
      </c>
      <c r="J2306" s="16">
        <f>VLOOKUP(I2306,[2]行业排放因子!$A:$B,2,0)</f>
        <v>9.6615781889079599</v>
      </c>
      <c r="K2306" s="9" t="s">
        <v>756</v>
      </c>
    </row>
    <row r="2307" spans="1:11" ht="12.5" customHeight="1" x14ac:dyDescent="0.25">
      <c r="A2307" s="5" t="s">
        <v>8579</v>
      </c>
      <c r="B2307" s="6" t="s">
        <v>7578</v>
      </c>
      <c r="C2307" s="6" t="s">
        <v>8384</v>
      </c>
      <c r="D2307" s="6" t="s">
        <v>8580</v>
      </c>
      <c r="E2307" s="6" t="s">
        <v>8581</v>
      </c>
      <c r="F2307" s="6" t="s">
        <v>8582</v>
      </c>
      <c r="G2307" s="9" t="s">
        <v>8583</v>
      </c>
      <c r="H2307" s="9" t="s">
        <v>18</v>
      </c>
      <c r="I2307" s="16" t="str">
        <f>VLOOKUP(F2307,[1]完整分类结果!$E:$G,3,0)</f>
        <v>普通机械制造业</v>
      </c>
      <c r="J2307" s="16">
        <f>VLOOKUP(I2307,[2]行业排放因子!$A:$B,2,0)</f>
        <v>9.6615781889079599</v>
      </c>
      <c r="K2307" s="9" t="s">
        <v>756</v>
      </c>
    </row>
    <row r="2308" spans="1:11" ht="12.5" customHeight="1" x14ac:dyDescent="0.25">
      <c r="A2308" s="5" t="s">
        <v>8584</v>
      </c>
      <c r="B2308" s="6" t="s">
        <v>7578</v>
      </c>
      <c r="C2308" s="6" t="s">
        <v>8384</v>
      </c>
      <c r="D2308" s="6" t="s">
        <v>8580</v>
      </c>
      <c r="E2308" s="6" t="s">
        <v>8585</v>
      </c>
      <c r="F2308" s="6" t="s">
        <v>8586</v>
      </c>
      <c r="G2308" s="9" t="s">
        <v>8587</v>
      </c>
      <c r="H2308" s="9" t="s">
        <v>18</v>
      </c>
      <c r="I2308" s="16" t="str">
        <f>VLOOKUP(F2308,[1]完整分类结果!$E:$G,3,0)</f>
        <v>普通机械制造业</v>
      </c>
      <c r="J2308" s="16">
        <f>VLOOKUP(I2308,[2]行业排放因子!$A:$B,2,0)</f>
        <v>9.6615781889079599</v>
      </c>
      <c r="K2308" s="9" t="s">
        <v>756</v>
      </c>
    </row>
    <row r="2309" spans="1:11" ht="12.5" customHeight="1" x14ac:dyDescent="0.25">
      <c r="A2309" s="5" t="s">
        <v>8588</v>
      </c>
      <c r="B2309" s="6" t="s">
        <v>7578</v>
      </c>
      <c r="C2309" s="6" t="s">
        <v>8384</v>
      </c>
      <c r="D2309" s="6" t="s">
        <v>8580</v>
      </c>
      <c r="E2309" s="6" t="s">
        <v>8589</v>
      </c>
      <c r="F2309" s="6" t="s">
        <v>8590</v>
      </c>
      <c r="G2309" s="9" t="s">
        <v>8591</v>
      </c>
      <c r="H2309" s="9" t="s">
        <v>18</v>
      </c>
      <c r="I2309" s="16" t="str">
        <f>VLOOKUP(F2309,[1]完整分类结果!$E:$G,3,0)</f>
        <v>普通机械制造业</v>
      </c>
      <c r="J2309" s="16">
        <f>VLOOKUP(I2309,[2]行业排放因子!$A:$B,2,0)</f>
        <v>9.6615781889079599</v>
      </c>
      <c r="K2309" s="9" t="s">
        <v>756</v>
      </c>
    </row>
    <row r="2310" spans="1:11" ht="12.5" customHeight="1" x14ac:dyDescent="0.25">
      <c r="A2310" s="5" t="s">
        <v>8592</v>
      </c>
      <c r="B2310" s="6" t="s">
        <v>7578</v>
      </c>
      <c r="C2310" s="6" t="s">
        <v>8384</v>
      </c>
      <c r="D2310" s="6" t="s">
        <v>8580</v>
      </c>
      <c r="E2310" s="6" t="s">
        <v>8593</v>
      </c>
      <c r="F2310" s="6" t="s">
        <v>8594</v>
      </c>
      <c r="G2310" s="9" t="s">
        <v>8595</v>
      </c>
      <c r="H2310" s="9" t="s">
        <v>18</v>
      </c>
      <c r="I2310" s="16" t="str">
        <f>VLOOKUP(F2310,[1]完整分类结果!$E:$G,3,0)</f>
        <v>普通机械制造业</v>
      </c>
      <c r="J2310" s="16">
        <f>VLOOKUP(I2310,[2]行业排放因子!$A:$B,2,0)</f>
        <v>9.6615781889079599</v>
      </c>
      <c r="K2310" s="9" t="s">
        <v>756</v>
      </c>
    </row>
    <row r="2311" spans="1:11" ht="12.5" customHeight="1" x14ac:dyDescent="0.25">
      <c r="A2311" s="5" t="s">
        <v>8596</v>
      </c>
      <c r="B2311" s="6" t="s">
        <v>7578</v>
      </c>
      <c r="C2311" s="6" t="s">
        <v>8384</v>
      </c>
      <c r="D2311" s="6" t="s">
        <v>8580</v>
      </c>
      <c r="E2311" s="6" t="s">
        <v>8597</v>
      </c>
      <c r="F2311" s="6" t="s">
        <v>8598</v>
      </c>
      <c r="G2311" s="9" t="s">
        <v>8599</v>
      </c>
      <c r="H2311" s="9" t="s">
        <v>18</v>
      </c>
      <c r="I2311" s="16" t="str">
        <f>VLOOKUP(F2311,[1]完整分类结果!$E:$G,3,0)</f>
        <v>普通机械制造业</v>
      </c>
      <c r="J2311" s="16">
        <f>VLOOKUP(I2311,[2]行业排放因子!$A:$B,2,0)</f>
        <v>9.6615781889079599</v>
      </c>
      <c r="K2311" s="9" t="s">
        <v>756</v>
      </c>
    </row>
    <row r="2312" spans="1:11" ht="12.5" customHeight="1" x14ac:dyDescent="0.25">
      <c r="A2312" s="5" t="s">
        <v>8600</v>
      </c>
      <c r="B2312" s="6" t="s">
        <v>7578</v>
      </c>
      <c r="C2312" s="6" t="s">
        <v>8384</v>
      </c>
      <c r="D2312" s="6" t="s">
        <v>8601</v>
      </c>
      <c r="E2312" s="6" t="s">
        <v>8602</v>
      </c>
      <c r="F2312" s="6" t="s">
        <v>8603</v>
      </c>
      <c r="G2312" s="9" t="s">
        <v>8604</v>
      </c>
      <c r="H2312" s="9" t="s">
        <v>18</v>
      </c>
      <c r="I2312" s="16" t="str">
        <f>VLOOKUP(F2312,[1]完整分类结果!$E:$G,3,0)</f>
        <v>普通机械制造业</v>
      </c>
      <c r="J2312" s="16">
        <f>VLOOKUP(I2312,[2]行业排放因子!$A:$B,2,0)</f>
        <v>9.6615781889079599</v>
      </c>
      <c r="K2312" s="9" t="s">
        <v>756</v>
      </c>
    </row>
    <row r="2313" spans="1:11" ht="12.5" customHeight="1" x14ac:dyDescent="0.25">
      <c r="A2313" s="5" t="s">
        <v>8605</v>
      </c>
      <c r="B2313" s="6" t="s">
        <v>7578</v>
      </c>
      <c r="C2313" s="6" t="s">
        <v>8384</v>
      </c>
      <c r="D2313" s="6" t="s">
        <v>8601</v>
      </c>
      <c r="E2313" s="6" t="s">
        <v>8606</v>
      </c>
      <c r="F2313" s="6" t="s">
        <v>8607</v>
      </c>
      <c r="G2313" s="9" t="s">
        <v>8608</v>
      </c>
      <c r="H2313" s="9" t="s">
        <v>18</v>
      </c>
      <c r="I2313" s="16" t="str">
        <f>VLOOKUP(F2313,[1]完整分类结果!$E:$G,3,0)</f>
        <v>普通机械制造业</v>
      </c>
      <c r="J2313" s="16">
        <f>VLOOKUP(I2313,[2]行业排放因子!$A:$B,2,0)</f>
        <v>9.6615781889079599</v>
      </c>
      <c r="K2313" s="9" t="s">
        <v>756</v>
      </c>
    </row>
    <row r="2314" spans="1:11" ht="12.5" customHeight="1" x14ac:dyDescent="0.25">
      <c r="A2314" s="5" t="s">
        <v>8609</v>
      </c>
      <c r="B2314" s="6" t="s">
        <v>7578</v>
      </c>
      <c r="C2314" s="6" t="s">
        <v>8384</v>
      </c>
      <c r="D2314" s="6" t="s">
        <v>8601</v>
      </c>
      <c r="E2314" s="6" t="s">
        <v>8610</v>
      </c>
      <c r="F2314" s="6" t="s">
        <v>8611</v>
      </c>
      <c r="G2314" s="9" t="s">
        <v>8612</v>
      </c>
      <c r="H2314" s="9" t="s">
        <v>18</v>
      </c>
      <c r="I2314" s="16" t="str">
        <f>VLOOKUP(F2314,[1]完整分类结果!$E:$G,3,0)</f>
        <v>普通机械制造业</v>
      </c>
      <c r="J2314" s="16">
        <f>VLOOKUP(I2314,[2]行业排放因子!$A:$B,2,0)</f>
        <v>9.6615781889079599</v>
      </c>
      <c r="K2314" s="9" t="s">
        <v>756</v>
      </c>
    </row>
    <row r="2315" spans="1:11" ht="12.5" customHeight="1" x14ac:dyDescent="0.25">
      <c r="A2315" s="5" t="s">
        <v>8613</v>
      </c>
      <c r="B2315" s="6" t="s">
        <v>7578</v>
      </c>
      <c r="C2315" s="6" t="s">
        <v>8384</v>
      </c>
      <c r="D2315" s="6" t="s">
        <v>8601</v>
      </c>
      <c r="E2315" s="6" t="s">
        <v>8614</v>
      </c>
      <c r="F2315" s="6" t="s">
        <v>8615</v>
      </c>
      <c r="G2315" s="9" t="s">
        <v>8616</v>
      </c>
      <c r="H2315" s="9" t="s">
        <v>18</v>
      </c>
      <c r="I2315" s="16" t="str">
        <f>VLOOKUP(F2315,[1]完整分类结果!$E:$G,3,0)</f>
        <v>普通机械制造业</v>
      </c>
      <c r="J2315" s="16">
        <f>VLOOKUP(I2315,[2]行业排放因子!$A:$B,2,0)</f>
        <v>9.6615781889079599</v>
      </c>
      <c r="K2315" s="9" t="s">
        <v>756</v>
      </c>
    </row>
    <row r="2316" spans="1:11" ht="12.5" customHeight="1" x14ac:dyDescent="0.25">
      <c r="A2316" s="5" t="s">
        <v>8617</v>
      </c>
      <c r="B2316" s="6" t="s">
        <v>7578</v>
      </c>
      <c r="C2316" s="6" t="s">
        <v>8384</v>
      </c>
      <c r="D2316" s="6" t="s">
        <v>8601</v>
      </c>
      <c r="E2316" s="6" t="s">
        <v>8618</v>
      </c>
      <c r="F2316" s="6" t="s">
        <v>8619</v>
      </c>
      <c r="G2316" s="9" t="s">
        <v>8620</v>
      </c>
      <c r="H2316" s="9" t="s">
        <v>18</v>
      </c>
      <c r="I2316" s="16" t="str">
        <f>VLOOKUP(F2316,[1]完整分类结果!$E:$G,3,0)</f>
        <v>普通机械制造业</v>
      </c>
      <c r="J2316" s="16">
        <f>VLOOKUP(I2316,[2]行业排放因子!$A:$B,2,0)</f>
        <v>9.6615781889079599</v>
      </c>
      <c r="K2316" s="9" t="s">
        <v>756</v>
      </c>
    </row>
    <row r="2317" spans="1:11" ht="12.5" customHeight="1" x14ac:dyDescent="0.25">
      <c r="A2317" s="5" t="s">
        <v>8621</v>
      </c>
      <c r="B2317" s="6" t="s">
        <v>7578</v>
      </c>
      <c r="C2317" s="6" t="s">
        <v>8384</v>
      </c>
      <c r="D2317" s="6" t="s">
        <v>8601</v>
      </c>
      <c r="E2317" s="6" t="s">
        <v>8622</v>
      </c>
      <c r="F2317" s="6" t="s">
        <v>8623</v>
      </c>
      <c r="G2317" s="9" t="s">
        <v>8624</v>
      </c>
      <c r="H2317" s="9" t="s">
        <v>18</v>
      </c>
      <c r="I2317" s="16" t="str">
        <f>VLOOKUP(F2317,[1]完整分类结果!$E:$G,3,0)</f>
        <v>普通机械制造业</v>
      </c>
      <c r="J2317" s="16">
        <f>VLOOKUP(I2317,[2]行业排放因子!$A:$B,2,0)</f>
        <v>9.6615781889079599</v>
      </c>
      <c r="K2317" s="9" t="s">
        <v>756</v>
      </c>
    </row>
    <row r="2318" spans="1:11" ht="12.5" customHeight="1" x14ac:dyDescent="0.25">
      <c r="A2318" s="5" t="s">
        <v>8625</v>
      </c>
      <c r="B2318" s="6" t="s">
        <v>7578</v>
      </c>
      <c r="C2318" s="6" t="s">
        <v>8384</v>
      </c>
      <c r="D2318" s="6" t="s">
        <v>8601</v>
      </c>
      <c r="E2318" s="6" t="s">
        <v>8626</v>
      </c>
      <c r="F2318" s="6" t="s">
        <v>8627</v>
      </c>
      <c r="G2318" s="9" t="s">
        <v>8628</v>
      </c>
      <c r="H2318" s="9" t="s">
        <v>18</v>
      </c>
      <c r="I2318" s="16" t="str">
        <f>VLOOKUP(F2318,[1]完整分类结果!$E:$G,3,0)</f>
        <v>普通机械制造业</v>
      </c>
      <c r="J2318" s="16">
        <f>VLOOKUP(I2318,[2]行业排放因子!$A:$B,2,0)</f>
        <v>9.6615781889079599</v>
      </c>
      <c r="K2318" s="9" t="s">
        <v>756</v>
      </c>
    </row>
    <row r="2319" spans="1:11" ht="12.5" customHeight="1" x14ac:dyDescent="0.25">
      <c r="A2319" s="5" t="s">
        <v>8629</v>
      </c>
      <c r="B2319" s="6" t="s">
        <v>7578</v>
      </c>
      <c r="C2319" s="6" t="s">
        <v>8384</v>
      </c>
      <c r="D2319" s="6" t="s">
        <v>8601</v>
      </c>
      <c r="E2319" s="6" t="s">
        <v>8630</v>
      </c>
      <c r="F2319" s="6" t="s">
        <v>8631</v>
      </c>
      <c r="G2319" s="9" t="s">
        <v>8632</v>
      </c>
      <c r="H2319" s="9" t="s">
        <v>18</v>
      </c>
      <c r="I2319" s="16" t="str">
        <f>VLOOKUP(F2319,[1]完整分类结果!$E:$G,3,0)</f>
        <v>普通机械制造业</v>
      </c>
      <c r="J2319" s="16">
        <f>VLOOKUP(I2319,[2]行业排放因子!$A:$B,2,0)</f>
        <v>9.6615781889079599</v>
      </c>
      <c r="K2319" s="9" t="s">
        <v>756</v>
      </c>
    </row>
    <row r="2320" spans="1:11" ht="12.5" customHeight="1" x14ac:dyDescent="0.25">
      <c r="A2320" s="5" t="s">
        <v>8633</v>
      </c>
      <c r="B2320" s="6" t="s">
        <v>7578</v>
      </c>
      <c r="C2320" s="6" t="s">
        <v>8384</v>
      </c>
      <c r="D2320" s="6" t="s">
        <v>8601</v>
      </c>
      <c r="E2320" s="6" t="s">
        <v>8634</v>
      </c>
      <c r="F2320" s="6" t="s">
        <v>8635</v>
      </c>
      <c r="G2320" s="9" t="s">
        <v>8636</v>
      </c>
      <c r="H2320" s="9" t="s">
        <v>18</v>
      </c>
      <c r="I2320" s="16" t="str">
        <f>VLOOKUP(F2320,[1]完整分类结果!$E:$G,3,0)</f>
        <v>普通机械制造业</v>
      </c>
      <c r="J2320" s="16">
        <f>VLOOKUP(I2320,[2]行业排放因子!$A:$B,2,0)</f>
        <v>9.6615781889079599</v>
      </c>
      <c r="K2320" s="9" t="s">
        <v>756</v>
      </c>
    </row>
    <row r="2321" spans="1:11" ht="12.5" customHeight="1" x14ac:dyDescent="0.25">
      <c r="A2321" s="5" t="s">
        <v>8637</v>
      </c>
      <c r="B2321" s="6" t="s">
        <v>7578</v>
      </c>
      <c r="C2321" s="6" t="s">
        <v>8384</v>
      </c>
      <c r="D2321" s="6" t="s">
        <v>8601</v>
      </c>
      <c r="E2321" s="6" t="s">
        <v>8638</v>
      </c>
      <c r="F2321" s="6" t="s">
        <v>8639</v>
      </c>
      <c r="G2321" s="9" t="s">
        <v>8640</v>
      </c>
      <c r="H2321" s="9" t="s">
        <v>18</v>
      </c>
      <c r="I2321" s="16" t="str">
        <f>VLOOKUP(F2321,[1]完整分类结果!$E:$G,3,0)</f>
        <v>普通机械制造业</v>
      </c>
      <c r="J2321" s="16">
        <f>VLOOKUP(I2321,[2]行业排放因子!$A:$B,2,0)</f>
        <v>9.6615781889079599</v>
      </c>
      <c r="K2321" s="9" t="s">
        <v>756</v>
      </c>
    </row>
    <row r="2322" spans="1:11" ht="12.5" customHeight="1" x14ac:dyDescent="0.25">
      <c r="A2322" s="5" t="s">
        <v>8641</v>
      </c>
      <c r="B2322" s="6" t="s">
        <v>7578</v>
      </c>
      <c r="C2322" s="6" t="s">
        <v>8384</v>
      </c>
      <c r="D2322" s="6" t="s">
        <v>8601</v>
      </c>
      <c r="E2322" s="6" t="s">
        <v>8642</v>
      </c>
      <c r="F2322" s="6" t="s">
        <v>8643</v>
      </c>
      <c r="G2322" s="9" t="s">
        <v>8644</v>
      </c>
      <c r="H2322" s="9" t="s">
        <v>18</v>
      </c>
      <c r="I2322" s="16" t="str">
        <f>VLOOKUP(F2322,[1]完整分类结果!$E:$G,3,0)</f>
        <v>普通机械制造业</v>
      </c>
      <c r="J2322" s="16">
        <f>VLOOKUP(I2322,[2]行业排放因子!$A:$B,2,0)</f>
        <v>9.6615781889079599</v>
      </c>
      <c r="K2322" s="9" t="s">
        <v>756</v>
      </c>
    </row>
    <row r="2323" spans="1:11" ht="12.5" customHeight="1" x14ac:dyDescent="0.25">
      <c r="A2323" s="5" t="s">
        <v>8645</v>
      </c>
      <c r="B2323" s="6" t="s">
        <v>7578</v>
      </c>
      <c r="C2323" s="6" t="s">
        <v>8384</v>
      </c>
      <c r="D2323" s="6" t="s">
        <v>8601</v>
      </c>
      <c r="E2323" s="6" t="s">
        <v>8646</v>
      </c>
      <c r="F2323" s="6" t="s">
        <v>8647</v>
      </c>
      <c r="G2323" s="9" t="s">
        <v>8648</v>
      </c>
      <c r="H2323" s="9" t="s">
        <v>18</v>
      </c>
      <c r="I2323" s="16" t="str">
        <f>VLOOKUP(F2323,[1]完整分类结果!$E:$G,3,0)</f>
        <v>普通机械制造业</v>
      </c>
      <c r="J2323" s="16">
        <f>VLOOKUP(I2323,[2]行业排放因子!$A:$B,2,0)</f>
        <v>9.6615781889079599</v>
      </c>
      <c r="K2323" s="9" t="s">
        <v>756</v>
      </c>
    </row>
    <row r="2324" spans="1:11" ht="12.5" customHeight="1" x14ac:dyDescent="0.25">
      <c r="A2324" s="5" t="s">
        <v>8649</v>
      </c>
      <c r="B2324" s="6" t="s">
        <v>7578</v>
      </c>
      <c r="C2324" s="6" t="s">
        <v>8384</v>
      </c>
      <c r="D2324" s="6" t="s">
        <v>8601</v>
      </c>
      <c r="E2324" s="6" t="s">
        <v>8650</v>
      </c>
      <c r="F2324" s="6" t="s">
        <v>8651</v>
      </c>
      <c r="G2324" s="9" t="s">
        <v>8652</v>
      </c>
      <c r="H2324" s="9" t="s">
        <v>18</v>
      </c>
      <c r="I2324" s="16" t="str">
        <f>VLOOKUP(F2324,[1]完整分类结果!$E:$G,3,0)</f>
        <v>普通机械制造业</v>
      </c>
      <c r="J2324" s="16">
        <f>VLOOKUP(I2324,[2]行业排放因子!$A:$B,2,0)</f>
        <v>9.6615781889079599</v>
      </c>
      <c r="K2324" s="9" t="s">
        <v>756</v>
      </c>
    </row>
    <row r="2325" spans="1:11" ht="12.5" customHeight="1" x14ac:dyDescent="0.25">
      <c r="A2325" s="5" t="s">
        <v>8653</v>
      </c>
      <c r="B2325" s="6" t="s">
        <v>7578</v>
      </c>
      <c r="C2325" s="6" t="s">
        <v>8384</v>
      </c>
      <c r="D2325" s="6" t="s">
        <v>8601</v>
      </c>
      <c r="E2325" s="6" t="s">
        <v>8654</v>
      </c>
      <c r="F2325" s="6" t="s">
        <v>8655</v>
      </c>
      <c r="G2325" s="9" t="s">
        <v>8656</v>
      </c>
      <c r="H2325" s="9" t="s">
        <v>18</v>
      </c>
      <c r="I2325" s="16" t="str">
        <f>VLOOKUP(F2325,[1]完整分类结果!$E:$G,3,0)</f>
        <v>普通机械制造业</v>
      </c>
      <c r="J2325" s="16">
        <f>VLOOKUP(I2325,[2]行业排放因子!$A:$B,2,0)</f>
        <v>9.6615781889079599</v>
      </c>
      <c r="K2325" s="9" t="s">
        <v>756</v>
      </c>
    </row>
    <row r="2326" spans="1:11" ht="12.5" customHeight="1" x14ac:dyDescent="0.25">
      <c r="A2326" s="5" t="s">
        <v>8657</v>
      </c>
      <c r="B2326" s="6" t="s">
        <v>7578</v>
      </c>
      <c r="C2326" s="6" t="s">
        <v>8384</v>
      </c>
      <c r="D2326" s="6" t="s">
        <v>8658</v>
      </c>
      <c r="E2326" s="6" t="s">
        <v>8659</v>
      </c>
      <c r="F2326" s="6" t="s">
        <v>8660</v>
      </c>
      <c r="G2326" s="9" t="s">
        <v>8661</v>
      </c>
      <c r="H2326" s="9" t="s">
        <v>18</v>
      </c>
      <c r="I2326" s="16" t="str">
        <f>VLOOKUP(F2326,[1]完整分类结果!$E:$G,3,0)</f>
        <v>普通机械制造业</v>
      </c>
      <c r="J2326" s="16">
        <f>VLOOKUP(I2326,[2]行业排放因子!$A:$B,2,0)</f>
        <v>9.6615781889079599</v>
      </c>
      <c r="K2326" s="9" t="s">
        <v>756</v>
      </c>
    </row>
    <row r="2327" spans="1:11" ht="12.5" customHeight="1" x14ac:dyDescent="0.25">
      <c r="A2327" s="5" t="s">
        <v>8662</v>
      </c>
      <c r="B2327" s="6" t="s">
        <v>7578</v>
      </c>
      <c r="C2327" s="6" t="s">
        <v>8384</v>
      </c>
      <c r="D2327" s="6" t="s">
        <v>8658</v>
      </c>
      <c r="E2327" s="6" t="s">
        <v>8663</v>
      </c>
      <c r="F2327" s="6" t="s">
        <v>8664</v>
      </c>
      <c r="G2327" s="9" t="s">
        <v>8665</v>
      </c>
      <c r="H2327" s="9" t="s">
        <v>18</v>
      </c>
      <c r="I2327" s="16" t="str">
        <f>VLOOKUP(F2327,[1]完整分类结果!$E:$G,3,0)</f>
        <v>普通机械制造业</v>
      </c>
      <c r="J2327" s="16">
        <f>VLOOKUP(I2327,[2]行业排放因子!$A:$B,2,0)</f>
        <v>9.6615781889079599</v>
      </c>
      <c r="K2327" s="9" t="s">
        <v>756</v>
      </c>
    </row>
    <row r="2328" spans="1:11" ht="12.5" customHeight="1" x14ac:dyDescent="0.25">
      <c r="A2328" s="5" t="s">
        <v>8666</v>
      </c>
      <c r="B2328" s="6" t="s">
        <v>7578</v>
      </c>
      <c r="C2328" s="6" t="s">
        <v>8384</v>
      </c>
      <c r="D2328" s="6" t="s">
        <v>8658</v>
      </c>
      <c r="E2328" s="6" t="s">
        <v>8667</v>
      </c>
      <c r="F2328" s="6" t="s">
        <v>8668</v>
      </c>
      <c r="G2328" s="9" t="s">
        <v>8669</v>
      </c>
      <c r="H2328" s="9" t="s">
        <v>18</v>
      </c>
      <c r="I2328" s="16" t="str">
        <f>VLOOKUP(F2328,[1]完整分类结果!$E:$G,3,0)</f>
        <v>普通机械制造业</v>
      </c>
      <c r="J2328" s="16">
        <f>VLOOKUP(I2328,[2]行业排放因子!$A:$B,2,0)</f>
        <v>9.6615781889079599</v>
      </c>
      <c r="K2328" s="9" t="s">
        <v>756</v>
      </c>
    </row>
    <row r="2329" spans="1:11" ht="12.5" customHeight="1" x14ac:dyDescent="0.25">
      <c r="A2329" s="5" t="s">
        <v>8670</v>
      </c>
      <c r="B2329" s="6" t="s">
        <v>7578</v>
      </c>
      <c r="C2329" s="6" t="s">
        <v>8384</v>
      </c>
      <c r="D2329" s="6" t="s">
        <v>8658</v>
      </c>
      <c r="E2329" s="6" t="s">
        <v>8671</v>
      </c>
      <c r="F2329" s="6" t="s">
        <v>8672</v>
      </c>
      <c r="G2329" s="9" t="s">
        <v>8673</v>
      </c>
      <c r="H2329" s="9" t="s">
        <v>18</v>
      </c>
      <c r="I2329" s="16" t="str">
        <f>VLOOKUP(F2329,[1]完整分类结果!$E:$G,3,0)</f>
        <v>普通机械制造业</v>
      </c>
      <c r="J2329" s="16">
        <f>VLOOKUP(I2329,[2]行业排放因子!$A:$B,2,0)</f>
        <v>9.6615781889079599</v>
      </c>
      <c r="K2329" s="9" t="s">
        <v>756</v>
      </c>
    </row>
    <row r="2330" spans="1:11" ht="12.5" customHeight="1" x14ac:dyDescent="0.25">
      <c r="A2330" s="5" t="s">
        <v>8674</v>
      </c>
      <c r="B2330" s="6" t="s">
        <v>7578</v>
      </c>
      <c r="C2330" s="6" t="s">
        <v>8384</v>
      </c>
      <c r="D2330" s="6" t="s">
        <v>8658</v>
      </c>
      <c r="E2330" s="6" t="s">
        <v>8675</v>
      </c>
      <c r="F2330" s="6" t="s">
        <v>8676</v>
      </c>
      <c r="G2330" s="9" t="s">
        <v>8677</v>
      </c>
      <c r="H2330" s="9" t="s">
        <v>18</v>
      </c>
      <c r="I2330" s="16" t="str">
        <f>VLOOKUP(F2330,[1]完整分类结果!$E:$G,3,0)</f>
        <v>普通机械制造业</v>
      </c>
      <c r="J2330" s="16">
        <f>VLOOKUP(I2330,[2]行业排放因子!$A:$B,2,0)</f>
        <v>9.6615781889079599</v>
      </c>
      <c r="K2330" s="9" t="s">
        <v>756</v>
      </c>
    </row>
    <row r="2331" spans="1:11" ht="12.5" customHeight="1" x14ac:dyDescent="0.25">
      <c r="A2331" s="5" t="s">
        <v>8678</v>
      </c>
      <c r="B2331" s="6" t="s">
        <v>7578</v>
      </c>
      <c r="C2331" s="6" t="s">
        <v>8384</v>
      </c>
      <c r="D2331" s="6" t="s">
        <v>8658</v>
      </c>
      <c r="E2331" s="6" t="s">
        <v>8679</v>
      </c>
      <c r="F2331" s="6" t="s">
        <v>8680</v>
      </c>
      <c r="G2331" s="9" t="s">
        <v>8681</v>
      </c>
      <c r="H2331" s="9" t="s">
        <v>18</v>
      </c>
      <c r="I2331" s="16" t="str">
        <f>VLOOKUP(F2331,[1]完整分类结果!$E:$G,3,0)</f>
        <v>普通机械制造业</v>
      </c>
      <c r="J2331" s="16">
        <f>VLOOKUP(I2331,[2]行业排放因子!$A:$B,2,0)</f>
        <v>9.6615781889079599</v>
      </c>
      <c r="K2331" s="9" t="s">
        <v>756</v>
      </c>
    </row>
    <row r="2332" spans="1:11" ht="12.5" customHeight="1" x14ac:dyDescent="0.25">
      <c r="A2332" s="5" t="s">
        <v>8682</v>
      </c>
      <c r="B2332" s="6" t="s">
        <v>7578</v>
      </c>
      <c r="C2332" s="6" t="s">
        <v>8384</v>
      </c>
      <c r="D2332" s="6" t="s">
        <v>8658</v>
      </c>
      <c r="E2332" s="6" t="s">
        <v>8683</v>
      </c>
      <c r="F2332" s="6" t="s">
        <v>8684</v>
      </c>
      <c r="G2332" s="9" t="s">
        <v>8685</v>
      </c>
      <c r="H2332" s="9" t="s">
        <v>18</v>
      </c>
      <c r="I2332" s="16" t="str">
        <f>VLOOKUP(F2332,[1]完整分类结果!$E:$G,3,0)</f>
        <v>普通机械制造业</v>
      </c>
      <c r="J2332" s="16">
        <f>VLOOKUP(I2332,[2]行业排放因子!$A:$B,2,0)</f>
        <v>9.6615781889079599</v>
      </c>
      <c r="K2332" s="9" t="s">
        <v>756</v>
      </c>
    </row>
    <row r="2333" spans="1:11" ht="12.5" customHeight="1" x14ac:dyDescent="0.25">
      <c r="A2333" s="5" t="s">
        <v>8686</v>
      </c>
      <c r="B2333" s="6" t="s">
        <v>7578</v>
      </c>
      <c r="C2333" s="6" t="s">
        <v>8384</v>
      </c>
      <c r="D2333" s="6" t="s">
        <v>8658</v>
      </c>
      <c r="E2333" s="6" t="s">
        <v>8687</v>
      </c>
      <c r="F2333" s="6" t="s">
        <v>8688</v>
      </c>
      <c r="G2333" s="9"/>
      <c r="H2333" s="9" t="s">
        <v>18</v>
      </c>
      <c r="I2333" s="16" t="str">
        <f>VLOOKUP(F2333,[1]完整分类结果!$E:$G,3,0)</f>
        <v>普通机械制造业</v>
      </c>
      <c r="J2333" s="16">
        <f>VLOOKUP(I2333,[2]行业排放因子!$A:$B,2,0)</f>
        <v>9.6615781889079599</v>
      </c>
      <c r="K2333" s="9" t="s">
        <v>756</v>
      </c>
    </row>
    <row r="2334" spans="1:11" ht="12.5" customHeight="1" x14ac:dyDescent="0.25">
      <c r="A2334" s="5" t="s">
        <v>8689</v>
      </c>
      <c r="B2334" s="6" t="s">
        <v>7578</v>
      </c>
      <c r="C2334" s="6" t="s">
        <v>8384</v>
      </c>
      <c r="D2334" s="6" t="s">
        <v>8658</v>
      </c>
      <c r="E2334" s="6" t="s">
        <v>8690</v>
      </c>
      <c r="F2334" s="6" t="s">
        <v>8691</v>
      </c>
      <c r="G2334" s="9"/>
      <c r="H2334" s="9" t="s">
        <v>18</v>
      </c>
      <c r="I2334" s="16" t="str">
        <f>VLOOKUP(F2334,[1]完整分类结果!$E:$G,3,0)</f>
        <v>普通机械制造业</v>
      </c>
      <c r="J2334" s="16">
        <f>VLOOKUP(I2334,[2]行业排放因子!$A:$B,2,0)</f>
        <v>9.6615781889079599</v>
      </c>
      <c r="K2334" s="9" t="s">
        <v>756</v>
      </c>
    </row>
    <row r="2335" spans="1:11" ht="12.5" customHeight="1" x14ac:dyDescent="0.25">
      <c r="A2335" s="5" t="s">
        <v>8692</v>
      </c>
      <c r="B2335" s="6" t="s">
        <v>7578</v>
      </c>
      <c r="C2335" s="6" t="s">
        <v>8384</v>
      </c>
      <c r="D2335" s="6" t="s">
        <v>8693</v>
      </c>
      <c r="E2335" s="6" t="s">
        <v>8694</v>
      </c>
      <c r="F2335" s="6" t="s">
        <v>8695</v>
      </c>
      <c r="G2335" s="9" t="s">
        <v>8696</v>
      </c>
      <c r="H2335" s="9" t="s">
        <v>18</v>
      </c>
      <c r="I2335" s="16" t="str">
        <f>VLOOKUP(F2335,[1]完整分类结果!$E:$G,3,0)</f>
        <v>普通机械制造业</v>
      </c>
      <c r="J2335" s="16">
        <f>VLOOKUP(I2335,[2]行业排放因子!$A:$B,2,0)</f>
        <v>9.6615781889079599</v>
      </c>
      <c r="K2335" s="9" t="s">
        <v>756</v>
      </c>
    </row>
    <row r="2336" spans="1:11" ht="12.5" customHeight="1" x14ac:dyDescent="0.25">
      <c r="A2336" s="5" t="s">
        <v>8697</v>
      </c>
      <c r="B2336" s="6" t="s">
        <v>7578</v>
      </c>
      <c r="C2336" s="6" t="s">
        <v>8384</v>
      </c>
      <c r="D2336" s="6" t="s">
        <v>8693</v>
      </c>
      <c r="E2336" s="6" t="s">
        <v>8698</v>
      </c>
      <c r="F2336" s="6" t="s">
        <v>8699</v>
      </c>
      <c r="G2336" s="9" t="s">
        <v>8700</v>
      </c>
      <c r="H2336" s="9" t="s">
        <v>18</v>
      </c>
      <c r="I2336" s="16" t="str">
        <f>VLOOKUP(F2336,[1]完整分类结果!$E:$G,3,0)</f>
        <v>普通机械制造业</v>
      </c>
      <c r="J2336" s="16">
        <f>VLOOKUP(I2336,[2]行业排放因子!$A:$B,2,0)</f>
        <v>9.6615781889079599</v>
      </c>
      <c r="K2336" s="9" t="s">
        <v>756</v>
      </c>
    </row>
    <row r="2337" spans="1:11" ht="12.5" customHeight="1" x14ac:dyDescent="0.25">
      <c r="A2337" s="5" t="s">
        <v>8701</v>
      </c>
      <c r="B2337" s="6" t="s">
        <v>7578</v>
      </c>
      <c r="C2337" s="6" t="s">
        <v>8384</v>
      </c>
      <c r="D2337" s="6" t="s">
        <v>8693</v>
      </c>
      <c r="E2337" s="6" t="s">
        <v>8702</v>
      </c>
      <c r="F2337" s="6" t="s">
        <v>8703</v>
      </c>
      <c r="G2337" s="9" t="s">
        <v>8704</v>
      </c>
      <c r="H2337" s="9" t="s">
        <v>18</v>
      </c>
      <c r="I2337" s="16" t="str">
        <f>VLOOKUP(F2337,[1]完整分类结果!$E:$G,3,0)</f>
        <v>普通机械制造业</v>
      </c>
      <c r="J2337" s="16">
        <f>VLOOKUP(I2337,[2]行业排放因子!$A:$B,2,0)</f>
        <v>9.6615781889079599</v>
      </c>
      <c r="K2337" s="9" t="s">
        <v>756</v>
      </c>
    </row>
    <row r="2338" spans="1:11" ht="12.5" customHeight="1" x14ac:dyDescent="0.25">
      <c r="A2338" s="5" t="s">
        <v>8705</v>
      </c>
      <c r="B2338" s="6" t="s">
        <v>7578</v>
      </c>
      <c r="C2338" s="6" t="s">
        <v>8384</v>
      </c>
      <c r="D2338" s="6" t="s">
        <v>8693</v>
      </c>
      <c r="E2338" s="6" t="s">
        <v>8706</v>
      </c>
      <c r="F2338" s="6" t="s">
        <v>8707</v>
      </c>
      <c r="G2338" s="9" t="s">
        <v>8708</v>
      </c>
      <c r="H2338" s="9" t="s">
        <v>18</v>
      </c>
      <c r="I2338" s="16" t="str">
        <f>VLOOKUP(F2338,[1]完整分类结果!$E:$G,3,0)</f>
        <v>普通机械制造业</v>
      </c>
      <c r="J2338" s="16">
        <f>VLOOKUP(I2338,[2]行业排放因子!$A:$B,2,0)</f>
        <v>9.6615781889079599</v>
      </c>
      <c r="K2338" s="9" t="s">
        <v>756</v>
      </c>
    </row>
    <row r="2339" spans="1:11" ht="12.5" customHeight="1" x14ac:dyDescent="0.25">
      <c r="A2339" s="5" t="s">
        <v>8709</v>
      </c>
      <c r="B2339" s="6" t="s">
        <v>7578</v>
      </c>
      <c r="C2339" s="6" t="s">
        <v>8384</v>
      </c>
      <c r="D2339" s="6" t="s">
        <v>8710</v>
      </c>
      <c r="E2339" s="6" t="s">
        <v>8711</v>
      </c>
      <c r="F2339" s="6" t="s">
        <v>8712</v>
      </c>
      <c r="G2339" s="9" t="s">
        <v>8713</v>
      </c>
      <c r="H2339" s="9" t="s">
        <v>18</v>
      </c>
      <c r="I2339" s="16" t="str">
        <f>VLOOKUP(F2339,[1]完整分类结果!$E:$G,3,0)</f>
        <v>普通机械制造业</v>
      </c>
      <c r="J2339" s="16">
        <f>VLOOKUP(I2339,[2]行业排放因子!$A:$B,2,0)</f>
        <v>9.6615781889079599</v>
      </c>
      <c r="K2339" s="9" t="s">
        <v>756</v>
      </c>
    </row>
    <row r="2340" spans="1:11" ht="12.5" customHeight="1" x14ac:dyDescent="0.25">
      <c r="A2340" s="5" t="s">
        <v>8714</v>
      </c>
      <c r="B2340" s="6" t="s">
        <v>7578</v>
      </c>
      <c r="C2340" s="6" t="s">
        <v>8384</v>
      </c>
      <c r="D2340" s="6" t="s">
        <v>8710</v>
      </c>
      <c r="E2340" s="6" t="s">
        <v>8715</v>
      </c>
      <c r="F2340" s="6" t="s">
        <v>8716</v>
      </c>
      <c r="G2340" s="9" t="s">
        <v>8717</v>
      </c>
      <c r="H2340" s="9" t="s">
        <v>18</v>
      </c>
      <c r="I2340" s="16" t="str">
        <f>VLOOKUP(F2340,[1]完整分类结果!$E:$G,3,0)</f>
        <v>普通机械制造业</v>
      </c>
      <c r="J2340" s="16">
        <f>VLOOKUP(I2340,[2]行业排放因子!$A:$B,2,0)</f>
        <v>9.6615781889079599</v>
      </c>
      <c r="K2340" s="9" t="s">
        <v>756</v>
      </c>
    </row>
    <row r="2341" spans="1:11" ht="12.5" customHeight="1" x14ac:dyDescent="0.25">
      <c r="A2341" s="5" t="s">
        <v>8718</v>
      </c>
      <c r="B2341" s="6" t="s">
        <v>7578</v>
      </c>
      <c r="C2341" s="6" t="s">
        <v>8384</v>
      </c>
      <c r="D2341" s="6" t="s">
        <v>8710</v>
      </c>
      <c r="E2341" s="6" t="s">
        <v>8719</v>
      </c>
      <c r="F2341" s="6" t="s">
        <v>8720</v>
      </c>
      <c r="G2341" s="9" t="s">
        <v>8721</v>
      </c>
      <c r="H2341" s="9" t="s">
        <v>18</v>
      </c>
      <c r="I2341" s="16" t="str">
        <f>VLOOKUP(F2341,[1]完整分类结果!$E:$G,3,0)</f>
        <v>普通机械制造业</v>
      </c>
      <c r="J2341" s="16">
        <f>VLOOKUP(I2341,[2]行业排放因子!$A:$B,2,0)</f>
        <v>9.6615781889079599</v>
      </c>
      <c r="K2341" s="9" t="s">
        <v>756</v>
      </c>
    </row>
    <row r="2342" spans="1:11" ht="12.5" customHeight="1" x14ac:dyDescent="0.25">
      <c r="A2342" s="5" t="s">
        <v>8722</v>
      </c>
      <c r="B2342" s="6" t="s">
        <v>7578</v>
      </c>
      <c r="C2342" s="6" t="s">
        <v>8384</v>
      </c>
      <c r="D2342" s="6" t="s">
        <v>8710</v>
      </c>
      <c r="E2342" s="6" t="s">
        <v>8723</v>
      </c>
      <c r="F2342" s="6" t="s">
        <v>8724</v>
      </c>
      <c r="G2342" s="9" t="s">
        <v>8725</v>
      </c>
      <c r="H2342" s="9" t="s">
        <v>18</v>
      </c>
      <c r="I2342" s="16" t="str">
        <f>VLOOKUP(F2342,[1]完整分类结果!$E:$G,3,0)</f>
        <v>普通机械制造业</v>
      </c>
      <c r="J2342" s="16">
        <f>VLOOKUP(I2342,[2]行业排放因子!$A:$B,2,0)</f>
        <v>9.6615781889079599</v>
      </c>
      <c r="K2342" s="9" t="s">
        <v>756</v>
      </c>
    </row>
    <row r="2343" spans="1:11" ht="12.5" customHeight="1" x14ac:dyDescent="0.25">
      <c r="A2343" s="5" t="s">
        <v>8726</v>
      </c>
      <c r="B2343" s="6" t="s">
        <v>7578</v>
      </c>
      <c r="C2343" s="6" t="s">
        <v>8384</v>
      </c>
      <c r="D2343" s="6" t="s">
        <v>8710</v>
      </c>
      <c r="E2343" s="6" t="s">
        <v>8727</v>
      </c>
      <c r="F2343" s="6" t="s">
        <v>8728</v>
      </c>
      <c r="G2343" s="9" t="s">
        <v>8729</v>
      </c>
      <c r="H2343" s="9" t="s">
        <v>18</v>
      </c>
      <c r="I2343" s="16" t="str">
        <f>VLOOKUP(F2343,[1]完整分类结果!$E:$G,3,0)</f>
        <v>普通机械制造业</v>
      </c>
      <c r="J2343" s="16">
        <f>VLOOKUP(I2343,[2]行业排放因子!$A:$B,2,0)</f>
        <v>9.6615781889079599</v>
      </c>
      <c r="K2343" s="9" t="s">
        <v>756</v>
      </c>
    </row>
    <row r="2344" spans="1:11" ht="12.5" customHeight="1" x14ac:dyDescent="0.25">
      <c r="A2344" s="5" t="s">
        <v>8730</v>
      </c>
      <c r="B2344" s="6" t="s">
        <v>7578</v>
      </c>
      <c r="C2344" s="6" t="s">
        <v>8384</v>
      </c>
      <c r="D2344" s="6" t="s">
        <v>8710</v>
      </c>
      <c r="E2344" s="6" t="s">
        <v>8731</v>
      </c>
      <c r="F2344" s="6" t="s">
        <v>8732</v>
      </c>
      <c r="G2344" s="9" t="s">
        <v>8733</v>
      </c>
      <c r="H2344" s="9" t="s">
        <v>18</v>
      </c>
      <c r="I2344" s="16" t="str">
        <f>VLOOKUP(F2344,[1]完整分类结果!$E:$G,3,0)</f>
        <v>普通机械制造业</v>
      </c>
      <c r="J2344" s="16">
        <f>VLOOKUP(I2344,[2]行业排放因子!$A:$B,2,0)</f>
        <v>9.6615781889079599</v>
      </c>
      <c r="K2344" s="9" t="s">
        <v>756</v>
      </c>
    </row>
    <row r="2345" spans="1:11" ht="12.5" customHeight="1" x14ac:dyDescent="0.25">
      <c r="A2345" s="5" t="s">
        <v>8734</v>
      </c>
      <c r="B2345" s="6" t="s">
        <v>7578</v>
      </c>
      <c r="C2345" s="6" t="s">
        <v>8384</v>
      </c>
      <c r="D2345" s="6" t="s">
        <v>8710</v>
      </c>
      <c r="E2345" s="6" t="s">
        <v>8735</v>
      </c>
      <c r="F2345" s="6" t="s">
        <v>8736</v>
      </c>
      <c r="G2345" s="9" t="s">
        <v>8737</v>
      </c>
      <c r="H2345" s="9" t="s">
        <v>18</v>
      </c>
      <c r="I2345" s="16" t="str">
        <f>VLOOKUP(F2345,[1]完整分类结果!$E:$G,3,0)</f>
        <v>普通机械制造业</v>
      </c>
      <c r="J2345" s="16">
        <f>VLOOKUP(I2345,[2]行业排放因子!$A:$B,2,0)</f>
        <v>9.6615781889079599</v>
      </c>
      <c r="K2345" s="9" t="s">
        <v>756</v>
      </c>
    </row>
    <row r="2346" spans="1:11" ht="12.5" customHeight="1" x14ac:dyDescent="0.25">
      <c r="A2346" s="5" t="s">
        <v>8738</v>
      </c>
      <c r="B2346" s="6" t="s">
        <v>7578</v>
      </c>
      <c r="C2346" s="6" t="s">
        <v>8384</v>
      </c>
      <c r="D2346" s="6" t="s">
        <v>8710</v>
      </c>
      <c r="E2346" s="6" t="s">
        <v>8739</v>
      </c>
      <c r="F2346" s="6" t="s">
        <v>8740</v>
      </c>
      <c r="G2346" s="9"/>
      <c r="H2346" s="9" t="s">
        <v>18</v>
      </c>
      <c r="I2346" s="16" t="str">
        <f>VLOOKUP(F2346,[1]完整分类结果!$E:$G,3,0)</f>
        <v>普通机械制造业</v>
      </c>
      <c r="J2346" s="16">
        <f>VLOOKUP(I2346,[2]行业排放因子!$A:$B,2,0)</f>
        <v>9.6615781889079599</v>
      </c>
      <c r="K2346" s="9" t="s">
        <v>756</v>
      </c>
    </row>
    <row r="2347" spans="1:11" ht="12.5" customHeight="1" x14ac:dyDescent="0.25">
      <c r="A2347" s="5" t="s">
        <v>8741</v>
      </c>
      <c r="B2347" s="6" t="s">
        <v>7578</v>
      </c>
      <c r="C2347" s="6" t="s">
        <v>8384</v>
      </c>
      <c r="D2347" s="6" t="s">
        <v>8384</v>
      </c>
      <c r="E2347" s="6" t="s">
        <v>8742</v>
      </c>
      <c r="F2347" s="6" t="s">
        <v>8743</v>
      </c>
      <c r="G2347" s="9" t="s">
        <v>8744</v>
      </c>
      <c r="H2347" s="9" t="s">
        <v>18</v>
      </c>
      <c r="I2347" s="16" t="str">
        <f>VLOOKUP(F2347,[1]完整分类结果!$E:$G,3,0)</f>
        <v>普通机械制造业</v>
      </c>
      <c r="J2347" s="16">
        <f>VLOOKUP(I2347,[2]行业排放因子!$A:$B,2,0)</f>
        <v>9.6615781889079599</v>
      </c>
      <c r="K2347" s="9" t="s">
        <v>756</v>
      </c>
    </row>
    <row r="2348" spans="1:11" ht="12.5" customHeight="1" x14ac:dyDescent="0.25">
      <c r="A2348" s="5" t="s">
        <v>8745</v>
      </c>
      <c r="B2348" s="6" t="s">
        <v>7578</v>
      </c>
      <c r="C2348" s="6" t="s">
        <v>8384</v>
      </c>
      <c r="D2348" s="6" t="s">
        <v>8384</v>
      </c>
      <c r="E2348" s="6" t="s">
        <v>8746</v>
      </c>
      <c r="F2348" s="6" t="s">
        <v>8747</v>
      </c>
      <c r="G2348" s="9" t="s">
        <v>8748</v>
      </c>
      <c r="H2348" s="9" t="s">
        <v>18</v>
      </c>
      <c r="I2348" s="16" t="str">
        <f>VLOOKUP(F2348,[1]完整分类结果!$E:$G,3,0)</f>
        <v>普通机械制造业</v>
      </c>
      <c r="J2348" s="16">
        <f>VLOOKUP(I2348,[2]行业排放因子!$A:$B,2,0)</f>
        <v>9.6615781889079599</v>
      </c>
      <c r="K2348" s="9" t="s">
        <v>756</v>
      </c>
    </row>
    <row r="2349" spans="1:11" ht="12.5" customHeight="1" x14ac:dyDescent="0.25">
      <c r="A2349" s="5" t="s">
        <v>8749</v>
      </c>
      <c r="B2349" s="6" t="s">
        <v>7578</v>
      </c>
      <c r="C2349" s="6" t="s">
        <v>8384</v>
      </c>
      <c r="D2349" s="6" t="s">
        <v>8750</v>
      </c>
      <c r="E2349" s="6" t="s">
        <v>8751</v>
      </c>
      <c r="F2349" s="6" t="s">
        <v>8752</v>
      </c>
      <c r="G2349" s="9" t="s">
        <v>8753</v>
      </c>
      <c r="H2349" s="9" t="s">
        <v>18</v>
      </c>
      <c r="I2349" s="16" t="str">
        <f>VLOOKUP(F2349,[1]完整分类结果!$E:$G,3,0)</f>
        <v>普通机械制造业</v>
      </c>
      <c r="J2349" s="16">
        <f>VLOOKUP(I2349,[2]行业排放因子!$A:$B,2,0)</f>
        <v>9.6615781889079599</v>
      </c>
      <c r="K2349" s="9" t="s">
        <v>756</v>
      </c>
    </row>
    <row r="2350" spans="1:11" ht="12.5" customHeight="1" x14ac:dyDescent="0.25">
      <c r="A2350" s="5" t="s">
        <v>8754</v>
      </c>
      <c r="B2350" s="6" t="s">
        <v>7578</v>
      </c>
      <c r="C2350" s="6" t="s">
        <v>8384</v>
      </c>
      <c r="D2350" s="6" t="s">
        <v>8750</v>
      </c>
      <c r="E2350" s="6" t="s">
        <v>8755</v>
      </c>
      <c r="F2350" s="6" t="s">
        <v>8756</v>
      </c>
      <c r="G2350" s="9" t="s">
        <v>8757</v>
      </c>
      <c r="H2350" s="9" t="s">
        <v>18</v>
      </c>
      <c r="I2350" s="16" t="str">
        <f>VLOOKUP(F2350,[1]完整分类结果!$E:$G,3,0)</f>
        <v>普通机械制造业</v>
      </c>
      <c r="J2350" s="16">
        <f>VLOOKUP(I2350,[2]行业排放因子!$A:$B,2,0)</f>
        <v>9.6615781889079599</v>
      </c>
      <c r="K2350" s="9" t="s">
        <v>756</v>
      </c>
    </row>
    <row r="2351" spans="1:11" ht="12.5" customHeight="1" x14ac:dyDescent="0.25">
      <c r="A2351" s="5" t="s">
        <v>8758</v>
      </c>
      <c r="B2351" s="6" t="s">
        <v>7578</v>
      </c>
      <c r="C2351" s="6" t="s">
        <v>8384</v>
      </c>
      <c r="D2351" s="6" t="s">
        <v>8750</v>
      </c>
      <c r="E2351" s="6" t="s">
        <v>8759</v>
      </c>
      <c r="F2351" s="6" t="s">
        <v>8760</v>
      </c>
      <c r="G2351" s="9" t="s">
        <v>8761</v>
      </c>
      <c r="H2351" s="9" t="s">
        <v>18</v>
      </c>
      <c r="I2351" s="16" t="str">
        <f>VLOOKUP(F2351,[1]完整分类结果!$E:$G,3,0)</f>
        <v>普通机械制造业</v>
      </c>
      <c r="J2351" s="16">
        <f>VLOOKUP(I2351,[2]行业排放因子!$A:$B,2,0)</f>
        <v>9.6615781889079599</v>
      </c>
      <c r="K2351" s="9" t="s">
        <v>756</v>
      </c>
    </row>
    <row r="2352" spans="1:11" ht="12.5" customHeight="1" x14ac:dyDescent="0.25">
      <c r="A2352" s="5" t="s">
        <v>8762</v>
      </c>
      <c r="B2352" s="6" t="s">
        <v>7578</v>
      </c>
      <c r="C2352" s="6" t="s">
        <v>8384</v>
      </c>
      <c r="D2352" s="6" t="s">
        <v>8750</v>
      </c>
      <c r="E2352" s="6" t="s">
        <v>8763</v>
      </c>
      <c r="F2352" s="6" t="s">
        <v>8764</v>
      </c>
      <c r="G2352" s="9" t="s">
        <v>8765</v>
      </c>
      <c r="H2352" s="9" t="s">
        <v>18</v>
      </c>
      <c r="I2352" s="16" t="str">
        <f>VLOOKUP(F2352,[1]完整分类结果!$E:$G,3,0)</f>
        <v>普通机械制造业</v>
      </c>
      <c r="J2352" s="16">
        <f>VLOOKUP(I2352,[2]行业排放因子!$A:$B,2,0)</f>
        <v>9.6615781889079599</v>
      </c>
      <c r="K2352" s="9" t="s">
        <v>756</v>
      </c>
    </row>
    <row r="2353" spans="1:11" ht="12.5" customHeight="1" x14ac:dyDescent="0.25">
      <c r="A2353" s="5" t="s">
        <v>8766</v>
      </c>
      <c r="B2353" s="6" t="s">
        <v>7578</v>
      </c>
      <c r="C2353" s="6" t="s">
        <v>8384</v>
      </c>
      <c r="D2353" s="6" t="s">
        <v>8750</v>
      </c>
      <c r="E2353" s="6" t="s">
        <v>8767</v>
      </c>
      <c r="F2353" s="6" t="s">
        <v>8768</v>
      </c>
      <c r="G2353" s="9" t="s">
        <v>8769</v>
      </c>
      <c r="H2353" s="9" t="s">
        <v>18</v>
      </c>
      <c r="I2353" s="16" t="str">
        <f>VLOOKUP(F2353,[1]完整分类结果!$E:$G,3,0)</f>
        <v>普通机械制造业</v>
      </c>
      <c r="J2353" s="16">
        <f>VLOOKUP(I2353,[2]行业排放因子!$A:$B,2,0)</f>
        <v>9.6615781889079599</v>
      </c>
      <c r="K2353" s="9" t="s">
        <v>756</v>
      </c>
    </row>
    <row r="2354" spans="1:11" ht="12.5" customHeight="1" x14ac:dyDescent="0.25">
      <c r="A2354" s="5" t="s">
        <v>8770</v>
      </c>
      <c r="B2354" s="6" t="s">
        <v>7578</v>
      </c>
      <c r="C2354" s="6" t="s">
        <v>8384</v>
      </c>
      <c r="D2354" s="6" t="s">
        <v>8750</v>
      </c>
      <c r="E2354" s="6" t="s">
        <v>8771</v>
      </c>
      <c r="F2354" s="6" t="s">
        <v>8772</v>
      </c>
      <c r="G2354" s="9" t="s">
        <v>8773</v>
      </c>
      <c r="H2354" s="9" t="s">
        <v>18</v>
      </c>
      <c r="I2354" s="16" t="str">
        <f>VLOOKUP(F2354,[1]完整分类结果!$E:$G,3,0)</f>
        <v>普通机械制造业</v>
      </c>
      <c r="J2354" s="16">
        <f>VLOOKUP(I2354,[2]行业排放因子!$A:$B,2,0)</f>
        <v>9.6615781889079599</v>
      </c>
      <c r="K2354" s="9" t="s">
        <v>756</v>
      </c>
    </row>
    <row r="2355" spans="1:11" ht="12.5" customHeight="1" x14ac:dyDescent="0.25">
      <c r="A2355" s="5" t="s">
        <v>8774</v>
      </c>
      <c r="B2355" s="6" t="s">
        <v>7578</v>
      </c>
      <c r="C2355" s="6" t="s">
        <v>8384</v>
      </c>
      <c r="D2355" s="6" t="s">
        <v>8750</v>
      </c>
      <c r="E2355" s="6" t="s">
        <v>8775</v>
      </c>
      <c r="F2355" s="6" t="s">
        <v>8776</v>
      </c>
      <c r="G2355" s="9"/>
      <c r="H2355" s="9" t="s">
        <v>18</v>
      </c>
      <c r="I2355" s="16" t="str">
        <f>VLOOKUP(F2355,[1]完整分类结果!$E:$G,3,0)</f>
        <v>普通机械制造业</v>
      </c>
      <c r="J2355" s="16">
        <f>VLOOKUP(I2355,[2]行业排放因子!$A:$B,2,0)</f>
        <v>9.6615781889079599</v>
      </c>
      <c r="K2355" s="9" t="s">
        <v>756</v>
      </c>
    </row>
    <row r="2356" spans="1:11" ht="12.5" customHeight="1" x14ac:dyDescent="0.25">
      <c r="A2356" s="5" t="s">
        <v>8777</v>
      </c>
      <c r="B2356" s="6" t="s">
        <v>7578</v>
      </c>
      <c r="C2356" s="6" t="s">
        <v>8384</v>
      </c>
      <c r="D2356" s="6" t="s">
        <v>8750</v>
      </c>
      <c r="E2356" s="6" t="s">
        <v>8778</v>
      </c>
      <c r="F2356" s="6" t="s">
        <v>8779</v>
      </c>
      <c r="G2356" s="9" t="s">
        <v>8780</v>
      </c>
      <c r="H2356" s="9" t="s">
        <v>18</v>
      </c>
      <c r="I2356" s="16" t="str">
        <f>VLOOKUP(F2356,[1]完整分类结果!$E:$G,3,0)</f>
        <v>普通机械制造业</v>
      </c>
      <c r="J2356" s="16">
        <f>VLOOKUP(I2356,[2]行业排放因子!$A:$B,2,0)</f>
        <v>9.6615781889079599</v>
      </c>
      <c r="K2356" s="9" t="s">
        <v>756</v>
      </c>
    </row>
    <row r="2357" spans="1:11" ht="12.5" customHeight="1" x14ac:dyDescent="0.25">
      <c r="A2357" s="5" t="s">
        <v>8781</v>
      </c>
      <c r="B2357" s="6" t="s">
        <v>7578</v>
      </c>
      <c r="C2357" s="6" t="s">
        <v>8384</v>
      </c>
      <c r="D2357" s="6" t="s">
        <v>8750</v>
      </c>
      <c r="E2357" s="6" t="s">
        <v>8782</v>
      </c>
      <c r="F2357" s="6" t="s">
        <v>8783</v>
      </c>
      <c r="G2357" s="9" t="s">
        <v>8784</v>
      </c>
      <c r="H2357" s="9" t="s">
        <v>18</v>
      </c>
      <c r="I2357" s="16" t="str">
        <f>VLOOKUP(F2357,[1]完整分类结果!$E:$G,3,0)</f>
        <v>普通机械制造业</v>
      </c>
      <c r="J2357" s="16">
        <f>VLOOKUP(I2357,[2]行业排放因子!$A:$B,2,0)</f>
        <v>9.6615781889079599</v>
      </c>
      <c r="K2357" s="9" t="s">
        <v>756</v>
      </c>
    </row>
    <row r="2358" spans="1:11" ht="12.5" customHeight="1" x14ac:dyDescent="0.25">
      <c r="A2358" s="5" t="s">
        <v>8785</v>
      </c>
      <c r="B2358" s="6" t="s">
        <v>7578</v>
      </c>
      <c r="C2358" s="6" t="s">
        <v>8384</v>
      </c>
      <c r="D2358" s="6" t="s">
        <v>8750</v>
      </c>
      <c r="E2358" s="6" t="s">
        <v>8786</v>
      </c>
      <c r="F2358" s="6" t="s">
        <v>8787</v>
      </c>
      <c r="G2358" s="9"/>
      <c r="H2358" s="9" t="s">
        <v>18</v>
      </c>
      <c r="I2358" s="16" t="str">
        <f>VLOOKUP(F2358,[1]完整分类结果!$E:$G,3,0)</f>
        <v>普通机械制造业</v>
      </c>
      <c r="J2358" s="16">
        <f>VLOOKUP(I2358,[2]行业排放因子!$A:$B,2,0)</f>
        <v>9.6615781889079599</v>
      </c>
      <c r="K2358" s="9" t="s">
        <v>756</v>
      </c>
    </row>
    <row r="2359" spans="1:11" ht="12.5" customHeight="1" x14ac:dyDescent="0.25">
      <c r="A2359" s="5" t="s">
        <v>8788</v>
      </c>
      <c r="B2359" s="6" t="s">
        <v>7578</v>
      </c>
      <c r="C2359" s="6" t="s">
        <v>8384</v>
      </c>
      <c r="D2359" s="6" t="s">
        <v>8750</v>
      </c>
      <c r="E2359" s="6" t="s">
        <v>8789</v>
      </c>
      <c r="F2359" s="6" t="s">
        <v>8790</v>
      </c>
      <c r="G2359" s="9" t="s">
        <v>8791</v>
      </c>
      <c r="H2359" s="9" t="s">
        <v>18</v>
      </c>
      <c r="I2359" s="16" t="str">
        <f>VLOOKUP(F2359,[1]完整分类结果!$E:$G,3,0)</f>
        <v>普通机械制造业</v>
      </c>
      <c r="J2359" s="16">
        <f>VLOOKUP(I2359,[2]行业排放因子!$A:$B,2,0)</f>
        <v>9.6615781889079599</v>
      </c>
      <c r="K2359" s="9" t="s">
        <v>756</v>
      </c>
    </row>
    <row r="2360" spans="1:11" ht="12.5" customHeight="1" x14ac:dyDescent="0.25">
      <c r="A2360" s="5" t="s">
        <v>8792</v>
      </c>
      <c r="B2360" s="6" t="s">
        <v>7578</v>
      </c>
      <c r="C2360" s="6" t="s">
        <v>8384</v>
      </c>
      <c r="D2360" s="6" t="s">
        <v>8750</v>
      </c>
      <c r="E2360" s="6" t="s">
        <v>8793</v>
      </c>
      <c r="F2360" s="6" t="s">
        <v>8794</v>
      </c>
      <c r="G2360" s="9" t="s">
        <v>8795</v>
      </c>
      <c r="H2360" s="9" t="s">
        <v>18</v>
      </c>
      <c r="I2360" s="16" t="str">
        <f>VLOOKUP(F2360,[1]完整分类结果!$E:$G,3,0)</f>
        <v>普通机械制造业</v>
      </c>
      <c r="J2360" s="16">
        <f>VLOOKUP(I2360,[2]行业排放因子!$A:$B,2,0)</f>
        <v>9.6615781889079599</v>
      </c>
      <c r="K2360" s="9" t="s">
        <v>756</v>
      </c>
    </row>
    <row r="2361" spans="1:11" ht="12.5" customHeight="1" x14ac:dyDescent="0.25">
      <c r="A2361" s="5" t="s">
        <v>8796</v>
      </c>
      <c r="B2361" s="6" t="s">
        <v>7578</v>
      </c>
      <c r="C2361" s="6" t="s">
        <v>8384</v>
      </c>
      <c r="D2361" s="6" t="s">
        <v>8750</v>
      </c>
      <c r="E2361" s="6" t="s">
        <v>8797</v>
      </c>
      <c r="F2361" s="6" t="s">
        <v>8798</v>
      </c>
      <c r="G2361" s="9" t="s">
        <v>8799</v>
      </c>
      <c r="H2361" s="9" t="s">
        <v>18</v>
      </c>
      <c r="I2361" s="16" t="str">
        <f>VLOOKUP(F2361,[1]完整分类结果!$E:$G,3,0)</f>
        <v>普通机械制造业</v>
      </c>
      <c r="J2361" s="16">
        <f>VLOOKUP(I2361,[2]行业排放因子!$A:$B,2,0)</f>
        <v>9.6615781889079599</v>
      </c>
      <c r="K2361" s="9" t="s">
        <v>756</v>
      </c>
    </row>
    <row r="2362" spans="1:11" ht="12.5" customHeight="1" x14ac:dyDescent="0.25">
      <c r="A2362" s="5" t="s">
        <v>8800</v>
      </c>
      <c r="B2362" s="6" t="s">
        <v>7578</v>
      </c>
      <c r="C2362" s="6" t="s">
        <v>8384</v>
      </c>
      <c r="D2362" s="6" t="s">
        <v>8750</v>
      </c>
      <c r="E2362" s="6" t="s">
        <v>8801</v>
      </c>
      <c r="F2362" s="6" t="s">
        <v>8802</v>
      </c>
      <c r="G2362" s="9"/>
      <c r="H2362" s="9" t="s">
        <v>18</v>
      </c>
      <c r="I2362" s="16" t="str">
        <f>VLOOKUP(F2362,[1]完整分类结果!$E:$G,3,0)</f>
        <v>普通机械制造业</v>
      </c>
      <c r="J2362" s="16">
        <f>VLOOKUP(I2362,[2]行业排放因子!$A:$B,2,0)</f>
        <v>9.6615781889079599</v>
      </c>
      <c r="K2362" s="9" t="s">
        <v>756</v>
      </c>
    </row>
    <row r="2363" spans="1:11" ht="12.5" customHeight="1" x14ac:dyDescent="0.25">
      <c r="A2363" s="5" t="s">
        <v>8803</v>
      </c>
      <c r="B2363" s="6" t="s">
        <v>7578</v>
      </c>
      <c r="C2363" s="6" t="s">
        <v>8384</v>
      </c>
      <c r="D2363" s="6" t="s">
        <v>8750</v>
      </c>
      <c r="E2363" s="6" t="s">
        <v>8804</v>
      </c>
      <c r="F2363" s="6" t="s">
        <v>8805</v>
      </c>
      <c r="G2363" s="9"/>
      <c r="H2363" s="9" t="s">
        <v>18</v>
      </c>
      <c r="I2363" s="16" t="str">
        <f>VLOOKUP(F2363,[1]完整分类结果!$E:$G,3,0)</f>
        <v>普通机械制造业</v>
      </c>
      <c r="J2363" s="16">
        <f>VLOOKUP(I2363,[2]行业排放因子!$A:$B,2,0)</f>
        <v>9.6615781889079599</v>
      </c>
      <c r="K2363" s="9" t="s">
        <v>756</v>
      </c>
    </row>
    <row r="2364" spans="1:11" ht="12.5" customHeight="1" x14ac:dyDescent="0.25">
      <c r="A2364" s="5" t="s">
        <v>8806</v>
      </c>
      <c r="B2364" s="6" t="s">
        <v>7578</v>
      </c>
      <c r="C2364" s="6" t="s">
        <v>8384</v>
      </c>
      <c r="D2364" s="6" t="s">
        <v>8807</v>
      </c>
      <c r="E2364" s="6" t="s">
        <v>8808</v>
      </c>
      <c r="F2364" s="6" t="s">
        <v>8809</v>
      </c>
      <c r="G2364" s="9" t="s">
        <v>8810</v>
      </c>
      <c r="H2364" s="9" t="s">
        <v>18</v>
      </c>
      <c r="I2364" s="16" t="str">
        <f>VLOOKUP(F2364,[1]完整分类结果!$E:$G,3,0)</f>
        <v>普通机械制造业</v>
      </c>
      <c r="J2364" s="16">
        <f>VLOOKUP(I2364,[2]行业排放因子!$A:$B,2,0)</f>
        <v>9.6615781889079599</v>
      </c>
      <c r="K2364" s="9" t="s">
        <v>756</v>
      </c>
    </row>
    <row r="2365" spans="1:11" ht="12.5" customHeight="1" x14ac:dyDescent="0.25">
      <c r="A2365" s="5" t="s">
        <v>8811</v>
      </c>
      <c r="B2365" s="6" t="s">
        <v>7578</v>
      </c>
      <c r="C2365" s="6" t="s">
        <v>8384</v>
      </c>
      <c r="D2365" s="6" t="s">
        <v>8807</v>
      </c>
      <c r="E2365" s="6" t="s">
        <v>8812</v>
      </c>
      <c r="F2365" s="6" t="s">
        <v>8813</v>
      </c>
      <c r="G2365" s="9" t="s">
        <v>8814</v>
      </c>
      <c r="H2365" s="9" t="s">
        <v>18</v>
      </c>
      <c r="I2365" s="16" t="str">
        <f>VLOOKUP(F2365,[1]完整分类结果!$E:$G,3,0)</f>
        <v>普通机械制造业</v>
      </c>
      <c r="J2365" s="16">
        <f>VLOOKUP(I2365,[2]行业排放因子!$A:$B,2,0)</f>
        <v>9.6615781889079599</v>
      </c>
      <c r="K2365" s="9" t="s">
        <v>756</v>
      </c>
    </row>
    <row r="2366" spans="1:11" ht="12.5" customHeight="1" x14ac:dyDescent="0.25">
      <c r="A2366" s="5" t="s">
        <v>8815</v>
      </c>
      <c r="B2366" s="6" t="s">
        <v>7578</v>
      </c>
      <c r="C2366" s="6" t="s">
        <v>8384</v>
      </c>
      <c r="D2366" s="6" t="s">
        <v>8816</v>
      </c>
      <c r="E2366" s="6" t="s">
        <v>8817</v>
      </c>
      <c r="F2366" s="6" t="s">
        <v>8818</v>
      </c>
      <c r="G2366" s="9" t="s">
        <v>8819</v>
      </c>
      <c r="H2366" s="9" t="s">
        <v>18</v>
      </c>
      <c r="I2366" s="16" t="str">
        <f>VLOOKUP(F2366,[1]完整分类结果!$E:$G,3,0)</f>
        <v>普通机械制造业</v>
      </c>
      <c r="J2366" s="16">
        <f>VLOOKUP(I2366,[2]行业排放因子!$A:$B,2,0)</f>
        <v>9.6615781889079599</v>
      </c>
      <c r="K2366" s="9" t="s">
        <v>756</v>
      </c>
    </row>
    <row r="2367" spans="1:11" ht="12.5" customHeight="1" x14ac:dyDescent="0.25">
      <c r="A2367" s="5" t="s">
        <v>8820</v>
      </c>
      <c r="B2367" s="6" t="s">
        <v>7578</v>
      </c>
      <c r="C2367" s="6" t="s">
        <v>8384</v>
      </c>
      <c r="D2367" s="6" t="s">
        <v>8816</v>
      </c>
      <c r="E2367" s="6" t="s">
        <v>8821</v>
      </c>
      <c r="F2367" s="6" t="s">
        <v>8822</v>
      </c>
      <c r="G2367" s="9" t="s">
        <v>8823</v>
      </c>
      <c r="H2367" s="9" t="s">
        <v>18</v>
      </c>
      <c r="I2367" s="16" t="str">
        <f>VLOOKUP(F2367,[1]完整分类结果!$E:$G,3,0)</f>
        <v>普通机械制造业</v>
      </c>
      <c r="J2367" s="16">
        <f>VLOOKUP(I2367,[2]行业排放因子!$A:$B,2,0)</f>
        <v>9.6615781889079599</v>
      </c>
      <c r="K2367" s="9" t="s">
        <v>756</v>
      </c>
    </row>
    <row r="2368" spans="1:11" ht="12.5" customHeight="1" x14ac:dyDescent="0.25">
      <c r="A2368" s="5" t="s">
        <v>8824</v>
      </c>
      <c r="B2368" s="6" t="s">
        <v>7578</v>
      </c>
      <c r="C2368" s="6" t="s">
        <v>8384</v>
      </c>
      <c r="D2368" s="6" t="s">
        <v>8816</v>
      </c>
      <c r="E2368" s="6" t="s">
        <v>8825</v>
      </c>
      <c r="F2368" s="6" t="s">
        <v>8826</v>
      </c>
      <c r="G2368" s="9" t="s">
        <v>8827</v>
      </c>
      <c r="H2368" s="9" t="s">
        <v>18</v>
      </c>
      <c r="I2368" s="16" t="str">
        <f>VLOOKUP(F2368,[1]完整分类结果!$E:$G,3,0)</f>
        <v>普通机械制造业</v>
      </c>
      <c r="J2368" s="16">
        <f>VLOOKUP(I2368,[2]行业排放因子!$A:$B,2,0)</f>
        <v>9.6615781889079599</v>
      </c>
      <c r="K2368" s="9" t="s">
        <v>756</v>
      </c>
    </row>
    <row r="2369" spans="1:11" ht="12.5" customHeight="1" x14ac:dyDescent="0.25">
      <c r="A2369" s="5" t="s">
        <v>8828</v>
      </c>
      <c r="B2369" s="6" t="s">
        <v>7578</v>
      </c>
      <c r="C2369" s="6" t="s">
        <v>8384</v>
      </c>
      <c r="D2369" s="6" t="s">
        <v>8816</v>
      </c>
      <c r="E2369" s="6" t="s">
        <v>8829</v>
      </c>
      <c r="F2369" s="6" t="s">
        <v>8830</v>
      </c>
      <c r="G2369" s="9" t="s">
        <v>8831</v>
      </c>
      <c r="H2369" s="9" t="s">
        <v>18</v>
      </c>
      <c r="I2369" s="16" t="str">
        <f>VLOOKUP(F2369,[1]完整分类结果!$E:$G,3,0)</f>
        <v>普通机械制造业</v>
      </c>
      <c r="J2369" s="16">
        <f>VLOOKUP(I2369,[2]行业排放因子!$A:$B,2,0)</f>
        <v>9.6615781889079599</v>
      </c>
      <c r="K2369" s="9" t="s">
        <v>756</v>
      </c>
    </row>
    <row r="2370" spans="1:11" ht="12.5" customHeight="1" x14ac:dyDescent="0.25">
      <c r="A2370" s="5" t="s">
        <v>8832</v>
      </c>
      <c r="B2370" s="6" t="s">
        <v>7578</v>
      </c>
      <c r="C2370" s="6" t="s">
        <v>8384</v>
      </c>
      <c r="D2370" s="6" t="s">
        <v>8816</v>
      </c>
      <c r="E2370" s="6" t="s">
        <v>8833</v>
      </c>
      <c r="F2370" s="6" t="s">
        <v>8834</v>
      </c>
      <c r="G2370" s="9" t="s">
        <v>8835</v>
      </c>
      <c r="H2370" s="9" t="s">
        <v>18</v>
      </c>
      <c r="I2370" s="16" t="str">
        <f>VLOOKUP(F2370,[1]完整分类结果!$E:$G,3,0)</f>
        <v>普通机械制造业</v>
      </c>
      <c r="J2370" s="16">
        <f>VLOOKUP(I2370,[2]行业排放因子!$A:$B,2,0)</f>
        <v>9.6615781889079599</v>
      </c>
      <c r="K2370" s="9" t="s">
        <v>756</v>
      </c>
    </row>
    <row r="2371" spans="1:11" ht="12.5" customHeight="1" x14ac:dyDescent="0.25">
      <c r="A2371" s="5" t="s">
        <v>8836</v>
      </c>
      <c r="B2371" s="6" t="s">
        <v>7578</v>
      </c>
      <c r="C2371" s="6" t="s">
        <v>8384</v>
      </c>
      <c r="D2371" s="6" t="s">
        <v>8816</v>
      </c>
      <c r="E2371" s="6" t="s">
        <v>8837</v>
      </c>
      <c r="F2371" s="6" t="s">
        <v>8838</v>
      </c>
      <c r="G2371" s="9" t="s">
        <v>8839</v>
      </c>
      <c r="H2371" s="9" t="s">
        <v>18</v>
      </c>
      <c r="I2371" s="16" t="str">
        <f>VLOOKUP(F2371,[1]完整分类结果!$E:$G,3,0)</f>
        <v>普通机械制造业</v>
      </c>
      <c r="J2371" s="16">
        <f>VLOOKUP(I2371,[2]行业排放因子!$A:$B,2,0)</f>
        <v>9.6615781889079599</v>
      </c>
      <c r="K2371" s="9" t="s">
        <v>756</v>
      </c>
    </row>
    <row r="2372" spans="1:11" ht="12.5" customHeight="1" x14ac:dyDescent="0.25">
      <c r="A2372" s="5" t="s">
        <v>8840</v>
      </c>
      <c r="B2372" s="6" t="s">
        <v>7578</v>
      </c>
      <c r="C2372" s="6" t="s">
        <v>8384</v>
      </c>
      <c r="D2372" s="6" t="s">
        <v>8816</v>
      </c>
      <c r="E2372" s="6" t="s">
        <v>8841</v>
      </c>
      <c r="F2372" s="6" t="s">
        <v>8842</v>
      </c>
      <c r="G2372" s="9" t="s">
        <v>8843</v>
      </c>
      <c r="H2372" s="9" t="s">
        <v>18</v>
      </c>
      <c r="I2372" s="16" t="str">
        <f>VLOOKUP(F2372,[1]完整分类结果!$E:$G,3,0)</f>
        <v>普通机械制造业</v>
      </c>
      <c r="J2372" s="16">
        <f>VLOOKUP(I2372,[2]行业排放因子!$A:$B,2,0)</f>
        <v>9.6615781889079599</v>
      </c>
      <c r="K2372" s="9" t="s">
        <v>756</v>
      </c>
    </row>
    <row r="2373" spans="1:11" ht="12.5" customHeight="1" x14ac:dyDescent="0.25">
      <c r="A2373" s="5" t="s">
        <v>8844</v>
      </c>
      <c r="B2373" s="6" t="s">
        <v>7578</v>
      </c>
      <c r="C2373" s="6" t="s">
        <v>8384</v>
      </c>
      <c r="D2373" s="6" t="s">
        <v>8816</v>
      </c>
      <c r="E2373" s="6" t="s">
        <v>8845</v>
      </c>
      <c r="F2373" s="6" t="s">
        <v>8846</v>
      </c>
      <c r="G2373" s="9" t="s">
        <v>8847</v>
      </c>
      <c r="H2373" s="9" t="s">
        <v>18</v>
      </c>
      <c r="I2373" s="16" t="str">
        <f>VLOOKUP(F2373,[1]完整分类结果!$E:$G,3,0)</f>
        <v>普通机械制造业</v>
      </c>
      <c r="J2373" s="16">
        <f>VLOOKUP(I2373,[2]行业排放因子!$A:$B,2,0)</f>
        <v>9.6615781889079599</v>
      </c>
      <c r="K2373" s="9" t="s">
        <v>756</v>
      </c>
    </row>
    <row r="2374" spans="1:11" ht="12.5" customHeight="1" x14ac:dyDescent="0.25">
      <c r="A2374" s="5" t="s">
        <v>8848</v>
      </c>
      <c r="B2374" s="6" t="s">
        <v>7578</v>
      </c>
      <c r="C2374" s="6" t="s">
        <v>8384</v>
      </c>
      <c r="D2374" s="6" t="s">
        <v>8816</v>
      </c>
      <c r="E2374" s="6" t="s">
        <v>8849</v>
      </c>
      <c r="F2374" s="6" t="s">
        <v>8850</v>
      </c>
      <c r="G2374" s="9" t="s">
        <v>8851</v>
      </c>
      <c r="H2374" s="9" t="s">
        <v>18</v>
      </c>
      <c r="I2374" s="16" t="str">
        <f>VLOOKUP(F2374,[1]完整分类结果!$E:$G,3,0)</f>
        <v>普通机械制造业</v>
      </c>
      <c r="J2374" s="16">
        <f>VLOOKUP(I2374,[2]行业排放因子!$A:$B,2,0)</f>
        <v>9.6615781889079599</v>
      </c>
      <c r="K2374" s="9" t="s">
        <v>756</v>
      </c>
    </row>
    <row r="2375" spans="1:11" ht="12.5" customHeight="1" x14ac:dyDescent="0.25">
      <c r="A2375" s="5" t="s">
        <v>8852</v>
      </c>
      <c r="B2375" s="6" t="s">
        <v>7578</v>
      </c>
      <c r="C2375" s="6" t="s">
        <v>8384</v>
      </c>
      <c r="D2375" s="6" t="s">
        <v>8853</v>
      </c>
      <c r="E2375" s="6" t="s">
        <v>8854</v>
      </c>
      <c r="F2375" s="6" t="s">
        <v>8855</v>
      </c>
      <c r="G2375" s="9" t="s">
        <v>8856</v>
      </c>
      <c r="H2375" s="9" t="s">
        <v>18</v>
      </c>
      <c r="I2375" s="16" t="str">
        <f>VLOOKUP(F2375,[1]完整分类结果!$E:$G,3,0)</f>
        <v>普通机械制造业</v>
      </c>
      <c r="J2375" s="16">
        <f>VLOOKUP(I2375,[2]行业排放因子!$A:$B,2,0)</f>
        <v>9.6615781889079599</v>
      </c>
      <c r="K2375" s="9" t="s">
        <v>756</v>
      </c>
    </row>
    <row r="2376" spans="1:11" ht="12.5" customHeight="1" x14ac:dyDescent="0.25">
      <c r="A2376" s="5" t="s">
        <v>8857</v>
      </c>
      <c r="B2376" s="6" t="s">
        <v>7578</v>
      </c>
      <c r="C2376" s="6" t="s">
        <v>8384</v>
      </c>
      <c r="D2376" s="6" t="s">
        <v>8853</v>
      </c>
      <c r="E2376" s="6" t="s">
        <v>8858</v>
      </c>
      <c r="F2376" s="6" t="s">
        <v>8859</v>
      </c>
      <c r="G2376" s="9" t="s">
        <v>8860</v>
      </c>
      <c r="H2376" s="9" t="s">
        <v>18</v>
      </c>
      <c r="I2376" s="16" t="str">
        <f>VLOOKUP(F2376,[1]完整分类结果!$E:$G,3,0)</f>
        <v>普通机械制造业</v>
      </c>
      <c r="J2376" s="16">
        <f>VLOOKUP(I2376,[2]行业排放因子!$A:$B,2,0)</f>
        <v>9.6615781889079599</v>
      </c>
      <c r="K2376" s="9" t="s">
        <v>756</v>
      </c>
    </row>
    <row r="2377" spans="1:11" ht="12.5" customHeight="1" x14ac:dyDescent="0.25">
      <c r="A2377" s="5" t="s">
        <v>8861</v>
      </c>
      <c r="B2377" s="6" t="s">
        <v>7578</v>
      </c>
      <c r="C2377" s="6" t="s">
        <v>8384</v>
      </c>
      <c r="D2377" s="6" t="s">
        <v>8750</v>
      </c>
      <c r="E2377" s="6" t="s">
        <v>8862</v>
      </c>
      <c r="F2377" s="6" t="s">
        <v>8863</v>
      </c>
      <c r="G2377" s="9" t="s">
        <v>8864</v>
      </c>
      <c r="H2377" s="9" t="s">
        <v>18</v>
      </c>
      <c r="I2377" s="16" t="str">
        <f>VLOOKUP(F2377,[1]完整分类结果!$E:$G,3,0)</f>
        <v>普通机械制造业</v>
      </c>
      <c r="J2377" s="16">
        <f>VLOOKUP(I2377,[2]行业排放因子!$A:$B,2,0)</f>
        <v>9.6615781889079599</v>
      </c>
      <c r="K2377" s="9" t="s">
        <v>756</v>
      </c>
    </row>
    <row r="2378" spans="1:11" ht="12.5" customHeight="1" x14ac:dyDescent="0.25">
      <c r="A2378" s="5" t="s">
        <v>8865</v>
      </c>
      <c r="B2378" s="6" t="s">
        <v>7578</v>
      </c>
      <c r="C2378" s="6" t="s">
        <v>8384</v>
      </c>
      <c r="D2378" s="6" t="s">
        <v>8750</v>
      </c>
      <c r="E2378" s="6" t="s">
        <v>8866</v>
      </c>
      <c r="F2378" s="6" t="s">
        <v>8867</v>
      </c>
      <c r="G2378" s="9" t="s">
        <v>8868</v>
      </c>
      <c r="H2378" s="9" t="s">
        <v>18</v>
      </c>
      <c r="I2378" s="16" t="str">
        <f>VLOOKUP(F2378,[1]完整分类结果!$E:$G,3,0)</f>
        <v>普通机械制造业</v>
      </c>
      <c r="J2378" s="16">
        <f>VLOOKUP(I2378,[2]行业排放因子!$A:$B,2,0)</f>
        <v>9.6615781889079599</v>
      </c>
      <c r="K2378" s="9" t="s">
        <v>756</v>
      </c>
    </row>
    <row r="2379" spans="1:11" ht="12.5" customHeight="1" x14ac:dyDescent="0.25">
      <c r="A2379" s="5" t="s">
        <v>8869</v>
      </c>
      <c r="B2379" s="6" t="s">
        <v>7578</v>
      </c>
      <c r="C2379" s="6" t="s">
        <v>8384</v>
      </c>
      <c r="D2379" s="6" t="s">
        <v>8750</v>
      </c>
      <c r="E2379" s="6" t="s">
        <v>8870</v>
      </c>
      <c r="F2379" s="6" t="s">
        <v>8871</v>
      </c>
      <c r="G2379" s="9" t="s">
        <v>8872</v>
      </c>
      <c r="H2379" s="9" t="s">
        <v>18</v>
      </c>
      <c r="I2379" s="16" t="str">
        <f>VLOOKUP(F2379,[1]完整分类结果!$E:$G,3,0)</f>
        <v>普通机械制造业</v>
      </c>
      <c r="J2379" s="16">
        <f>VLOOKUP(I2379,[2]行业排放因子!$A:$B,2,0)</f>
        <v>9.6615781889079599</v>
      </c>
      <c r="K2379" s="9" t="s">
        <v>756</v>
      </c>
    </row>
    <row r="2380" spans="1:11" ht="12.5" customHeight="1" x14ac:dyDescent="0.25">
      <c r="A2380" s="5" t="s">
        <v>8873</v>
      </c>
      <c r="B2380" s="6" t="s">
        <v>7578</v>
      </c>
      <c r="C2380" s="6" t="s">
        <v>8384</v>
      </c>
      <c r="D2380" s="6" t="s">
        <v>8750</v>
      </c>
      <c r="E2380" s="6" t="s">
        <v>8874</v>
      </c>
      <c r="F2380" s="6" t="s">
        <v>8875</v>
      </c>
      <c r="G2380" s="9"/>
      <c r="H2380" s="9" t="s">
        <v>18</v>
      </c>
      <c r="I2380" s="16" t="str">
        <f>VLOOKUP(F2380,[1]完整分类结果!$E:$G,3,0)</f>
        <v>普通机械制造业</v>
      </c>
      <c r="J2380" s="16">
        <f>VLOOKUP(I2380,[2]行业排放因子!$A:$B,2,0)</f>
        <v>9.6615781889079599</v>
      </c>
      <c r="K2380" s="9" t="s">
        <v>756</v>
      </c>
    </row>
    <row r="2381" spans="1:11" ht="12.5" customHeight="1" x14ac:dyDescent="0.25">
      <c r="A2381" s="5" t="s">
        <v>8876</v>
      </c>
      <c r="B2381" s="6" t="s">
        <v>7578</v>
      </c>
      <c r="C2381" s="6" t="s">
        <v>8384</v>
      </c>
      <c r="D2381" s="6" t="s">
        <v>8750</v>
      </c>
      <c r="E2381" s="6" t="s">
        <v>8877</v>
      </c>
      <c r="F2381" s="6" t="s">
        <v>8878</v>
      </c>
      <c r="G2381" s="9" t="s">
        <v>8879</v>
      </c>
      <c r="H2381" s="9" t="s">
        <v>18</v>
      </c>
      <c r="I2381" s="16" t="str">
        <f>VLOOKUP(F2381,[1]完整分类结果!$E:$G,3,0)</f>
        <v>普通机械制造业</v>
      </c>
      <c r="J2381" s="16">
        <f>VLOOKUP(I2381,[2]行业排放因子!$A:$B,2,0)</f>
        <v>9.6615781889079599</v>
      </c>
      <c r="K2381" s="9" t="s">
        <v>756</v>
      </c>
    </row>
    <row r="2382" spans="1:11" ht="12.5" customHeight="1" x14ac:dyDescent="0.25">
      <c r="A2382" s="5" t="s">
        <v>8880</v>
      </c>
      <c r="B2382" s="6" t="s">
        <v>7578</v>
      </c>
      <c r="C2382" s="6" t="s">
        <v>8384</v>
      </c>
      <c r="D2382" s="6" t="s">
        <v>8750</v>
      </c>
      <c r="E2382" s="6" t="s">
        <v>8881</v>
      </c>
      <c r="F2382" s="6" t="s">
        <v>8882</v>
      </c>
      <c r="G2382" s="9" t="s">
        <v>8883</v>
      </c>
      <c r="H2382" s="9" t="s">
        <v>18</v>
      </c>
      <c r="I2382" s="16" t="str">
        <f>VLOOKUP(F2382,[1]完整分类结果!$E:$G,3,0)</f>
        <v>普通机械制造业</v>
      </c>
      <c r="J2382" s="16">
        <f>VLOOKUP(I2382,[2]行业排放因子!$A:$B,2,0)</f>
        <v>9.6615781889079599</v>
      </c>
      <c r="K2382" s="9" t="s">
        <v>756</v>
      </c>
    </row>
    <row r="2383" spans="1:11" ht="12.5" customHeight="1" x14ac:dyDescent="0.25">
      <c r="A2383" s="5" t="s">
        <v>8884</v>
      </c>
      <c r="B2383" s="6" t="s">
        <v>7578</v>
      </c>
      <c r="C2383" s="6" t="s">
        <v>8384</v>
      </c>
      <c r="D2383" s="6" t="s">
        <v>8885</v>
      </c>
      <c r="E2383" s="6" t="s">
        <v>8886</v>
      </c>
      <c r="F2383" s="6" t="s">
        <v>8887</v>
      </c>
      <c r="G2383" s="9" t="s">
        <v>8888</v>
      </c>
      <c r="H2383" s="9" t="s">
        <v>18</v>
      </c>
      <c r="I2383" s="16" t="str">
        <f>VLOOKUP(F2383,[1]完整分类结果!$E:$G,3,0)</f>
        <v>普通机械制造业</v>
      </c>
      <c r="J2383" s="16">
        <f>VLOOKUP(I2383,[2]行业排放因子!$A:$B,2,0)</f>
        <v>9.6615781889079599</v>
      </c>
      <c r="K2383" s="9" t="s">
        <v>756</v>
      </c>
    </row>
    <row r="2384" spans="1:11" ht="12.5" customHeight="1" x14ac:dyDescent="0.25">
      <c r="A2384" s="5" t="s">
        <v>8889</v>
      </c>
      <c r="B2384" s="6" t="s">
        <v>7578</v>
      </c>
      <c r="C2384" s="6" t="s">
        <v>8384</v>
      </c>
      <c r="D2384" s="6" t="s">
        <v>8885</v>
      </c>
      <c r="E2384" s="6" t="s">
        <v>8890</v>
      </c>
      <c r="F2384" s="6" t="s">
        <v>8891</v>
      </c>
      <c r="G2384" s="9" t="s">
        <v>8892</v>
      </c>
      <c r="H2384" s="9" t="s">
        <v>18</v>
      </c>
      <c r="I2384" s="16" t="str">
        <f>VLOOKUP(F2384,[1]完整分类结果!$E:$G,3,0)</f>
        <v>普通机械制造业</v>
      </c>
      <c r="J2384" s="16">
        <f>VLOOKUP(I2384,[2]行业排放因子!$A:$B,2,0)</f>
        <v>9.6615781889079599</v>
      </c>
      <c r="K2384" s="9" t="s">
        <v>756</v>
      </c>
    </row>
    <row r="2385" spans="1:11" ht="12.5" customHeight="1" x14ac:dyDescent="0.25">
      <c r="A2385" s="5" t="s">
        <v>8893</v>
      </c>
      <c r="B2385" s="6" t="s">
        <v>7578</v>
      </c>
      <c r="C2385" s="6" t="s">
        <v>8384</v>
      </c>
      <c r="D2385" s="6" t="s">
        <v>8885</v>
      </c>
      <c r="E2385" s="6" t="s">
        <v>8894</v>
      </c>
      <c r="F2385" s="6" t="s">
        <v>8895</v>
      </c>
      <c r="G2385" s="9" t="s">
        <v>8896</v>
      </c>
      <c r="H2385" s="9" t="s">
        <v>18</v>
      </c>
      <c r="I2385" s="16" t="str">
        <f>VLOOKUP(F2385,[1]完整分类结果!$E:$G,3,0)</f>
        <v>普通机械制造业</v>
      </c>
      <c r="J2385" s="16">
        <f>VLOOKUP(I2385,[2]行业排放因子!$A:$B,2,0)</f>
        <v>9.6615781889079599</v>
      </c>
      <c r="K2385" s="9" t="s">
        <v>756</v>
      </c>
    </row>
    <row r="2386" spans="1:11" ht="12.5" customHeight="1" x14ac:dyDescent="0.25">
      <c r="A2386" s="5" t="s">
        <v>8897</v>
      </c>
      <c r="B2386" s="6" t="s">
        <v>7578</v>
      </c>
      <c r="C2386" s="6" t="s">
        <v>8384</v>
      </c>
      <c r="D2386" s="6" t="s">
        <v>8885</v>
      </c>
      <c r="E2386" s="6" t="s">
        <v>8898</v>
      </c>
      <c r="F2386" s="6" t="s">
        <v>8899</v>
      </c>
      <c r="G2386" s="9" t="s">
        <v>8900</v>
      </c>
      <c r="H2386" s="9" t="s">
        <v>18</v>
      </c>
      <c r="I2386" s="16" t="str">
        <f>VLOOKUP(F2386,[1]完整分类结果!$E:$G,3,0)</f>
        <v>普通机械制造业</v>
      </c>
      <c r="J2386" s="16">
        <f>VLOOKUP(I2386,[2]行业排放因子!$A:$B,2,0)</f>
        <v>9.6615781889079599</v>
      </c>
      <c r="K2386" s="9" t="s">
        <v>756</v>
      </c>
    </row>
    <row r="2387" spans="1:11" ht="12.5" customHeight="1" x14ac:dyDescent="0.25">
      <c r="A2387" s="5" t="s">
        <v>8901</v>
      </c>
      <c r="B2387" s="6" t="s">
        <v>7578</v>
      </c>
      <c r="C2387" s="6" t="s">
        <v>8384</v>
      </c>
      <c r="D2387" s="6" t="s">
        <v>8885</v>
      </c>
      <c r="E2387" s="6" t="s">
        <v>8902</v>
      </c>
      <c r="F2387" s="6" t="s">
        <v>8903</v>
      </c>
      <c r="G2387" s="9" t="s">
        <v>8904</v>
      </c>
      <c r="H2387" s="9" t="s">
        <v>18</v>
      </c>
      <c r="I2387" s="16" t="str">
        <f>VLOOKUP(F2387,[1]完整分类结果!$E:$G,3,0)</f>
        <v>普通机械制造业</v>
      </c>
      <c r="J2387" s="16">
        <f>VLOOKUP(I2387,[2]行业排放因子!$A:$B,2,0)</f>
        <v>9.6615781889079599</v>
      </c>
      <c r="K2387" s="9" t="s">
        <v>756</v>
      </c>
    </row>
    <row r="2388" spans="1:11" ht="12.5" customHeight="1" x14ac:dyDescent="0.25">
      <c r="A2388" s="5" t="s">
        <v>8905</v>
      </c>
      <c r="B2388" s="6" t="s">
        <v>7578</v>
      </c>
      <c r="C2388" s="6" t="s">
        <v>8384</v>
      </c>
      <c r="D2388" s="6" t="s">
        <v>8906</v>
      </c>
      <c r="E2388" s="6" t="s">
        <v>8907</v>
      </c>
      <c r="F2388" s="6" t="s">
        <v>8908</v>
      </c>
      <c r="G2388" s="9" t="s">
        <v>8909</v>
      </c>
      <c r="H2388" s="9" t="s">
        <v>18</v>
      </c>
      <c r="I2388" s="16" t="str">
        <f>VLOOKUP(F2388,[1]完整分类结果!$E:$G,3,0)</f>
        <v>普通机械制造业</v>
      </c>
      <c r="J2388" s="16">
        <f>VLOOKUP(I2388,[2]行业排放因子!$A:$B,2,0)</f>
        <v>9.6615781889079599</v>
      </c>
      <c r="K2388" s="9" t="s">
        <v>756</v>
      </c>
    </row>
    <row r="2389" spans="1:11" ht="12.5" customHeight="1" x14ac:dyDescent="0.25">
      <c r="A2389" s="5" t="s">
        <v>8910</v>
      </c>
      <c r="B2389" s="6" t="s">
        <v>7578</v>
      </c>
      <c r="C2389" s="6" t="s">
        <v>8384</v>
      </c>
      <c r="D2389" s="6" t="s">
        <v>8906</v>
      </c>
      <c r="E2389" s="6" t="s">
        <v>8911</v>
      </c>
      <c r="F2389" s="6" t="s">
        <v>8912</v>
      </c>
      <c r="G2389" s="9" t="s">
        <v>8913</v>
      </c>
      <c r="H2389" s="9" t="s">
        <v>18</v>
      </c>
      <c r="I2389" s="16" t="str">
        <f>VLOOKUP(F2389,[1]完整分类结果!$E:$G,3,0)</f>
        <v>普通机械制造业</v>
      </c>
      <c r="J2389" s="16">
        <f>VLOOKUP(I2389,[2]行业排放因子!$A:$B,2,0)</f>
        <v>9.6615781889079599</v>
      </c>
      <c r="K2389" s="9" t="s">
        <v>756</v>
      </c>
    </row>
    <row r="2390" spans="1:11" ht="12.5" customHeight="1" x14ac:dyDescent="0.25">
      <c r="A2390" s="5" t="s">
        <v>8914</v>
      </c>
      <c r="B2390" s="6" t="s">
        <v>7578</v>
      </c>
      <c r="C2390" s="6" t="s">
        <v>8384</v>
      </c>
      <c r="D2390" s="6" t="s">
        <v>8906</v>
      </c>
      <c r="E2390" s="6" t="s">
        <v>8915</v>
      </c>
      <c r="F2390" s="6" t="s">
        <v>8916</v>
      </c>
      <c r="G2390" s="9" t="s">
        <v>8917</v>
      </c>
      <c r="H2390" s="9" t="s">
        <v>18</v>
      </c>
      <c r="I2390" s="16" t="str">
        <f>VLOOKUP(F2390,[1]完整分类结果!$E:$G,3,0)</f>
        <v>普通机械制造业</v>
      </c>
      <c r="J2390" s="16">
        <f>VLOOKUP(I2390,[2]行业排放因子!$A:$B,2,0)</f>
        <v>9.6615781889079599</v>
      </c>
      <c r="K2390" s="9" t="s">
        <v>756</v>
      </c>
    </row>
    <row r="2391" spans="1:11" ht="12.5" customHeight="1" x14ac:dyDescent="0.25">
      <c r="A2391" s="5" t="s">
        <v>8918</v>
      </c>
      <c r="B2391" s="6" t="s">
        <v>7578</v>
      </c>
      <c r="C2391" s="6" t="s">
        <v>8384</v>
      </c>
      <c r="D2391" s="6" t="s">
        <v>8906</v>
      </c>
      <c r="E2391" s="6" t="s">
        <v>8919</v>
      </c>
      <c r="F2391" s="6" t="s">
        <v>8920</v>
      </c>
      <c r="G2391" s="9" t="s">
        <v>8921</v>
      </c>
      <c r="H2391" s="9" t="s">
        <v>18</v>
      </c>
      <c r="I2391" s="16" t="str">
        <f>VLOOKUP(F2391,[1]完整分类结果!$E:$G,3,0)</f>
        <v>普通机械制造业</v>
      </c>
      <c r="J2391" s="16">
        <f>VLOOKUP(I2391,[2]行业排放因子!$A:$B,2,0)</f>
        <v>9.6615781889079599</v>
      </c>
      <c r="K2391" s="9" t="s">
        <v>756</v>
      </c>
    </row>
    <row r="2392" spans="1:11" ht="12.5" customHeight="1" x14ac:dyDescent="0.25">
      <c r="A2392" s="5" t="s">
        <v>8922</v>
      </c>
      <c r="B2392" s="6" t="s">
        <v>7578</v>
      </c>
      <c r="C2392" s="6" t="s">
        <v>8384</v>
      </c>
      <c r="D2392" s="6" t="s">
        <v>8906</v>
      </c>
      <c r="E2392" s="6" t="s">
        <v>8923</v>
      </c>
      <c r="F2392" s="6" t="s">
        <v>8924</v>
      </c>
      <c r="G2392" s="9"/>
      <c r="H2392" s="9" t="s">
        <v>18</v>
      </c>
      <c r="I2392" s="16" t="str">
        <f>VLOOKUP(F2392,[1]完整分类结果!$E:$G,3,0)</f>
        <v>普通机械制造业</v>
      </c>
      <c r="J2392" s="16">
        <f>VLOOKUP(I2392,[2]行业排放因子!$A:$B,2,0)</f>
        <v>9.6615781889079599</v>
      </c>
      <c r="K2392" s="9" t="s">
        <v>756</v>
      </c>
    </row>
    <row r="2393" spans="1:11" ht="12.5" customHeight="1" x14ac:dyDescent="0.25">
      <c r="A2393" s="5" t="s">
        <v>8925</v>
      </c>
      <c r="B2393" s="6" t="s">
        <v>7578</v>
      </c>
      <c r="C2393" s="6" t="s">
        <v>8384</v>
      </c>
      <c r="D2393" s="6" t="s">
        <v>8906</v>
      </c>
      <c r="E2393" s="6" t="s">
        <v>8926</v>
      </c>
      <c r="F2393" s="6" t="s">
        <v>8927</v>
      </c>
      <c r="G2393" s="9" t="s">
        <v>8928</v>
      </c>
      <c r="H2393" s="9" t="s">
        <v>18</v>
      </c>
      <c r="I2393" s="16" t="str">
        <f>VLOOKUP(F2393,[1]完整分类结果!$E:$G,3,0)</f>
        <v>普通机械制造业</v>
      </c>
      <c r="J2393" s="16">
        <f>VLOOKUP(I2393,[2]行业排放因子!$A:$B,2,0)</f>
        <v>9.6615781889079599</v>
      </c>
      <c r="K2393" s="9" t="s">
        <v>756</v>
      </c>
    </row>
    <row r="2394" spans="1:11" ht="12.5" customHeight="1" x14ac:dyDescent="0.25">
      <c r="A2394" s="5" t="s">
        <v>8929</v>
      </c>
      <c r="B2394" s="6" t="s">
        <v>7578</v>
      </c>
      <c r="C2394" s="6" t="s">
        <v>8384</v>
      </c>
      <c r="D2394" s="6" t="s">
        <v>8930</v>
      </c>
      <c r="E2394" s="6" t="s">
        <v>8931</v>
      </c>
      <c r="F2394" s="6" t="s">
        <v>8932</v>
      </c>
      <c r="G2394" s="9" t="s">
        <v>8933</v>
      </c>
      <c r="H2394" s="9" t="s">
        <v>18</v>
      </c>
      <c r="I2394" s="16" t="str">
        <f>VLOOKUP(F2394,[1]完整分类结果!$E:$G,3,0)</f>
        <v>普通机械制造业</v>
      </c>
      <c r="J2394" s="16">
        <f>VLOOKUP(I2394,[2]行业排放因子!$A:$B,2,0)</f>
        <v>9.6615781889079599</v>
      </c>
      <c r="K2394" s="9" t="s">
        <v>756</v>
      </c>
    </row>
    <row r="2395" spans="1:11" ht="12.5" customHeight="1" x14ac:dyDescent="0.25">
      <c r="A2395" s="5" t="s">
        <v>8934</v>
      </c>
      <c r="B2395" s="6" t="s">
        <v>7578</v>
      </c>
      <c r="C2395" s="6" t="s">
        <v>8384</v>
      </c>
      <c r="D2395" s="6" t="s">
        <v>8930</v>
      </c>
      <c r="E2395" s="6" t="s">
        <v>8935</v>
      </c>
      <c r="F2395" s="6" t="s">
        <v>8936</v>
      </c>
      <c r="G2395" s="9" t="s">
        <v>8937</v>
      </c>
      <c r="H2395" s="9" t="s">
        <v>18</v>
      </c>
      <c r="I2395" s="16" t="str">
        <f>VLOOKUP(F2395,[1]完整分类结果!$E:$G,3,0)</f>
        <v>普通机械制造业</v>
      </c>
      <c r="J2395" s="16">
        <f>VLOOKUP(I2395,[2]行业排放因子!$A:$B,2,0)</f>
        <v>9.6615781889079599</v>
      </c>
      <c r="K2395" s="9" t="s">
        <v>756</v>
      </c>
    </row>
    <row r="2396" spans="1:11" ht="12.5" customHeight="1" x14ac:dyDescent="0.25">
      <c r="A2396" s="5" t="s">
        <v>8938</v>
      </c>
      <c r="B2396" s="6" t="s">
        <v>7578</v>
      </c>
      <c r="C2396" s="6" t="s">
        <v>8384</v>
      </c>
      <c r="D2396" s="6" t="s">
        <v>8930</v>
      </c>
      <c r="E2396" s="6" t="s">
        <v>8939</v>
      </c>
      <c r="F2396" s="6" t="s">
        <v>8940</v>
      </c>
      <c r="G2396" s="9" t="s">
        <v>8941</v>
      </c>
      <c r="H2396" s="9" t="s">
        <v>18</v>
      </c>
      <c r="I2396" s="16" t="str">
        <f>VLOOKUP(F2396,[1]完整分类结果!$E:$G,3,0)</f>
        <v>普通机械制造业</v>
      </c>
      <c r="J2396" s="16">
        <f>VLOOKUP(I2396,[2]行业排放因子!$A:$B,2,0)</f>
        <v>9.6615781889079599</v>
      </c>
      <c r="K2396" s="9" t="s">
        <v>756</v>
      </c>
    </row>
    <row r="2397" spans="1:11" ht="12.5" customHeight="1" x14ac:dyDescent="0.25">
      <c r="A2397" s="5" t="s">
        <v>8942</v>
      </c>
      <c r="B2397" s="6" t="s">
        <v>7578</v>
      </c>
      <c r="C2397" s="6" t="s">
        <v>8384</v>
      </c>
      <c r="D2397" s="6" t="s">
        <v>8930</v>
      </c>
      <c r="E2397" s="6" t="s">
        <v>8943</v>
      </c>
      <c r="F2397" s="6" t="s">
        <v>8944</v>
      </c>
      <c r="G2397" s="9" t="s">
        <v>8945</v>
      </c>
      <c r="H2397" s="9" t="s">
        <v>18</v>
      </c>
      <c r="I2397" s="16" t="str">
        <f>VLOOKUP(F2397,[1]完整分类结果!$E:$G,3,0)</f>
        <v>普通机械制造业</v>
      </c>
      <c r="J2397" s="16">
        <f>VLOOKUP(I2397,[2]行业排放因子!$A:$B,2,0)</f>
        <v>9.6615781889079599</v>
      </c>
      <c r="K2397" s="9" t="s">
        <v>756</v>
      </c>
    </row>
    <row r="2398" spans="1:11" ht="12.5" customHeight="1" x14ac:dyDescent="0.25">
      <c r="A2398" s="5" t="s">
        <v>8946</v>
      </c>
      <c r="B2398" s="6" t="s">
        <v>7578</v>
      </c>
      <c r="C2398" s="6" t="s">
        <v>8384</v>
      </c>
      <c r="D2398" s="6" t="s">
        <v>8930</v>
      </c>
      <c r="E2398" s="6" t="s">
        <v>8947</v>
      </c>
      <c r="F2398" s="6" t="s">
        <v>8948</v>
      </c>
      <c r="G2398" s="9"/>
      <c r="H2398" s="9" t="s">
        <v>18</v>
      </c>
      <c r="I2398" s="16" t="str">
        <f>VLOOKUP(F2398,[1]完整分类结果!$E:$G,3,0)</f>
        <v>普通机械制造业</v>
      </c>
      <c r="J2398" s="16">
        <f>VLOOKUP(I2398,[2]行业排放因子!$A:$B,2,0)</f>
        <v>9.6615781889079599</v>
      </c>
      <c r="K2398" s="9" t="s">
        <v>756</v>
      </c>
    </row>
    <row r="2399" spans="1:11" ht="12.5" customHeight="1" x14ac:dyDescent="0.25">
      <c r="A2399" s="5" t="s">
        <v>8949</v>
      </c>
      <c r="B2399" s="6" t="s">
        <v>7578</v>
      </c>
      <c r="C2399" s="6" t="s">
        <v>8384</v>
      </c>
      <c r="D2399" s="6" t="s">
        <v>8930</v>
      </c>
      <c r="E2399" s="6" t="s">
        <v>8950</v>
      </c>
      <c r="F2399" s="6" t="s">
        <v>8951</v>
      </c>
      <c r="G2399" s="9" t="s">
        <v>8952</v>
      </c>
      <c r="H2399" s="9" t="s">
        <v>18</v>
      </c>
      <c r="I2399" s="16" t="str">
        <f>VLOOKUP(F2399,[1]完整分类结果!$E:$G,3,0)</f>
        <v>普通机械制造业</v>
      </c>
      <c r="J2399" s="16">
        <f>VLOOKUP(I2399,[2]行业排放因子!$A:$B,2,0)</f>
        <v>9.6615781889079599</v>
      </c>
      <c r="K2399" s="9" t="s">
        <v>756</v>
      </c>
    </row>
    <row r="2400" spans="1:11" ht="12.5" customHeight="1" x14ac:dyDescent="0.25">
      <c r="A2400" s="5" t="s">
        <v>8953</v>
      </c>
      <c r="B2400" s="6" t="s">
        <v>7578</v>
      </c>
      <c r="C2400" s="6" t="s">
        <v>8384</v>
      </c>
      <c r="D2400" s="6" t="s">
        <v>8930</v>
      </c>
      <c r="E2400" s="6" t="s">
        <v>8954</v>
      </c>
      <c r="F2400" s="6" t="s">
        <v>8955</v>
      </c>
      <c r="G2400" s="9"/>
      <c r="H2400" s="9" t="s">
        <v>18</v>
      </c>
      <c r="I2400" s="16" t="str">
        <f>VLOOKUP(F2400,[1]完整分类结果!$E:$G,3,0)</f>
        <v>普通机械制造业</v>
      </c>
      <c r="J2400" s="16">
        <f>VLOOKUP(I2400,[2]行业排放因子!$A:$B,2,0)</f>
        <v>9.6615781889079599</v>
      </c>
      <c r="K2400" s="9" t="s">
        <v>756</v>
      </c>
    </row>
    <row r="2401" spans="1:11" ht="12.5" customHeight="1" x14ac:dyDescent="0.25">
      <c r="A2401" s="5" t="s">
        <v>8956</v>
      </c>
      <c r="B2401" s="6" t="s">
        <v>7578</v>
      </c>
      <c r="C2401" s="6" t="s">
        <v>8384</v>
      </c>
      <c r="D2401" s="6" t="s">
        <v>8957</v>
      </c>
      <c r="E2401" s="6" t="s">
        <v>8958</v>
      </c>
      <c r="F2401" s="6" t="s">
        <v>8959</v>
      </c>
      <c r="G2401" s="9" t="s">
        <v>8960</v>
      </c>
      <c r="H2401" s="9" t="s">
        <v>18</v>
      </c>
      <c r="I2401" s="16" t="str">
        <f>VLOOKUP(F2401,[1]完整分类结果!$E:$G,3,0)</f>
        <v>普通机械制造业</v>
      </c>
      <c r="J2401" s="16">
        <f>VLOOKUP(I2401,[2]行业排放因子!$A:$B,2,0)</f>
        <v>9.6615781889079599</v>
      </c>
      <c r="K2401" s="9" t="s">
        <v>756</v>
      </c>
    </row>
    <row r="2402" spans="1:11" ht="12.5" customHeight="1" x14ac:dyDescent="0.25">
      <c r="A2402" s="5" t="s">
        <v>8961</v>
      </c>
      <c r="B2402" s="6" t="s">
        <v>7578</v>
      </c>
      <c r="C2402" s="6" t="s">
        <v>8384</v>
      </c>
      <c r="D2402" s="6" t="s">
        <v>8957</v>
      </c>
      <c r="E2402" s="6" t="s">
        <v>8962</v>
      </c>
      <c r="F2402" s="6" t="s">
        <v>8963</v>
      </c>
      <c r="G2402" s="9" t="s">
        <v>8964</v>
      </c>
      <c r="H2402" s="9" t="s">
        <v>18</v>
      </c>
      <c r="I2402" s="16" t="str">
        <f>VLOOKUP(F2402,[1]完整分类结果!$E:$G,3,0)</f>
        <v>普通机械制造业</v>
      </c>
      <c r="J2402" s="16">
        <f>VLOOKUP(I2402,[2]行业排放因子!$A:$B,2,0)</f>
        <v>9.6615781889079599</v>
      </c>
      <c r="K2402" s="9" t="s">
        <v>756</v>
      </c>
    </row>
    <row r="2403" spans="1:11" ht="12.5" customHeight="1" x14ac:dyDescent="0.25">
      <c r="A2403" s="5" t="s">
        <v>8965</v>
      </c>
      <c r="B2403" s="6" t="s">
        <v>7578</v>
      </c>
      <c r="C2403" s="6" t="s">
        <v>8384</v>
      </c>
      <c r="D2403" s="6" t="s">
        <v>8957</v>
      </c>
      <c r="E2403" s="6" t="s">
        <v>8966</v>
      </c>
      <c r="F2403" s="6" t="s">
        <v>8967</v>
      </c>
      <c r="G2403" s="9" t="s">
        <v>8968</v>
      </c>
      <c r="H2403" s="9" t="s">
        <v>18</v>
      </c>
      <c r="I2403" s="16" t="str">
        <f>VLOOKUP(F2403,[1]完整分类结果!$E:$G,3,0)</f>
        <v>普通机械制造业</v>
      </c>
      <c r="J2403" s="16">
        <f>VLOOKUP(I2403,[2]行业排放因子!$A:$B,2,0)</f>
        <v>9.6615781889079599</v>
      </c>
      <c r="K2403" s="9" t="s">
        <v>756</v>
      </c>
    </row>
    <row r="2404" spans="1:11" ht="12.5" customHeight="1" x14ac:dyDescent="0.25">
      <c r="A2404" s="5" t="s">
        <v>8969</v>
      </c>
      <c r="B2404" s="6" t="s">
        <v>7578</v>
      </c>
      <c r="C2404" s="6" t="s">
        <v>8384</v>
      </c>
      <c r="D2404" s="6" t="s">
        <v>8957</v>
      </c>
      <c r="E2404" s="6" t="s">
        <v>8970</v>
      </c>
      <c r="F2404" s="6" t="s">
        <v>8971</v>
      </c>
      <c r="G2404" s="9" t="s">
        <v>8972</v>
      </c>
      <c r="H2404" s="9" t="s">
        <v>18</v>
      </c>
      <c r="I2404" s="16" t="str">
        <f>VLOOKUP(F2404,[1]完整分类结果!$E:$G,3,0)</f>
        <v>普通机械制造业</v>
      </c>
      <c r="J2404" s="16">
        <f>VLOOKUP(I2404,[2]行业排放因子!$A:$B,2,0)</f>
        <v>9.6615781889079599</v>
      </c>
      <c r="K2404" s="9" t="s">
        <v>756</v>
      </c>
    </row>
    <row r="2405" spans="1:11" ht="12.5" customHeight="1" x14ac:dyDescent="0.25">
      <c r="A2405" s="5" t="s">
        <v>8973</v>
      </c>
      <c r="B2405" s="6" t="s">
        <v>7578</v>
      </c>
      <c r="C2405" s="6" t="s">
        <v>8384</v>
      </c>
      <c r="D2405" s="6" t="s">
        <v>8957</v>
      </c>
      <c r="E2405" s="6" t="s">
        <v>8974</v>
      </c>
      <c r="F2405" s="6" t="s">
        <v>8975</v>
      </c>
      <c r="G2405" s="9" t="s">
        <v>8976</v>
      </c>
      <c r="H2405" s="9" t="s">
        <v>18</v>
      </c>
      <c r="I2405" s="16" t="str">
        <f>VLOOKUP(F2405,[1]完整分类结果!$E:$G,3,0)</f>
        <v>普通机械制造业</v>
      </c>
      <c r="J2405" s="16">
        <f>VLOOKUP(I2405,[2]行业排放因子!$A:$B,2,0)</f>
        <v>9.6615781889079599</v>
      </c>
      <c r="K2405" s="9" t="s">
        <v>756</v>
      </c>
    </row>
    <row r="2406" spans="1:11" ht="12.5" customHeight="1" x14ac:dyDescent="0.25">
      <c r="A2406" s="5" t="s">
        <v>8977</v>
      </c>
      <c r="B2406" s="6" t="s">
        <v>7578</v>
      </c>
      <c r="C2406" s="6" t="s">
        <v>8384</v>
      </c>
      <c r="D2406" s="6" t="s">
        <v>8957</v>
      </c>
      <c r="E2406" s="6" t="s">
        <v>8978</v>
      </c>
      <c r="F2406" s="6" t="s">
        <v>8979</v>
      </c>
      <c r="G2406" s="9" t="s">
        <v>8980</v>
      </c>
      <c r="H2406" s="9" t="s">
        <v>18</v>
      </c>
      <c r="I2406" s="16" t="str">
        <f>VLOOKUP(F2406,[1]完整分类结果!$E:$G,3,0)</f>
        <v>普通机械制造业</v>
      </c>
      <c r="J2406" s="16">
        <f>VLOOKUP(I2406,[2]行业排放因子!$A:$B,2,0)</f>
        <v>9.6615781889079599</v>
      </c>
      <c r="K2406" s="9" t="s">
        <v>756</v>
      </c>
    </row>
    <row r="2407" spans="1:11" ht="12.5" customHeight="1" x14ac:dyDescent="0.25">
      <c r="A2407" s="5" t="s">
        <v>8981</v>
      </c>
      <c r="B2407" s="6" t="s">
        <v>7578</v>
      </c>
      <c r="C2407" s="6" t="s">
        <v>8384</v>
      </c>
      <c r="D2407" s="6" t="s">
        <v>8957</v>
      </c>
      <c r="E2407" s="6" t="s">
        <v>8982</v>
      </c>
      <c r="F2407" s="6" t="s">
        <v>8983</v>
      </c>
      <c r="G2407" s="9"/>
      <c r="H2407" s="9" t="s">
        <v>18</v>
      </c>
      <c r="I2407" s="16" t="str">
        <f>VLOOKUP(F2407,[1]完整分类结果!$E:$G,3,0)</f>
        <v>普通机械制造业</v>
      </c>
      <c r="J2407" s="16">
        <f>VLOOKUP(I2407,[2]行业排放因子!$A:$B,2,0)</f>
        <v>9.6615781889079599</v>
      </c>
      <c r="K2407" s="9" t="s">
        <v>756</v>
      </c>
    </row>
    <row r="2408" spans="1:11" ht="12.5" customHeight="1" x14ac:dyDescent="0.25">
      <c r="A2408" s="5" t="s">
        <v>8984</v>
      </c>
      <c r="B2408" s="6" t="s">
        <v>7578</v>
      </c>
      <c r="C2408" s="6" t="s">
        <v>8384</v>
      </c>
      <c r="D2408" s="6" t="s">
        <v>8985</v>
      </c>
      <c r="E2408" s="6" t="s">
        <v>8986</v>
      </c>
      <c r="F2408" s="6" t="s">
        <v>8987</v>
      </c>
      <c r="G2408" s="9" t="s">
        <v>8988</v>
      </c>
      <c r="H2408" s="9" t="s">
        <v>18</v>
      </c>
      <c r="I2408" s="16" t="str">
        <f>VLOOKUP(F2408,[1]完整分类结果!$E:$G,3,0)</f>
        <v>普通机械制造业</v>
      </c>
      <c r="J2408" s="16">
        <f>VLOOKUP(I2408,[2]行业排放因子!$A:$B,2,0)</f>
        <v>9.6615781889079599</v>
      </c>
      <c r="K2408" s="9" t="s">
        <v>756</v>
      </c>
    </row>
    <row r="2409" spans="1:11" ht="12.5" customHeight="1" x14ac:dyDescent="0.25">
      <c r="A2409" s="5" t="s">
        <v>8989</v>
      </c>
      <c r="B2409" s="6" t="s">
        <v>7578</v>
      </c>
      <c r="C2409" s="6" t="s">
        <v>8384</v>
      </c>
      <c r="D2409" s="6" t="s">
        <v>8985</v>
      </c>
      <c r="E2409" s="6" t="s">
        <v>8990</v>
      </c>
      <c r="F2409" s="6" t="s">
        <v>8991</v>
      </c>
      <c r="G2409" s="9" t="s">
        <v>8992</v>
      </c>
      <c r="H2409" s="9" t="s">
        <v>18</v>
      </c>
      <c r="I2409" s="16" t="str">
        <f>VLOOKUP(F2409,[1]完整分类结果!$E:$G,3,0)</f>
        <v>普通机械制造业</v>
      </c>
      <c r="J2409" s="16">
        <f>VLOOKUP(I2409,[2]行业排放因子!$A:$B,2,0)</f>
        <v>9.6615781889079599</v>
      </c>
      <c r="K2409" s="9" t="s">
        <v>756</v>
      </c>
    </row>
    <row r="2410" spans="1:11" ht="12.5" customHeight="1" x14ac:dyDescent="0.25">
      <c r="A2410" s="5" t="s">
        <v>8993</v>
      </c>
      <c r="B2410" s="6" t="s">
        <v>7578</v>
      </c>
      <c r="C2410" s="6" t="s">
        <v>8384</v>
      </c>
      <c r="D2410" s="6" t="s">
        <v>8985</v>
      </c>
      <c r="E2410" s="6" t="s">
        <v>8994</v>
      </c>
      <c r="F2410" s="6" t="s">
        <v>8995</v>
      </c>
      <c r="G2410" s="9" t="s">
        <v>8996</v>
      </c>
      <c r="H2410" s="9" t="s">
        <v>18</v>
      </c>
      <c r="I2410" s="16" t="str">
        <f>VLOOKUP(F2410,[1]完整分类结果!$E:$G,3,0)</f>
        <v>普通机械制造业</v>
      </c>
      <c r="J2410" s="16">
        <f>VLOOKUP(I2410,[2]行业排放因子!$A:$B,2,0)</f>
        <v>9.6615781889079599</v>
      </c>
      <c r="K2410" s="9" t="s">
        <v>756</v>
      </c>
    </row>
    <row r="2411" spans="1:11" ht="12.5" customHeight="1" x14ac:dyDescent="0.25">
      <c r="A2411" s="5" t="s">
        <v>8997</v>
      </c>
      <c r="B2411" s="6" t="s">
        <v>7578</v>
      </c>
      <c r="C2411" s="6" t="s">
        <v>8384</v>
      </c>
      <c r="D2411" s="6" t="s">
        <v>8985</v>
      </c>
      <c r="E2411" s="6" t="s">
        <v>8998</v>
      </c>
      <c r="F2411" s="6" t="s">
        <v>8999</v>
      </c>
      <c r="G2411" s="9" t="s">
        <v>9000</v>
      </c>
      <c r="H2411" s="9" t="s">
        <v>18</v>
      </c>
      <c r="I2411" s="16" t="str">
        <f>VLOOKUP(F2411,[1]完整分类结果!$E:$G,3,0)</f>
        <v>普通机械制造业</v>
      </c>
      <c r="J2411" s="16">
        <f>VLOOKUP(I2411,[2]行业排放因子!$A:$B,2,0)</f>
        <v>9.6615781889079599</v>
      </c>
      <c r="K2411" s="9" t="s">
        <v>756</v>
      </c>
    </row>
    <row r="2412" spans="1:11" ht="12.5" customHeight="1" x14ac:dyDescent="0.25">
      <c r="A2412" s="5" t="s">
        <v>9001</v>
      </c>
      <c r="B2412" s="6" t="s">
        <v>7578</v>
      </c>
      <c r="C2412" s="6" t="s">
        <v>8384</v>
      </c>
      <c r="D2412" s="6" t="s">
        <v>9002</v>
      </c>
      <c r="E2412" s="6" t="s">
        <v>9003</v>
      </c>
      <c r="F2412" s="6" t="s">
        <v>9004</v>
      </c>
      <c r="G2412" s="9" t="s">
        <v>9005</v>
      </c>
      <c r="H2412" s="9" t="s">
        <v>18</v>
      </c>
      <c r="I2412" s="16" t="str">
        <f>VLOOKUP(F2412,[1]完整分类结果!$E:$G,3,0)</f>
        <v>普通机械制造业</v>
      </c>
      <c r="J2412" s="16">
        <f>VLOOKUP(I2412,[2]行业排放因子!$A:$B,2,0)</f>
        <v>9.6615781889079599</v>
      </c>
      <c r="K2412" s="9" t="s">
        <v>756</v>
      </c>
    </row>
    <row r="2413" spans="1:11" ht="12.5" customHeight="1" x14ac:dyDescent="0.25">
      <c r="A2413" s="5" t="s">
        <v>9006</v>
      </c>
      <c r="B2413" s="6" t="s">
        <v>7578</v>
      </c>
      <c r="C2413" s="6" t="s">
        <v>8384</v>
      </c>
      <c r="D2413" s="6" t="s">
        <v>9002</v>
      </c>
      <c r="E2413" s="6" t="s">
        <v>9007</v>
      </c>
      <c r="F2413" s="6" t="s">
        <v>9008</v>
      </c>
      <c r="G2413" s="9" t="s">
        <v>9009</v>
      </c>
      <c r="H2413" s="9" t="s">
        <v>18</v>
      </c>
      <c r="I2413" s="16" t="str">
        <f>VLOOKUP(F2413,[1]完整分类结果!$E:$G,3,0)</f>
        <v>普通机械制造业</v>
      </c>
      <c r="J2413" s="16">
        <f>VLOOKUP(I2413,[2]行业排放因子!$A:$B,2,0)</f>
        <v>9.6615781889079599</v>
      </c>
      <c r="K2413" s="9" t="s">
        <v>756</v>
      </c>
    </row>
    <row r="2414" spans="1:11" ht="12.5" customHeight="1" x14ac:dyDescent="0.25">
      <c r="A2414" s="5" t="s">
        <v>9010</v>
      </c>
      <c r="B2414" s="6" t="s">
        <v>7578</v>
      </c>
      <c r="C2414" s="6" t="s">
        <v>8384</v>
      </c>
      <c r="D2414" s="6" t="s">
        <v>9002</v>
      </c>
      <c r="E2414" s="6" t="s">
        <v>9011</v>
      </c>
      <c r="F2414" s="6" t="s">
        <v>9012</v>
      </c>
      <c r="G2414" s="9" t="s">
        <v>9013</v>
      </c>
      <c r="H2414" s="9" t="s">
        <v>18</v>
      </c>
      <c r="I2414" s="16" t="str">
        <f>VLOOKUP(F2414,[1]完整分类结果!$E:$G,3,0)</f>
        <v>普通机械制造业</v>
      </c>
      <c r="J2414" s="16">
        <f>VLOOKUP(I2414,[2]行业排放因子!$A:$B,2,0)</f>
        <v>9.6615781889079599</v>
      </c>
      <c r="K2414" s="9" t="s">
        <v>756</v>
      </c>
    </row>
    <row r="2415" spans="1:11" ht="12.5" customHeight="1" x14ac:dyDescent="0.25">
      <c r="A2415" s="5" t="s">
        <v>9014</v>
      </c>
      <c r="B2415" s="6" t="s">
        <v>7578</v>
      </c>
      <c r="C2415" s="6" t="s">
        <v>8384</v>
      </c>
      <c r="D2415" s="6" t="s">
        <v>9002</v>
      </c>
      <c r="E2415" s="6" t="s">
        <v>9015</v>
      </c>
      <c r="F2415" s="6" t="s">
        <v>9016</v>
      </c>
      <c r="G2415" s="9" t="s">
        <v>9017</v>
      </c>
      <c r="H2415" s="9" t="s">
        <v>18</v>
      </c>
      <c r="I2415" s="16" t="str">
        <f>VLOOKUP(F2415,[1]完整分类结果!$E:$G,3,0)</f>
        <v>普通机械制造业</v>
      </c>
      <c r="J2415" s="16">
        <f>VLOOKUP(I2415,[2]行业排放因子!$A:$B,2,0)</f>
        <v>9.6615781889079599</v>
      </c>
      <c r="K2415" s="9" t="s">
        <v>756</v>
      </c>
    </row>
    <row r="2416" spans="1:11" ht="12.5" customHeight="1" x14ac:dyDescent="0.25">
      <c r="A2416" s="5" t="s">
        <v>9018</v>
      </c>
      <c r="B2416" s="6" t="s">
        <v>7578</v>
      </c>
      <c r="C2416" s="6" t="s">
        <v>8384</v>
      </c>
      <c r="D2416" s="6" t="s">
        <v>9002</v>
      </c>
      <c r="E2416" s="6" t="s">
        <v>9019</v>
      </c>
      <c r="F2416" s="6" t="s">
        <v>9020</v>
      </c>
      <c r="G2416" s="9"/>
      <c r="H2416" s="9" t="s">
        <v>18</v>
      </c>
      <c r="I2416" s="16" t="str">
        <f>VLOOKUP(F2416,[1]完整分类结果!$E:$G,3,0)</f>
        <v>普通机械制造业</v>
      </c>
      <c r="J2416" s="16">
        <f>VLOOKUP(I2416,[2]行业排放因子!$A:$B,2,0)</f>
        <v>9.6615781889079599</v>
      </c>
      <c r="K2416" s="9" t="s">
        <v>756</v>
      </c>
    </row>
    <row r="2417" spans="1:11" ht="12.5" customHeight="1" x14ac:dyDescent="0.25">
      <c r="A2417" s="5" t="s">
        <v>9021</v>
      </c>
      <c r="B2417" s="6" t="s">
        <v>7578</v>
      </c>
      <c r="C2417" s="6" t="s">
        <v>8384</v>
      </c>
      <c r="D2417" s="6" t="s">
        <v>9022</v>
      </c>
      <c r="E2417" s="6" t="s">
        <v>9023</v>
      </c>
      <c r="F2417" s="6" t="s">
        <v>9024</v>
      </c>
      <c r="G2417" s="9" t="s">
        <v>9025</v>
      </c>
      <c r="H2417" s="9" t="s">
        <v>18</v>
      </c>
      <c r="I2417" s="16" t="str">
        <f>VLOOKUP(F2417,[1]完整分类结果!$E:$G,3,0)</f>
        <v>普通机械制造业</v>
      </c>
      <c r="J2417" s="16">
        <f>VLOOKUP(I2417,[2]行业排放因子!$A:$B,2,0)</f>
        <v>9.6615781889079599</v>
      </c>
      <c r="K2417" s="9" t="s">
        <v>756</v>
      </c>
    </row>
    <row r="2418" spans="1:11" ht="12.5" customHeight="1" x14ac:dyDescent="0.25">
      <c r="A2418" s="5" t="s">
        <v>9026</v>
      </c>
      <c r="B2418" s="6" t="s">
        <v>7578</v>
      </c>
      <c r="C2418" s="6" t="s">
        <v>8384</v>
      </c>
      <c r="D2418" s="6" t="s">
        <v>9022</v>
      </c>
      <c r="E2418" s="6" t="s">
        <v>9027</v>
      </c>
      <c r="F2418" s="6" t="s">
        <v>9028</v>
      </c>
      <c r="G2418" s="9" t="s">
        <v>9029</v>
      </c>
      <c r="H2418" s="9" t="s">
        <v>18</v>
      </c>
      <c r="I2418" s="16" t="str">
        <f>VLOOKUP(F2418,[1]完整分类结果!$E:$G,3,0)</f>
        <v>普通机械制造业</v>
      </c>
      <c r="J2418" s="16">
        <f>VLOOKUP(I2418,[2]行业排放因子!$A:$B,2,0)</f>
        <v>9.6615781889079599</v>
      </c>
      <c r="K2418" s="9" t="s">
        <v>756</v>
      </c>
    </row>
    <row r="2419" spans="1:11" ht="12.5" customHeight="1" x14ac:dyDescent="0.25">
      <c r="A2419" s="5" t="s">
        <v>9030</v>
      </c>
      <c r="B2419" s="6" t="s">
        <v>7578</v>
      </c>
      <c r="C2419" s="6" t="s">
        <v>8384</v>
      </c>
      <c r="D2419" s="6" t="s">
        <v>9022</v>
      </c>
      <c r="E2419" s="6" t="s">
        <v>9031</v>
      </c>
      <c r="F2419" s="6" t="s">
        <v>9032</v>
      </c>
      <c r="G2419" s="9" t="s">
        <v>9033</v>
      </c>
      <c r="H2419" s="9" t="s">
        <v>18</v>
      </c>
      <c r="I2419" s="16" t="str">
        <f>VLOOKUP(F2419,[1]完整分类结果!$E:$G,3,0)</f>
        <v>普通机械制造业</v>
      </c>
      <c r="J2419" s="16">
        <f>VLOOKUP(I2419,[2]行业排放因子!$A:$B,2,0)</f>
        <v>9.6615781889079599</v>
      </c>
      <c r="K2419" s="9" t="s">
        <v>756</v>
      </c>
    </row>
    <row r="2420" spans="1:11" ht="12.5" customHeight="1" x14ac:dyDescent="0.25">
      <c r="A2420" s="5" t="s">
        <v>9034</v>
      </c>
      <c r="B2420" s="6" t="s">
        <v>7578</v>
      </c>
      <c r="C2420" s="6" t="s">
        <v>8384</v>
      </c>
      <c r="D2420" s="6" t="s">
        <v>9035</v>
      </c>
      <c r="E2420" s="6" t="s">
        <v>9036</v>
      </c>
      <c r="F2420" s="6" t="s">
        <v>9037</v>
      </c>
      <c r="G2420" s="9" t="s">
        <v>9038</v>
      </c>
      <c r="H2420" s="9" t="s">
        <v>18</v>
      </c>
      <c r="I2420" s="16" t="str">
        <f>VLOOKUP(F2420,[1]完整分类结果!$E:$G,3,0)</f>
        <v>普通机械制造业</v>
      </c>
      <c r="J2420" s="16">
        <f>VLOOKUP(I2420,[2]行业排放因子!$A:$B,2,0)</f>
        <v>9.6615781889079599</v>
      </c>
      <c r="K2420" s="9" t="s">
        <v>756</v>
      </c>
    </row>
    <row r="2421" spans="1:11" ht="12.5" customHeight="1" x14ac:dyDescent="0.25">
      <c r="A2421" s="5" t="s">
        <v>9039</v>
      </c>
      <c r="B2421" s="6" t="s">
        <v>7578</v>
      </c>
      <c r="C2421" s="6" t="s">
        <v>8384</v>
      </c>
      <c r="D2421" s="6" t="s">
        <v>9035</v>
      </c>
      <c r="E2421" s="6" t="s">
        <v>9040</v>
      </c>
      <c r="F2421" s="6" t="s">
        <v>9041</v>
      </c>
      <c r="G2421" s="9" t="s">
        <v>9042</v>
      </c>
      <c r="H2421" s="9" t="s">
        <v>18</v>
      </c>
      <c r="I2421" s="16" t="str">
        <f>VLOOKUP(F2421,[1]完整分类结果!$E:$G,3,0)</f>
        <v>普通机械制造业</v>
      </c>
      <c r="J2421" s="16">
        <f>VLOOKUP(I2421,[2]行业排放因子!$A:$B,2,0)</f>
        <v>9.6615781889079599</v>
      </c>
      <c r="K2421" s="9" t="s">
        <v>756</v>
      </c>
    </row>
    <row r="2422" spans="1:11" ht="12.5" customHeight="1" x14ac:dyDescent="0.25">
      <c r="A2422" s="5" t="s">
        <v>9043</v>
      </c>
      <c r="B2422" s="6" t="s">
        <v>7578</v>
      </c>
      <c r="C2422" s="6" t="s">
        <v>8384</v>
      </c>
      <c r="D2422" s="6" t="s">
        <v>9035</v>
      </c>
      <c r="E2422" s="6" t="s">
        <v>9044</v>
      </c>
      <c r="F2422" s="6" t="s">
        <v>9045</v>
      </c>
      <c r="G2422" s="9" t="s">
        <v>9046</v>
      </c>
      <c r="H2422" s="9" t="s">
        <v>18</v>
      </c>
      <c r="I2422" s="16" t="str">
        <f>VLOOKUP(F2422,[1]完整分类结果!$E:$G,3,0)</f>
        <v>普通机械制造业</v>
      </c>
      <c r="J2422" s="16">
        <f>VLOOKUP(I2422,[2]行业排放因子!$A:$B,2,0)</f>
        <v>9.6615781889079599</v>
      </c>
      <c r="K2422" s="9" t="s">
        <v>756</v>
      </c>
    </row>
    <row r="2423" spans="1:11" ht="12.5" customHeight="1" x14ac:dyDescent="0.25">
      <c r="A2423" s="5" t="s">
        <v>9047</v>
      </c>
      <c r="B2423" s="6" t="s">
        <v>7578</v>
      </c>
      <c r="C2423" s="6" t="s">
        <v>8384</v>
      </c>
      <c r="D2423" s="6" t="s">
        <v>9035</v>
      </c>
      <c r="E2423" s="6" t="s">
        <v>9048</v>
      </c>
      <c r="F2423" s="6" t="s">
        <v>9049</v>
      </c>
      <c r="G2423" s="9" t="s">
        <v>9050</v>
      </c>
      <c r="H2423" s="9" t="s">
        <v>18</v>
      </c>
      <c r="I2423" s="16" t="str">
        <f>VLOOKUP(F2423,[1]完整分类结果!$E:$G,3,0)</f>
        <v>普通机械制造业</v>
      </c>
      <c r="J2423" s="16">
        <f>VLOOKUP(I2423,[2]行业排放因子!$A:$B,2,0)</f>
        <v>9.6615781889079599</v>
      </c>
      <c r="K2423" s="9" t="s">
        <v>756</v>
      </c>
    </row>
    <row r="2424" spans="1:11" ht="12.5" customHeight="1" x14ac:dyDescent="0.25">
      <c r="A2424" s="5" t="s">
        <v>9051</v>
      </c>
      <c r="B2424" s="6" t="s">
        <v>7578</v>
      </c>
      <c r="C2424" s="6" t="s">
        <v>8384</v>
      </c>
      <c r="D2424" s="6" t="s">
        <v>9035</v>
      </c>
      <c r="E2424" s="6" t="s">
        <v>9052</v>
      </c>
      <c r="F2424" s="6" t="s">
        <v>9053</v>
      </c>
      <c r="G2424" s="9" t="s">
        <v>9054</v>
      </c>
      <c r="H2424" s="9" t="s">
        <v>18</v>
      </c>
      <c r="I2424" s="16" t="str">
        <f>VLOOKUP(F2424,[1]完整分类结果!$E:$G,3,0)</f>
        <v>普通机械制造业</v>
      </c>
      <c r="J2424" s="16">
        <f>VLOOKUP(I2424,[2]行业排放因子!$A:$B,2,0)</f>
        <v>9.6615781889079599</v>
      </c>
      <c r="K2424" s="9" t="s">
        <v>756</v>
      </c>
    </row>
    <row r="2425" spans="1:11" ht="12.5" customHeight="1" x14ac:dyDescent="0.25">
      <c r="A2425" s="5" t="s">
        <v>9055</v>
      </c>
      <c r="B2425" s="6" t="s">
        <v>7578</v>
      </c>
      <c r="C2425" s="6" t="s">
        <v>8384</v>
      </c>
      <c r="D2425" s="6" t="s">
        <v>9035</v>
      </c>
      <c r="E2425" s="6" t="s">
        <v>9056</v>
      </c>
      <c r="F2425" s="6" t="s">
        <v>9057</v>
      </c>
      <c r="G2425" s="9" t="s">
        <v>9058</v>
      </c>
      <c r="H2425" s="9" t="s">
        <v>18</v>
      </c>
      <c r="I2425" s="16" t="str">
        <f>VLOOKUP(F2425,[1]完整分类结果!$E:$G,3,0)</f>
        <v>普通机械制造业</v>
      </c>
      <c r="J2425" s="16">
        <f>VLOOKUP(I2425,[2]行业排放因子!$A:$B,2,0)</f>
        <v>9.6615781889079599</v>
      </c>
      <c r="K2425" s="9" t="s">
        <v>756</v>
      </c>
    </row>
    <row r="2426" spans="1:11" ht="12.5" customHeight="1" x14ac:dyDescent="0.25">
      <c r="A2426" s="5" t="s">
        <v>9059</v>
      </c>
      <c r="B2426" s="6" t="s">
        <v>7578</v>
      </c>
      <c r="C2426" s="6" t="s">
        <v>8384</v>
      </c>
      <c r="D2426" s="6" t="s">
        <v>9035</v>
      </c>
      <c r="E2426" s="6" t="s">
        <v>9060</v>
      </c>
      <c r="F2426" s="6" t="s">
        <v>9061</v>
      </c>
      <c r="G2426" s="9" t="s">
        <v>9062</v>
      </c>
      <c r="H2426" s="9" t="s">
        <v>18</v>
      </c>
      <c r="I2426" s="16" t="str">
        <f>VLOOKUP(F2426,[1]完整分类结果!$E:$G,3,0)</f>
        <v>普通机械制造业</v>
      </c>
      <c r="J2426" s="16">
        <f>VLOOKUP(I2426,[2]行业排放因子!$A:$B,2,0)</f>
        <v>9.6615781889079599</v>
      </c>
      <c r="K2426" s="9" t="s">
        <v>756</v>
      </c>
    </row>
    <row r="2427" spans="1:11" ht="12.5" customHeight="1" x14ac:dyDescent="0.25">
      <c r="A2427" s="5" t="s">
        <v>9063</v>
      </c>
      <c r="B2427" s="6" t="s">
        <v>7578</v>
      </c>
      <c r="C2427" s="6" t="s">
        <v>8384</v>
      </c>
      <c r="D2427" s="6" t="s">
        <v>9035</v>
      </c>
      <c r="E2427" s="6" t="s">
        <v>9064</v>
      </c>
      <c r="F2427" s="6" t="s">
        <v>9065</v>
      </c>
      <c r="G2427" s="9" t="s">
        <v>9066</v>
      </c>
      <c r="H2427" s="9" t="s">
        <v>18</v>
      </c>
      <c r="I2427" s="16" t="str">
        <f>VLOOKUP(F2427,[1]完整分类结果!$E:$G,3,0)</f>
        <v>普通机械制造业</v>
      </c>
      <c r="J2427" s="16">
        <f>VLOOKUP(I2427,[2]行业排放因子!$A:$B,2,0)</f>
        <v>9.6615781889079599</v>
      </c>
      <c r="K2427" s="9" t="s">
        <v>756</v>
      </c>
    </row>
    <row r="2428" spans="1:11" ht="12.5" customHeight="1" x14ac:dyDescent="0.25">
      <c r="A2428" s="5" t="s">
        <v>9067</v>
      </c>
      <c r="B2428" s="6" t="s">
        <v>7578</v>
      </c>
      <c r="C2428" s="6" t="s">
        <v>8384</v>
      </c>
      <c r="D2428" s="6" t="s">
        <v>9035</v>
      </c>
      <c r="E2428" s="6" t="s">
        <v>9068</v>
      </c>
      <c r="F2428" s="6" t="s">
        <v>9069</v>
      </c>
      <c r="G2428" s="9" t="s">
        <v>9070</v>
      </c>
      <c r="H2428" s="9" t="s">
        <v>18</v>
      </c>
      <c r="I2428" s="16" t="str">
        <f>VLOOKUP(F2428,[1]完整分类结果!$E:$G,3,0)</f>
        <v>普通机械制造业</v>
      </c>
      <c r="J2428" s="16">
        <f>VLOOKUP(I2428,[2]行业排放因子!$A:$B,2,0)</f>
        <v>9.6615781889079599</v>
      </c>
      <c r="K2428" s="9" t="s">
        <v>756</v>
      </c>
    </row>
    <row r="2429" spans="1:11" ht="12.5" customHeight="1" x14ac:dyDescent="0.25">
      <c r="A2429" s="5" t="s">
        <v>9071</v>
      </c>
      <c r="B2429" s="6" t="s">
        <v>7578</v>
      </c>
      <c r="C2429" s="6" t="s">
        <v>8384</v>
      </c>
      <c r="D2429" s="6" t="s">
        <v>9035</v>
      </c>
      <c r="E2429" s="6" t="s">
        <v>9072</v>
      </c>
      <c r="F2429" s="6" t="s">
        <v>9073</v>
      </c>
      <c r="G2429" s="9" t="s">
        <v>9074</v>
      </c>
      <c r="H2429" s="9" t="s">
        <v>18</v>
      </c>
      <c r="I2429" s="16" t="str">
        <f>VLOOKUP(F2429,[1]完整分类结果!$E:$G,3,0)</f>
        <v>普通机械制造业</v>
      </c>
      <c r="J2429" s="16">
        <f>VLOOKUP(I2429,[2]行业排放因子!$A:$B,2,0)</f>
        <v>9.6615781889079599</v>
      </c>
      <c r="K2429" s="9" t="s">
        <v>756</v>
      </c>
    </row>
    <row r="2430" spans="1:11" ht="12.5" customHeight="1" x14ac:dyDescent="0.25">
      <c r="A2430" s="5" t="s">
        <v>9075</v>
      </c>
      <c r="B2430" s="6" t="s">
        <v>7578</v>
      </c>
      <c r="C2430" s="6" t="s">
        <v>8384</v>
      </c>
      <c r="D2430" s="6" t="s">
        <v>9035</v>
      </c>
      <c r="E2430" s="6" t="s">
        <v>9076</v>
      </c>
      <c r="F2430" s="6" t="s">
        <v>9077</v>
      </c>
      <c r="G2430" s="9" t="s">
        <v>9078</v>
      </c>
      <c r="H2430" s="9" t="s">
        <v>18</v>
      </c>
      <c r="I2430" s="16" t="str">
        <f>VLOOKUP(F2430,[1]完整分类结果!$E:$G,3,0)</f>
        <v>普通机械制造业</v>
      </c>
      <c r="J2430" s="16">
        <f>VLOOKUP(I2430,[2]行业排放因子!$A:$B,2,0)</f>
        <v>9.6615781889079599</v>
      </c>
      <c r="K2430" s="9" t="s">
        <v>756</v>
      </c>
    </row>
    <row r="2431" spans="1:11" ht="12.5" customHeight="1" x14ac:dyDescent="0.25">
      <c r="A2431" s="5" t="s">
        <v>9079</v>
      </c>
      <c r="B2431" s="6" t="s">
        <v>7578</v>
      </c>
      <c r="C2431" s="6" t="s">
        <v>8384</v>
      </c>
      <c r="D2431" s="6" t="s">
        <v>9035</v>
      </c>
      <c r="E2431" s="6" t="s">
        <v>9080</v>
      </c>
      <c r="F2431" s="6" t="s">
        <v>9081</v>
      </c>
      <c r="G2431" s="9" t="s">
        <v>9082</v>
      </c>
      <c r="H2431" s="9" t="s">
        <v>18</v>
      </c>
      <c r="I2431" s="16" t="str">
        <f>VLOOKUP(F2431,[1]完整分类结果!$E:$G,3,0)</f>
        <v>普通机械制造业</v>
      </c>
      <c r="J2431" s="16">
        <f>VLOOKUP(I2431,[2]行业排放因子!$A:$B,2,0)</f>
        <v>9.6615781889079599</v>
      </c>
      <c r="K2431" s="9" t="s">
        <v>756</v>
      </c>
    </row>
    <row r="2432" spans="1:11" ht="12.5" customHeight="1" x14ac:dyDescent="0.25">
      <c r="A2432" s="5" t="s">
        <v>9083</v>
      </c>
      <c r="B2432" s="6" t="s">
        <v>7578</v>
      </c>
      <c r="C2432" s="6" t="s">
        <v>8384</v>
      </c>
      <c r="D2432" s="6" t="s">
        <v>9035</v>
      </c>
      <c r="E2432" s="6" t="s">
        <v>9084</v>
      </c>
      <c r="F2432" s="6" t="s">
        <v>9085</v>
      </c>
      <c r="G2432" s="9" t="s">
        <v>9086</v>
      </c>
      <c r="H2432" s="9" t="s">
        <v>18</v>
      </c>
      <c r="I2432" s="16" t="str">
        <f>VLOOKUP(F2432,[1]完整分类结果!$E:$G,3,0)</f>
        <v>普通机械制造业</v>
      </c>
      <c r="J2432" s="16">
        <f>VLOOKUP(I2432,[2]行业排放因子!$A:$B,2,0)</f>
        <v>9.6615781889079599</v>
      </c>
      <c r="K2432" s="9" t="s">
        <v>756</v>
      </c>
    </row>
    <row r="2433" spans="1:11" ht="12.5" customHeight="1" x14ac:dyDescent="0.25">
      <c r="A2433" s="5" t="s">
        <v>9087</v>
      </c>
      <c r="B2433" s="6" t="s">
        <v>7578</v>
      </c>
      <c r="C2433" s="6" t="s">
        <v>8384</v>
      </c>
      <c r="D2433" s="6" t="s">
        <v>9035</v>
      </c>
      <c r="E2433" s="6" t="s">
        <v>9088</v>
      </c>
      <c r="F2433" s="6" t="s">
        <v>9089</v>
      </c>
      <c r="G2433" s="9" t="s">
        <v>9090</v>
      </c>
      <c r="H2433" s="9" t="s">
        <v>18</v>
      </c>
      <c r="I2433" s="16" t="str">
        <f>VLOOKUP(F2433,[1]完整分类结果!$E:$G,3,0)</f>
        <v>普通机械制造业</v>
      </c>
      <c r="J2433" s="16">
        <f>VLOOKUP(I2433,[2]行业排放因子!$A:$B,2,0)</f>
        <v>9.6615781889079599</v>
      </c>
      <c r="K2433" s="9" t="s">
        <v>756</v>
      </c>
    </row>
    <row r="2434" spans="1:11" ht="12.5" customHeight="1" x14ac:dyDescent="0.25">
      <c r="A2434" s="5" t="s">
        <v>9091</v>
      </c>
      <c r="B2434" s="6" t="s">
        <v>7578</v>
      </c>
      <c r="C2434" s="6" t="s">
        <v>8384</v>
      </c>
      <c r="D2434" s="6" t="s">
        <v>9035</v>
      </c>
      <c r="E2434" s="6" t="s">
        <v>9092</v>
      </c>
      <c r="F2434" s="6" t="s">
        <v>9093</v>
      </c>
      <c r="G2434" s="9" t="s">
        <v>9094</v>
      </c>
      <c r="H2434" s="9" t="s">
        <v>18</v>
      </c>
      <c r="I2434" s="16" t="str">
        <f>VLOOKUP(F2434,[1]完整分类结果!$E:$G,3,0)</f>
        <v>普通机械制造业</v>
      </c>
      <c r="J2434" s="16">
        <f>VLOOKUP(I2434,[2]行业排放因子!$A:$B,2,0)</f>
        <v>9.6615781889079599</v>
      </c>
      <c r="K2434" s="9" t="s">
        <v>756</v>
      </c>
    </row>
    <row r="2435" spans="1:11" ht="12.5" customHeight="1" x14ac:dyDescent="0.25">
      <c r="A2435" s="5" t="s">
        <v>9095</v>
      </c>
      <c r="B2435" s="6" t="s">
        <v>7578</v>
      </c>
      <c r="C2435" s="6" t="s">
        <v>8384</v>
      </c>
      <c r="D2435" s="6" t="s">
        <v>9035</v>
      </c>
      <c r="E2435" s="6" t="s">
        <v>9096</v>
      </c>
      <c r="F2435" s="6" t="s">
        <v>9097</v>
      </c>
      <c r="G2435" s="9" t="s">
        <v>9098</v>
      </c>
      <c r="H2435" s="9" t="s">
        <v>18</v>
      </c>
      <c r="I2435" s="16" t="str">
        <f>VLOOKUP(F2435,[1]完整分类结果!$E:$G,3,0)</f>
        <v>普通机械制造业</v>
      </c>
      <c r="J2435" s="16">
        <f>VLOOKUP(I2435,[2]行业排放因子!$A:$B,2,0)</f>
        <v>9.6615781889079599</v>
      </c>
      <c r="K2435" s="9" t="s">
        <v>756</v>
      </c>
    </row>
    <row r="2436" spans="1:11" ht="12.5" customHeight="1" x14ac:dyDescent="0.25">
      <c r="A2436" s="5" t="s">
        <v>9099</v>
      </c>
      <c r="B2436" s="6" t="s">
        <v>7578</v>
      </c>
      <c r="C2436" s="6" t="s">
        <v>8384</v>
      </c>
      <c r="D2436" s="6" t="s">
        <v>9035</v>
      </c>
      <c r="E2436" s="6" t="s">
        <v>9100</v>
      </c>
      <c r="F2436" s="6" t="s">
        <v>9101</v>
      </c>
      <c r="G2436" s="9" t="s">
        <v>9102</v>
      </c>
      <c r="H2436" s="9" t="s">
        <v>18</v>
      </c>
      <c r="I2436" s="16" t="str">
        <f>VLOOKUP(F2436,[1]完整分类结果!$E:$G,3,0)</f>
        <v>普通机械制造业</v>
      </c>
      <c r="J2436" s="16">
        <f>VLOOKUP(I2436,[2]行业排放因子!$A:$B,2,0)</f>
        <v>9.6615781889079599</v>
      </c>
      <c r="K2436" s="9" t="s">
        <v>756</v>
      </c>
    </row>
    <row r="2437" spans="1:11" ht="12.5" customHeight="1" x14ac:dyDescent="0.25">
      <c r="A2437" s="5" t="s">
        <v>9103</v>
      </c>
      <c r="B2437" s="6" t="s">
        <v>7578</v>
      </c>
      <c r="C2437" s="6" t="s">
        <v>8384</v>
      </c>
      <c r="D2437" s="6" t="s">
        <v>9035</v>
      </c>
      <c r="E2437" s="6" t="s">
        <v>9104</v>
      </c>
      <c r="F2437" s="6" t="s">
        <v>9105</v>
      </c>
      <c r="G2437" s="9" t="s">
        <v>9106</v>
      </c>
      <c r="H2437" s="9" t="s">
        <v>18</v>
      </c>
      <c r="I2437" s="16" t="str">
        <f>VLOOKUP(F2437,[1]完整分类结果!$E:$G,3,0)</f>
        <v>普通机械制造业</v>
      </c>
      <c r="J2437" s="16">
        <f>VLOOKUP(I2437,[2]行业排放因子!$A:$B,2,0)</f>
        <v>9.6615781889079599</v>
      </c>
      <c r="K2437" s="9" t="s">
        <v>756</v>
      </c>
    </row>
    <row r="2438" spans="1:11" ht="12.5" customHeight="1" x14ac:dyDescent="0.25">
      <c r="A2438" s="5" t="s">
        <v>9107</v>
      </c>
      <c r="B2438" s="6" t="s">
        <v>7578</v>
      </c>
      <c r="C2438" s="6" t="s">
        <v>8384</v>
      </c>
      <c r="D2438" s="6" t="s">
        <v>9108</v>
      </c>
      <c r="E2438" s="6" t="s">
        <v>9109</v>
      </c>
      <c r="F2438" s="6" t="s">
        <v>9110</v>
      </c>
      <c r="G2438" s="9" t="s">
        <v>9111</v>
      </c>
      <c r="H2438" s="9" t="s">
        <v>18</v>
      </c>
      <c r="I2438" s="16" t="str">
        <f>VLOOKUP(F2438,[1]完整分类结果!$E:$G,3,0)</f>
        <v>普通机械制造业</v>
      </c>
      <c r="J2438" s="16">
        <f>VLOOKUP(I2438,[2]行业排放因子!$A:$B,2,0)</f>
        <v>9.6615781889079599</v>
      </c>
      <c r="K2438" s="9" t="s">
        <v>756</v>
      </c>
    </row>
    <row r="2439" spans="1:11" ht="12.5" customHeight="1" x14ac:dyDescent="0.25">
      <c r="A2439" s="5" t="s">
        <v>9112</v>
      </c>
      <c r="B2439" s="6" t="s">
        <v>7578</v>
      </c>
      <c r="C2439" s="6" t="s">
        <v>8384</v>
      </c>
      <c r="D2439" s="6" t="s">
        <v>9108</v>
      </c>
      <c r="E2439" s="6" t="s">
        <v>9113</v>
      </c>
      <c r="F2439" s="6" t="s">
        <v>9114</v>
      </c>
      <c r="G2439" s="9" t="s">
        <v>9115</v>
      </c>
      <c r="H2439" s="9" t="s">
        <v>18</v>
      </c>
      <c r="I2439" s="16" t="str">
        <f>VLOOKUP(F2439,[1]完整分类结果!$E:$G,3,0)</f>
        <v>普通机械制造业</v>
      </c>
      <c r="J2439" s="16">
        <f>VLOOKUP(I2439,[2]行业排放因子!$A:$B,2,0)</f>
        <v>9.6615781889079599</v>
      </c>
      <c r="K2439" s="9" t="s">
        <v>756</v>
      </c>
    </row>
    <row r="2440" spans="1:11" ht="12.5" customHeight="1" x14ac:dyDescent="0.25">
      <c r="A2440" s="5" t="s">
        <v>9116</v>
      </c>
      <c r="B2440" s="6" t="s">
        <v>7578</v>
      </c>
      <c r="C2440" s="6" t="s">
        <v>8384</v>
      </c>
      <c r="D2440" s="6" t="s">
        <v>9108</v>
      </c>
      <c r="E2440" s="6" t="s">
        <v>9117</v>
      </c>
      <c r="F2440" s="6" t="s">
        <v>9118</v>
      </c>
      <c r="G2440" s="9" t="s">
        <v>9119</v>
      </c>
      <c r="H2440" s="9" t="s">
        <v>18</v>
      </c>
      <c r="I2440" s="16" t="str">
        <f>VLOOKUP(F2440,[1]完整分类结果!$E:$G,3,0)</f>
        <v>普通机械制造业</v>
      </c>
      <c r="J2440" s="16">
        <f>VLOOKUP(I2440,[2]行业排放因子!$A:$B,2,0)</f>
        <v>9.6615781889079599</v>
      </c>
      <c r="K2440" s="9" t="s">
        <v>756</v>
      </c>
    </row>
    <row r="2441" spans="1:11" ht="12.5" customHeight="1" x14ac:dyDescent="0.25">
      <c r="A2441" s="5" t="s">
        <v>9120</v>
      </c>
      <c r="B2441" s="6" t="s">
        <v>7578</v>
      </c>
      <c r="C2441" s="6" t="s">
        <v>8384</v>
      </c>
      <c r="D2441" s="6" t="s">
        <v>9108</v>
      </c>
      <c r="E2441" s="6" t="s">
        <v>9121</v>
      </c>
      <c r="F2441" s="6" t="s">
        <v>9122</v>
      </c>
      <c r="G2441" s="9" t="s">
        <v>9123</v>
      </c>
      <c r="H2441" s="9" t="s">
        <v>18</v>
      </c>
      <c r="I2441" s="16" t="str">
        <f>VLOOKUP(F2441,[1]完整分类结果!$E:$G,3,0)</f>
        <v>普通机械制造业</v>
      </c>
      <c r="J2441" s="16">
        <f>VLOOKUP(I2441,[2]行业排放因子!$A:$B,2,0)</f>
        <v>9.6615781889079599</v>
      </c>
      <c r="K2441" s="9" t="s">
        <v>756</v>
      </c>
    </row>
    <row r="2442" spans="1:11" ht="12.5" customHeight="1" x14ac:dyDescent="0.25">
      <c r="A2442" s="5" t="s">
        <v>9124</v>
      </c>
      <c r="B2442" s="6" t="s">
        <v>7578</v>
      </c>
      <c r="C2442" s="6" t="s">
        <v>8384</v>
      </c>
      <c r="D2442" s="6" t="s">
        <v>9108</v>
      </c>
      <c r="E2442" s="6" t="s">
        <v>9125</v>
      </c>
      <c r="F2442" s="6" t="s">
        <v>9126</v>
      </c>
      <c r="G2442" s="9" t="s">
        <v>9127</v>
      </c>
      <c r="H2442" s="9" t="s">
        <v>18</v>
      </c>
      <c r="I2442" s="16" t="str">
        <f>VLOOKUP(F2442,[1]完整分类结果!$E:$G,3,0)</f>
        <v>普通机械制造业</v>
      </c>
      <c r="J2442" s="16">
        <f>VLOOKUP(I2442,[2]行业排放因子!$A:$B,2,0)</f>
        <v>9.6615781889079599</v>
      </c>
      <c r="K2442" s="9" t="s">
        <v>756</v>
      </c>
    </row>
    <row r="2443" spans="1:11" ht="12.5" customHeight="1" x14ac:dyDescent="0.25">
      <c r="A2443" s="5" t="s">
        <v>9128</v>
      </c>
      <c r="B2443" s="6" t="s">
        <v>7578</v>
      </c>
      <c r="C2443" s="6" t="s">
        <v>8384</v>
      </c>
      <c r="D2443" s="6" t="s">
        <v>9129</v>
      </c>
      <c r="E2443" s="6" t="s">
        <v>9130</v>
      </c>
      <c r="F2443" s="6" t="s">
        <v>9131</v>
      </c>
      <c r="G2443" s="9" t="s">
        <v>9132</v>
      </c>
      <c r="H2443" s="9" t="s">
        <v>18</v>
      </c>
      <c r="I2443" s="16" t="str">
        <f>VLOOKUP(F2443,[1]完整分类结果!$E:$G,3,0)</f>
        <v>普通机械制造业</v>
      </c>
      <c r="J2443" s="16">
        <f>VLOOKUP(I2443,[2]行业排放因子!$A:$B,2,0)</f>
        <v>9.6615781889079599</v>
      </c>
      <c r="K2443" s="9" t="s">
        <v>756</v>
      </c>
    </row>
    <row r="2444" spans="1:11" ht="12.5" customHeight="1" x14ac:dyDescent="0.25">
      <c r="A2444" s="5" t="s">
        <v>9133</v>
      </c>
      <c r="B2444" s="6" t="s">
        <v>7578</v>
      </c>
      <c r="C2444" s="6" t="s">
        <v>8384</v>
      </c>
      <c r="D2444" s="6" t="s">
        <v>9129</v>
      </c>
      <c r="E2444" s="6" t="s">
        <v>9134</v>
      </c>
      <c r="F2444" s="6" t="s">
        <v>9135</v>
      </c>
      <c r="G2444" s="9" t="s">
        <v>9136</v>
      </c>
      <c r="H2444" s="9" t="s">
        <v>18</v>
      </c>
      <c r="I2444" s="16" t="str">
        <f>VLOOKUP(F2444,[1]完整分类结果!$E:$G,3,0)</f>
        <v>普通机械制造业</v>
      </c>
      <c r="J2444" s="16">
        <f>VLOOKUP(I2444,[2]行业排放因子!$A:$B,2,0)</f>
        <v>9.6615781889079599</v>
      </c>
      <c r="K2444" s="9" t="s">
        <v>756</v>
      </c>
    </row>
    <row r="2445" spans="1:11" ht="12.5" customHeight="1" x14ac:dyDescent="0.25">
      <c r="A2445" s="5" t="s">
        <v>9137</v>
      </c>
      <c r="B2445" s="6" t="s">
        <v>7578</v>
      </c>
      <c r="C2445" s="6" t="s">
        <v>8384</v>
      </c>
      <c r="D2445" s="6" t="s">
        <v>9129</v>
      </c>
      <c r="E2445" s="6" t="s">
        <v>9138</v>
      </c>
      <c r="F2445" s="6" t="s">
        <v>9139</v>
      </c>
      <c r="G2445" s="9" t="s">
        <v>9140</v>
      </c>
      <c r="H2445" s="9" t="s">
        <v>18</v>
      </c>
      <c r="I2445" s="16" t="str">
        <f>VLOOKUP(F2445,[1]完整分类结果!$E:$G,3,0)</f>
        <v>普通机械制造业</v>
      </c>
      <c r="J2445" s="16">
        <f>VLOOKUP(I2445,[2]行业排放因子!$A:$B,2,0)</f>
        <v>9.6615781889079599</v>
      </c>
      <c r="K2445" s="9" t="s">
        <v>756</v>
      </c>
    </row>
    <row r="2446" spans="1:11" ht="12.5" customHeight="1" x14ac:dyDescent="0.25">
      <c r="A2446" s="5" t="s">
        <v>9141</v>
      </c>
      <c r="B2446" s="6" t="s">
        <v>7578</v>
      </c>
      <c r="C2446" s="6" t="s">
        <v>8384</v>
      </c>
      <c r="D2446" s="6" t="s">
        <v>9129</v>
      </c>
      <c r="E2446" s="6" t="s">
        <v>9142</v>
      </c>
      <c r="F2446" s="6" t="s">
        <v>9143</v>
      </c>
      <c r="G2446" s="9" t="s">
        <v>9144</v>
      </c>
      <c r="H2446" s="9" t="s">
        <v>18</v>
      </c>
      <c r="I2446" s="16" t="str">
        <f>VLOOKUP(F2446,[1]完整分类结果!$E:$G,3,0)</f>
        <v>普通机械制造业</v>
      </c>
      <c r="J2446" s="16">
        <f>VLOOKUP(I2446,[2]行业排放因子!$A:$B,2,0)</f>
        <v>9.6615781889079599</v>
      </c>
      <c r="K2446" s="9" t="s">
        <v>756</v>
      </c>
    </row>
    <row r="2447" spans="1:11" ht="12.5" customHeight="1" x14ac:dyDescent="0.25">
      <c r="A2447" s="5" t="s">
        <v>9145</v>
      </c>
      <c r="B2447" s="6" t="s">
        <v>7578</v>
      </c>
      <c r="C2447" s="6" t="s">
        <v>8384</v>
      </c>
      <c r="D2447" s="6" t="s">
        <v>9146</v>
      </c>
      <c r="E2447" s="6" t="s">
        <v>9147</v>
      </c>
      <c r="F2447" s="6" t="s">
        <v>9148</v>
      </c>
      <c r="G2447" s="9" t="s">
        <v>9149</v>
      </c>
      <c r="H2447" s="9" t="s">
        <v>18</v>
      </c>
      <c r="I2447" s="16" t="str">
        <f>VLOOKUP(F2447,[1]完整分类结果!$E:$G,3,0)</f>
        <v>普通机械制造业</v>
      </c>
      <c r="J2447" s="16">
        <f>VLOOKUP(I2447,[2]行业排放因子!$A:$B,2,0)</f>
        <v>9.6615781889079599</v>
      </c>
      <c r="K2447" s="9" t="s">
        <v>756</v>
      </c>
    </row>
    <row r="2448" spans="1:11" ht="12.5" customHeight="1" x14ac:dyDescent="0.25">
      <c r="A2448" s="5" t="s">
        <v>9150</v>
      </c>
      <c r="B2448" s="6" t="s">
        <v>7578</v>
      </c>
      <c r="C2448" s="6" t="s">
        <v>8384</v>
      </c>
      <c r="D2448" s="6" t="s">
        <v>9146</v>
      </c>
      <c r="E2448" s="6" t="s">
        <v>9151</v>
      </c>
      <c r="F2448" s="6" t="s">
        <v>9152</v>
      </c>
      <c r="G2448" s="9" t="s">
        <v>9153</v>
      </c>
      <c r="H2448" s="9" t="s">
        <v>18</v>
      </c>
      <c r="I2448" s="16" t="str">
        <f>VLOOKUP(F2448,[1]完整分类结果!$E:$G,3,0)</f>
        <v>普通机械制造业</v>
      </c>
      <c r="J2448" s="16">
        <f>VLOOKUP(I2448,[2]行业排放因子!$A:$B,2,0)</f>
        <v>9.6615781889079599</v>
      </c>
      <c r="K2448" s="9" t="s">
        <v>756</v>
      </c>
    </row>
    <row r="2449" spans="1:11" ht="12.5" customHeight="1" x14ac:dyDescent="0.25">
      <c r="A2449" s="5" t="s">
        <v>9154</v>
      </c>
      <c r="B2449" s="6" t="s">
        <v>7578</v>
      </c>
      <c r="C2449" s="6" t="s">
        <v>8384</v>
      </c>
      <c r="D2449" s="6" t="s">
        <v>9146</v>
      </c>
      <c r="E2449" s="6" t="s">
        <v>9155</v>
      </c>
      <c r="F2449" s="6" t="s">
        <v>9156</v>
      </c>
      <c r="G2449" s="9" t="s">
        <v>9157</v>
      </c>
      <c r="H2449" s="9" t="s">
        <v>18</v>
      </c>
      <c r="I2449" s="16" t="str">
        <f>VLOOKUP(F2449,[1]完整分类结果!$E:$G,3,0)</f>
        <v>普通机械制造业</v>
      </c>
      <c r="J2449" s="16">
        <f>VLOOKUP(I2449,[2]行业排放因子!$A:$B,2,0)</f>
        <v>9.6615781889079599</v>
      </c>
      <c r="K2449" s="9" t="s">
        <v>756</v>
      </c>
    </row>
    <row r="2450" spans="1:11" ht="12.5" customHeight="1" x14ac:dyDescent="0.25">
      <c r="A2450" s="5" t="s">
        <v>9158</v>
      </c>
      <c r="B2450" s="6" t="s">
        <v>7578</v>
      </c>
      <c r="C2450" s="6" t="s">
        <v>8384</v>
      </c>
      <c r="D2450" s="6" t="s">
        <v>9146</v>
      </c>
      <c r="E2450" s="6" t="s">
        <v>9159</v>
      </c>
      <c r="F2450" s="6" t="s">
        <v>9160</v>
      </c>
      <c r="G2450" s="9" t="s">
        <v>9161</v>
      </c>
      <c r="H2450" s="9" t="s">
        <v>18</v>
      </c>
      <c r="I2450" s="16" t="str">
        <f>VLOOKUP(F2450,[1]完整分类结果!$E:$G,3,0)</f>
        <v>普通机械制造业</v>
      </c>
      <c r="J2450" s="16">
        <f>VLOOKUP(I2450,[2]行业排放因子!$A:$B,2,0)</f>
        <v>9.6615781889079599</v>
      </c>
      <c r="K2450" s="9" t="s">
        <v>756</v>
      </c>
    </row>
    <row r="2451" spans="1:11" ht="12.5" customHeight="1" x14ac:dyDescent="0.25">
      <c r="A2451" s="5" t="s">
        <v>9162</v>
      </c>
      <c r="B2451" s="6" t="s">
        <v>7578</v>
      </c>
      <c r="C2451" s="6" t="s">
        <v>8384</v>
      </c>
      <c r="D2451" s="6" t="s">
        <v>9146</v>
      </c>
      <c r="E2451" s="6" t="s">
        <v>9163</v>
      </c>
      <c r="F2451" s="6" t="s">
        <v>9164</v>
      </c>
      <c r="G2451" s="9" t="s">
        <v>9165</v>
      </c>
      <c r="H2451" s="9" t="s">
        <v>18</v>
      </c>
      <c r="I2451" s="16" t="str">
        <f>VLOOKUP(F2451,[1]完整分类结果!$E:$G,3,0)</f>
        <v>普通机械制造业</v>
      </c>
      <c r="J2451" s="16">
        <f>VLOOKUP(I2451,[2]行业排放因子!$A:$B,2,0)</f>
        <v>9.6615781889079599</v>
      </c>
      <c r="K2451" s="9" t="s">
        <v>756</v>
      </c>
    </row>
    <row r="2452" spans="1:11" ht="12.5" customHeight="1" x14ac:dyDescent="0.25">
      <c r="A2452" s="5" t="s">
        <v>9166</v>
      </c>
      <c r="B2452" s="6" t="s">
        <v>7578</v>
      </c>
      <c r="C2452" s="6" t="s">
        <v>8384</v>
      </c>
      <c r="D2452" s="6" t="s">
        <v>9146</v>
      </c>
      <c r="E2452" s="6" t="s">
        <v>9167</v>
      </c>
      <c r="F2452" s="6" t="s">
        <v>9168</v>
      </c>
      <c r="G2452" s="9" t="s">
        <v>9169</v>
      </c>
      <c r="H2452" s="9" t="s">
        <v>18</v>
      </c>
      <c r="I2452" s="16" t="str">
        <f>VLOOKUP(F2452,[1]完整分类结果!$E:$G,3,0)</f>
        <v>普通机械制造业</v>
      </c>
      <c r="J2452" s="16">
        <f>VLOOKUP(I2452,[2]行业排放因子!$A:$B,2,0)</f>
        <v>9.6615781889079599</v>
      </c>
      <c r="K2452" s="9" t="s">
        <v>756</v>
      </c>
    </row>
    <row r="2453" spans="1:11" ht="12.5" customHeight="1" x14ac:dyDescent="0.25">
      <c r="A2453" s="5" t="s">
        <v>9170</v>
      </c>
      <c r="B2453" s="6" t="s">
        <v>7578</v>
      </c>
      <c r="C2453" s="6" t="s">
        <v>8384</v>
      </c>
      <c r="D2453" s="6" t="s">
        <v>9146</v>
      </c>
      <c r="E2453" s="6" t="s">
        <v>9171</v>
      </c>
      <c r="F2453" s="6" t="s">
        <v>9172</v>
      </c>
      <c r="G2453" s="9"/>
      <c r="H2453" s="9" t="s">
        <v>18</v>
      </c>
      <c r="I2453" s="16" t="str">
        <f>VLOOKUP(F2453,[1]完整分类结果!$E:$G,3,0)</f>
        <v>普通机械制造业</v>
      </c>
      <c r="J2453" s="16">
        <f>VLOOKUP(I2453,[2]行业排放因子!$A:$B,2,0)</f>
        <v>9.6615781889079599</v>
      </c>
      <c r="K2453" s="9" t="s">
        <v>756</v>
      </c>
    </row>
    <row r="2454" spans="1:11" ht="12.5" customHeight="1" x14ac:dyDescent="0.25">
      <c r="A2454" s="5" t="s">
        <v>9173</v>
      </c>
      <c r="B2454" s="6" t="s">
        <v>7578</v>
      </c>
      <c r="C2454" s="6" t="s">
        <v>8384</v>
      </c>
      <c r="D2454" s="6" t="s">
        <v>9174</v>
      </c>
      <c r="E2454" s="6" t="s">
        <v>9175</v>
      </c>
      <c r="F2454" s="6" t="s">
        <v>9176</v>
      </c>
      <c r="G2454" s="9" t="s">
        <v>9177</v>
      </c>
      <c r="H2454" s="9" t="s">
        <v>18</v>
      </c>
      <c r="I2454" s="16" t="str">
        <f>VLOOKUP(F2454,[1]完整分类结果!$E:$G,3,0)</f>
        <v>普通机械制造业</v>
      </c>
      <c r="J2454" s="16">
        <f>VLOOKUP(I2454,[2]行业排放因子!$A:$B,2,0)</f>
        <v>9.6615781889079599</v>
      </c>
      <c r="K2454" s="9" t="s">
        <v>756</v>
      </c>
    </row>
    <row r="2455" spans="1:11" ht="12.5" customHeight="1" x14ac:dyDescent="0.25">
      <c r="A2455" s="5" t="s">
        <v>9178</v>
      </c>
      <c r="B2455" s="6" t="s">
        <v>7578</v>
      </c>
      <c r="C2455" s="6" t="s">
        <v>8384</v>
      </c>
      <c r="D2455" s="6" t="s">
        <v>9174</v>
      </c>
      <c r="E2455" s="6" t="s">
        <v>9179</v>
      </c>
      <c r="F2455" s="6" t="s">
        <v>9180</v>
      </c>
      <c r="G2455" s="9"/>
      <c r="H2455" s="9" t="s">
        <v>18</v>
      </c>
      <c r="I2455" s="16" t="str">
        <f>VLOOKUP(F2455,[1]完整分类结果!$E:$G,3,0)</f>
        <v>普通机械制造业</v>
      </c>
      <c r="J2455" s="16">
        <f>VLOOKUP(I2455,[2]行业排放因子!$A:$B,2,0)</f>
        <v>9.6615781889079599</v>
      </c>
      <c r="K2455" s="9" t="s">
        <v>756</v>
      </c>
    </row>
    <row r="2456" spans="1:11" ht="12.5" customHeight="1" x14ac:dyDescent="0.25">
      <c r="A2456" s="5" t="s">
        <v>9181</v>
      </c>
      <c r="B2456" s="6" t="s">
        <v>7578</v>
      </c>
      <c r="C2456" s="6" t="s">
        <v>8384</v>
      </c>
      <c r="D2456" s="6" t="s">
        <v>9174</v>
      </c>
      <c r="E2456" s="6" t="s">
        <v>9182</v>
      </c>
      <c r="F2456" s="6" t="s">
        <v>9183</v>
      </c>
      <c r="G2456" s="9"/>
      <c r="H2456" s="9" t="s">
        <v>18</v>
      </c>
      <c r="I2456" s="16" t="str">
        <f>VLOOKUP(F2456,[1]完整分类结果!$E:$G,3,0)</f>
        <v>普通机械制造业</v>
      </c>
      <c r="J2456" s="16">
        <f>VLOOKUP(I2456,[2]行业排放因子!$A:$B,2,0)</f>
        <v>9.6615781889079599</v>
      </c>
      <c r="K2456" s="9" t="s">
        <v>756</v>
      </c>
    </row>
    <row r="2457" spans="1:11" ht="12.5" customHeight="1" x14ac:dyDescent="0.25">
      <c r="A2457" s="5" t="s">
        <v>9184</v>
      </c>
      <c r="B2457" s="6" t="s">
        <v>7578</v>
      </c>
      <c r="C2457" s="6" t="s">
        <v>8384</v>
      </c>
      <c r="D2457" s="6" t="s">
        <v>9174</v>
      </c>
      <c r="E2457" s="6" t="s">
        <v>9185</v>
      </c>
      <c r="F2457" s="6" t="s">
        <v>9186</v>
      </c>
      <c r="G2457" s="9" t="s">
        <v>9187</v>
      </c>
      <c r="H2457" s="9" t="s">
        <v>18</v>
      </c>
      <c r="I2457" s="16" t="str">
        <f>VLOOKUP(F2457,[1]完整分类结果!$E:$G,3,0)</f>
        <v>普通机械制造业</v>
      </c>
      <c r="J2457" s="16">
        <f>VLOOKUP(I2457,[2]行业排放因子!$A:$B,2,0)</f>
        <v>9.6615781889079599</v>
      </c>
      <c r="K2457" s="9" t="s">
        <v>756</v>
      </c>
    </row>
    <row r="2458" spans="1:11" ht="12.5" customHeight="1" x14ac:dyDescent="0.25">
      <c r="A2458" s="5" t="s">
        <v>9188</v>
      </c>
      <c r="B2458" s="6" t="s">
        <v>7578</v>
      </c>
      <c r="C2458" s="6" t="s">
        <v>8384</v>
      </c>
      <c r="D2458" s="6" t="s">
        <v>9174</v>
      </c>
      <c r="E2458" s="6" t="s">
        <v>9189</v>
      </c>
      <c r="F2458" s="6" t="s">
        <v>9190</v>
      </c>
      <c r="G2458" s="9" t="s">
        <v>9191</v>
      </c>
      <c r="H2458" s="9" t="s">
        <v>18</v>
      </c>
      <c r="I2458" s="16" t="str">
        <f>VLOOKUP(F2458,[1]完整分类结果!$E:$G,3,0)</f>
        <v>普通机械制造业</v>
      </c>
      <c r="J2458" s="16">
        <f>VLOOKUP(I2458,[2]行业排放因子!$A:$B,2,0)</f>
        <v>9.6615781889079599</v>
      </c>
      <c r="K2458" s="9" t="s">
        <v>756</v>
      </c>
    </row>
    <row r="2459" spans="1:11" ht="12.5" customHeight="1" x14ac:dyDescent="0.25">
      <c r="A2459" s="5" t="s">
        <v>9192</v>
      </c>
      <c r="B2459" s="6" t="s">
        <v>7578</v>
      </c>
      <c r="C2459" s="6" t="s">
        <v>8384</v>
      </c>
      <c r="D2459" s="6" t="s">
        <v>9174</v>
      </c>
      <c r="E2459" s="6" t="s">
        <v>9193</v>
      </c>
      <c r="F2459" s="6" t="s">
        <v>9194</v>
      </c>
      <c r="G2459" s="9" t="s">
        <v>9195</v>
      </c>
      <c r="H2459" s="9" t="s">
        <v>18</v>
      </c>
      <c r="I2459" s="16" t="str">
        <f>VLOOKUP(F2459,[1]完整分类结果!$E:$G,3,0)</f>
        <v>普通机械制造业</v>
      </c>
      <c r="J2459" s="16">
        <f>VLOOKUP(I2459,[2]行业排放因子!$A:$B,2,0)</f>
        <v>9.6615781889079599</v>
      </c>
      <c r="K2459" s="9" t="s">
        <v>756</v>
      </c>
    </row>
    <row r="2460" spans="1:11" ht="12.5" customHeight="1" x14ac:dyDescent="0.25">
      <c r="A2460" s="5" t="s">
        <v>9196</v>
      </c>
      <c r="B2460" s="6" t="s">
        <v>7578</v>
      </c>
      <c r="C2460" s="6" t="s">
        <v>8384</v>
      </c>
      <c r="D2460" s="6" t="s">
        <v>9174</v>
      </c>
      <c r="E2460" s="6" t="s">
        <v>9197</v>
      </c>
      <c r="F2460" s="6" t="s">
        <v>9198</v>
      </c>
      <c r="G2460" s="9" t="s">
        <v>9199</v>
      </c>
      <c r="H2460" s="9" t="s">
        <v>18</v>
      </c>
      <c r="I2460" s="16" t="str">
        <f>VLOOKUP(F2460,[1]完整分类结果!$E:$G,3,0)</f>
        <v>普通机械制造业</v>
      </c>
      <c r="J2460" s="16">
        <f>VLOOKUP(I2460,[2]行业排放因子!$A:$B,2,0)</f>
        <v>9.6615781889079599</v>
      </c>
      <c r="K2460" s="9" t="s">
        <v>756</v>
      </c>
    </row>
    <row r="2461" spans="1:11" ht="12.5" customHeight="1" x14ac:dyDescent="0.25">
      <c r="A2461" s="5" t="s">
        <v>9200</v>
      </c>
      <c r="B2461" s="6" t="s">
        <v>7578</v>
      </c>
      <c r="C2461" s="6" t="s">
        <v>8384</v>
      </c>
      <c r="D2461" s="6" t="s">
        <v>9174</v>
      </c>
      <c r="E2461" s="6" t="s">
        <v>9201</v>
      </c>
      <c r="F2461" s="6" t="s">
        <v>9202</v>
      </c>
      <c r="G2461" s="9" t="s">
        <v>9203</v>
      </c>
      <c r="H2461" s="9" t="s">
        <v>18</v>
      </c>
      <c r="I2461" s="16" t="str">
        <f>VLOOKUP(F2461,[1]完整分类结果!$E:$G,3,0)</f>
        <v>普通机械制造业</v>
      </c>
      <c r="J2461" s="16">
        <f>VLOOKUP(I2461,[2]行业排放因子!$A:$B,2,0)</f>
        <v>9.6615781889079599</v>
      </c>
      <c r="K2461" s="9" t="s">
        <v>756</v>
      </c>
    </row>
    <row r="2462" spans="1:11" ht="12.5" customHeight="1" x14ac:dyDescent="0.25">
      <c r="A2462" s="5" t="s">
        <v>9204</v>
      </c>
      <c r="B2462" s="6" t="s">
        <v>7578</v>
      </c>
      <c r="C2462" s="6" t="s">
        <v>8384</v>
      </c>
      <c r="D2462" s="6" t="s">
        <v>9174</v>
      </c>
      <c r="E2462" s="6" t="s">
        <v>9205</v>
      </c>
      <c r="F2462" s="6" t="s">
        <v>9206</v>
      </c>
      <c r="G2462" s="9" t="s">
        <v>9207</v>
      </c>
      <c r="H2462" s="9" t="s">
        <v>18</v>
      </c>
      <c r="I2462" s="16" t="str">
        <f>VLOOKUP(F2462,[1]完整分类结果!$E:$G,3,0)</f>
        <v>普通机械制造业</v>
      </c>
      <c r="J2462" s="16">
        <f>VLOOKUP(I2462,[2]行业排放因子!$A:$B,2,0)</f>
        <v>9.6615781889079599</v>
      </c>
      <c r="K2462" s="9" t="s">
        <v>3898</v>
      </c>
    </row>
    <row r="2463" spans="1:11" ht="12.5" customHeight="1" x14ac:dyDescent="0.25">
      <c r="A2463" s="5" t="s">
        <v>9208</v>
      </c>
      <c r="B2463" s="6" t="s">
        <v>7578</v>
      </c>
      <c r="C2463" s="6" t="s">
        <v>8384</v>
      </c>
      <c r="D2463" s="6" t="s">
        <v>9174</v>
      </c>
      <c r="E2463" s="6" t="s">
        <v>9209</v>
      </c>
      <c r="F2463" s="6" t="s">
        <v>9210</v>
      </c>
      <c r="G2463" s="9" t="s">
        <v>9211</v>
      </c>
      <c r="H2463" s="9" t="s">
        <v>18</v>
      </c>
      <c r="I2463" s="16" t="str">
        <f>VLOOKUP(F2463,[1]完整分类结果!$E:$G,3,0)</f>
        <v>普通机械制造业</v>
      </c>
      <c r="J2463" s="16">
        <f>VLOOKUP(I2463,[2]行业排放因子!$A:$B,2,0)</f>
        <v>9.6615781889079599</v>
      </c>
      <c r="K2463" s="9" t="s">
        <v>756</v>
      </c>
    </row>
    <row r="2464" spans="1:11" ht="12.5" customHeight="1" x14ac:dyDescent="0.25">
      <c r="A2464" s="5" t="s">
        <v>9212</v>
      </c>
      <c r="B2464" s="6" t="s">
        <v>7578</v>
      </c>
      <c r="C2464" s="6" t="s">
        <v>8384</v>
      </c>
      <c r="D2464" s="6" t="s">
        <v>9174</v>
      </c>
      <c r="E2464" s="6" t="s">
        <v>9213</v>
      </c>
      <c r="F2464" s="6" t="s">
        <v>9214</v>
      </c>
      <c r="G2464" s="9" t="s">
        <v>9215</v>
      </c>
      <c r="H2464" s="9" t="s">
        <v>18</v>
      </c>
      <c r="I2464" s="16" t="str">
        <f>VLOOKUP(F2464,[1]完整分类结果!$E:$G,3,0)</f>
        <v>普通机械制造业</v>
      </c>
      <c r="J2464" s="16">
        <f>VLOOKUP(I2464,[2]行业排放因子!$A:$B,2,0)</f>
        <v>9.6615781889079599</v>
      </c>
      <c r="K2464" s="9" t="s">
        <v>756</v>
      </c>
    </row>
    <row r="2465" spans="1:11" ht="12.5" customHeight="1" x14ac:dyDescent="0.25">
      <c r="A2465" s="5" t="s">
        <v>9216</v>
      </c>
      <c r="B2465" s="6" t="s">
        <v>7578</v>
      </c>
      <c r="C2465" s="6" t="s">
        <v>8384</v>
      </c>
      <c r="D2465" s="6" t="s">
        <v>9174</v>
      </c>
      <c r="E2465" s="6" t="s">
        <v>9217</v>
      </c>
      <c r="F2465" s="6" t="s">
        <v>9218</v>
      </c>
      <c r="G2465" s="9" t="s">
        <v>9219</v>
      </c>
      <c r="H2465" s="9" t="s">
        <v>18</v>
      </c>
      <c r="I2465" s="16" t="str">
        <f>VLOOKUP(F2465,[1]完整分类结果!$E:$G,3,0)</f>
        <v>普通机械制造业</v>
      </c>
      <c r="J2465" s="16">
        <f>VLOOKUP(I2465,[2]行业排放因子!$A:$B,2,0)</f>
        <v>9.6615781889079599</v>
      </c>
      <c r="K2465" s="9" t="s">
        <v>756</v>
      </c>
    </row>
    <row r="2466" spans="1:11" ht="12.5" customHeight="1" x14ac:dyDescent="0.25">
      <c r="A2466" s="5" t="s">
        <v>9220</v>
      </c>
      <c r="B2466" s="6" t="s">
        <v>7578</v>
      </c>
      <c r="C2466" s="6" t="s">
        <v>8384</v>
      </c>
      <c r="D2466" s="6" t="s">
        <v>9174</v>
      </c>
      <c r="E2466" s="6" t="s">
        <v>9221</v>
      </c>
      <c r="F2466" s="6" t="s">
        <v>9222</v>
      </c>
      <c r="G2466" s="9" t="s">
        <v>9223</v>
      </c>
      <c r="H2466" s="9" t="s">
        <v>18</v>
      </c>
      <c r="I2466" s="16" t="str">
        <f>VLOOKUP(F2466,[1]完整分类结果!$E:$G,3,0)</f>
        <v>普通机械制造业</v>
      </c>
      <c r="J2466" s="16">
        <f>VLOOKUP(I2466,[2]行业排放因子!$A:$B,2,0)</f>
        <v>9.6615781889079599</v>
      </c>
      <c r="K2466" s="9" t="s">
        <v>756</v>
      </c>
    </row>
    <row r="2467" spans="1:11" ht="12.5" customHeight="1" x14ac:dyDescent="0.25">
      <c r="A2467" s="5" t="s">
        <v>9224</v>
      </c>
      <c r="B2467" s="6" t="s">
        <v>7578</v>
      </c>
      <c r="C2467" s="6" t="s">
        <v>8384</v>
      </c>
      <c r="D2467" s="6" t="s">
        <v>9225</v>
      </c>
      <c r="E2467" s="6" t="s">
        <v>9226</v>
      </c>
      <c r="F2467" s="6" t="s">
        <v>9227</v>
      </c>
      <c r="G2467" s="9" t="s">
        <v>9228</v>
      </c>
      <c r="H2467" s="9" t="s">
        <v>18</v>
      </c>
      <c r="I2467" s="16" t="str">
        <f>VLOOKUP(F2467,[1]完整分类结果!$E:$G,3,0)</f>
        <v>普通机械制造业</v>
      </c>
      <c r="J2467" s="16">
        <f>VLOOKUP(I2467,[2]行业排放因子!$A:$B,2,0)</f>
        <v>9.6615781889079599</v>
      </c>
      <c r="K2467" s="9" t="s">
        <v>756</v>
      </c>
    </row>
    <row r="2468" spans="1:11" ht="12.5" customHeight="1" x14ac:dyDescent="0.25">
      <c r="A2468" s="5" t="s">
        <v>9229</v>
      </c>
      <c r="B2468" s="6" t="s">
        <v>7578</v>
      </c>
      <c r="C2468" s="6" t="s">
        <v>8384</v>
      </c>
      <c r="D2468" s="6" t="s">
        <v>9225</v>
      </c>
      <c r="E2468" s="6" t="s">
        <v>9230</v>
      </c>
      <c r="F2468" s="6" t="s">
        <v>9231</v>
      </c>
      <c r="G2468" s="9" t="s">
        <v>9232</v>
      </c>
      <c r="H2468" s="9" t="s">
        <v>18</v>
      </c>
      <c r="I2468" s="16" t="str">
        <f>VLOOKUP(F2468,[1]完整分类结果!$E:$G,3,0)</f>
        <v>普通机械制造业</v>
      </c>
      <c r="J2468" s="16">
        <f>VLOOKUP(I2468,[2]行业排放因子!$A:$B,2,0)</f>
        <v>9.6615781889079599</v>
      </c>
      <c r="K2468" s="9" t="s">
        <v>756</v>
      </c>
    </row>
    <row r="2469" spans="1:11" ht="12.5" customHeight="1" x14ac:dyDescent="0.25">
      <c r="A2469" s="5" t="s">
        <v>9233</v>
      </c>
      <c r="B2469" s="6" t="s">
        <v>7578</v>
      </c>
      <c r="C2469" s="6" t="s">
        <v>8384</v>
      </c>
      <c r="D2469" s="6" t="s">
        <v>9225</v>
      </c>
      <c r="E2469" s="6" t="s">
        <v>9234</v>
      </c>
      <c r="F2469" s="6" t="s">
        <v>9235</v>
      </c>
      <c r="G2469" s="9" t="s">
        <v>9236</v>
      </c>
      <c r="H2469" s="9" t="s">
        <v>18</v>
      </c>
      <c r="I2469" s="16" t="str">
        <f>VLOOKUP(F2469,[1]完整分类结果!$E:$G,3,0)</f>
        <v>普通机械制造业</v>
      </c>
      <c r="J2469" s="16">
        <f>VLOOKUP(I2469,[2]行业排放因子!$A:$B,2,0)</f>
        <v>9.6615781889079599</v>
      </c>
      <c r="K2469" s="9" t="s">
        <v>756</v>
      </c>
    </row>
    <row r="2470" spans="1:11" ht="12.5" customHeight="1" x14ac:dyDescent="0.25">
      <c r="A2470" s="5" t="s">
        <v>9237</v>
      </c>
      <c r="B2470" s="6" t="s">
        <v>7578</v>
      </c>
      <c r="C2470" s="6" t="s">
        <v>8384</v>
      </c>
      <c r="D2470" s="6" t="s">
        <v>9225</v>
      </c>
      <c r="E2470" s="6" t="s">
        <v>9238</v>
      </c>
      <c r="F2470" s="6" t="s">
        <v>9239</v>
      </c>
      <c r="G2470" s="9" t="s">
        <v>9240</v>
      </c>
      <c r="H2470" s="9" t="s">
        <v>18</v>
      </c>
      <c r="I2470" s="16" t="str">
        <f>VLOOKUP(F2470,[1]完整分类结果!$E:$G,3,0)</f>
        <v>普通机械制造业</v>
      </c>
      <c r="J2470" s="16">
        <f>VLOOKUP(I2470,[2]行业排放因子!$A:$B,2,0)</f>
        <v>9.6615781889079599</v>
      </c>
      <c r="K2470" s="9" t="s">
        <v>756</v>
      </c>
    </row>
    <row r="2471" spans="1:11" ht="12.5" customHeight="1" x14ac:dyDescent="0.25">
      <c r="A2471" s="5" t="s">
        <v>9241</v>
      </c>
      <c r="B2471" s="6" t="s">
        <v>7578</v>
      </c>
      <c r="C2471" s="6" t="s">
        <v>8384</v>
      </c>
      <c r="D2471" s="6" t="s">
        <v>9242</v>
      </c>
      <c r="E2471" s="6" t="s">
        <v>9243</v>
      </c>
      <c r="F2471" s="6" t="s">
        <v>9244</v>
      </c>
      <c r="G2471" s="9" t="s">
        <v>9245</v>
      </c>
      <c r="H2471" s="9" t="s">
        <v>18</v>
      </c>
      <c r="I2471" s="16" t="str">
        <f>VLOOKUP(F2471,[1]完整分类结果!$E:$G,3,0)</f>
        <v>普通机械制造业</v>
      </c>
      <c r="J2471" s="16">
        <f>VLOOKUP(I2471,[2]行业排放因子!$A:$B,2,0)</f>
        <v>9.6615781889079599</v>
      </c>
      <c r="K2471" s="9" t="s">
        <v>756</v>
      </c>
    </row>
    <row r="2472" spans="1:11" ht="12.5" customHeight="1" x14ac:dyDescent="0.25">
      <c r="A2472" s="5" t="s">
        <v>9246</v>
      </c>
      <c r="B2472" s="6" t="s">
        <v>7578</v>
      </c>
      <c r="C2472" s="6" t="s">
        <v>8384</v>
      </c>
      <c r="D2472" s="6" t="s">
        <v>9247</v>
      </c>
      <c r="E2472" s="6" t="s">
        <v>9248</v>
      </c>
      <c r="F2472" s="6" t="s">
        <v>9249</v>
      </c>
      <c r="G2472" s="9" t="s">
        <v>9250</v>
      </c>
      <c r="H2472" s="9" t="s">
        <v>18</v>
      </c>
      <c r="I2472" s="16" t="str">
        <f>VLOOKUP(F2472,[1]完整分类结果!$E:$G,3,0)</f>
        <v>普通机械制造业</v>
      </c>
      <c r="J2472" s="16">
        <f>VLOOKUP(I2472,[2]行业排放因子!$A:$B,2,0)</f>
        <v>9.6615781889079599</v>
      </c>
      <c r="K2472" s="9" t="s">
        <v>756</v>
      </c>
    </row>
    <row r="2473" spans="1:11" ht="12.5" customHeight="1" x14ac:dyDescent="0.25">
      <c r="A2473" s="5" t="s">
        <v>9251</v>
      </c>
      <c r="B2473" s="6" t="s">
        <v>7578</v>
      </c>
      <c r="C2473" s="6" t="s">
        <v>8384</v>
      </c>
      <c r="D2473" s="6" t="s">
        <v>9247</v>
      </c>
      <c r="E2473" s="6" t="s">
        <v>9252</v>
      </c>
      <c r="F2473" s="6" t="s">
        <v>9253</v>
      </c>
      <c r="G2473" s="9" t="s">
        <v>9254</v>
      </c>
      <c r="H2473" s="9" t="s">
        <v>18</v>
      </c>
      <c r="I2473" s="16" t="str">
        <f>VLOOKUP(F2473,[1]完整分类结果!$E:$G,3,0)</f>
        <v>普通机械制造业</v>
      </c>
      <c r="J2473" s="16">
        <f>VLOOKUP(I2473,[2]行业排放因子!$A:$B,2,0)</f>
        <v>9.6615781889079599</v>
      </c>
      <c r="K2473" s="9" t="s">
        <v>756</v>
      </c>
    </row>
    <row r="2474" spans="1:11" ht="12.5" customHeight="1" x14ac:dyDescent="0.25">
      <c r="A2474" s="5" t="s">
        <v>9255</v>
      </c>
      <c r="B2474" s="6" t="s">
        <v>7578</v>
      </c>
      <c r="C2474" s="6" t="s">
        <v>8384</v>
      </c>
      <c r="D2474" s="6" t="s">
        <v>9247</v>
      </c>
      <c r="E2474" s="6" t="s">
        <v>9256</v>
      </c>
      <c r="F2474" s="6" t="s">
        <v>9257</v>
      </c>
      <c r="G2474" s="9" t="s">
        <v>9258</v>
      </c>
      <c r="H2474" s="9" t="s">
        <v>18</v>
      </c>
      <c r="I2474" s="16" t="str">
        <f>VLOOKUP(F2474,[1]完整分类结果!$E:$G,3,0)</f>
        <v>普通机械制造业</v>
      </c>
      <c r="J2474" s="16">
        <f>VLOOKUP(I2474,[2]行业排放因子!$A:$B,2,0)</f>
        <v>9.6615781889079599</v>
      </c>
      <c r="K2474" s="9" t="s">
        <v>756</v>
      </c>
    </row>
    <row r="2475" spans="1:11" ht="12.5" customHeight="1" x14ac:dyDescent="0.25">
      <c r="A2475" s="5" t="s">
        <v>9259</v>
      </c>
      <c r="B2475" s="6" t="s">
        <v>7578</v>
      </c>
      <c r="C2475" s="6" t="s">
        <v>8384</v>
      </c>
      <c r="D2475" s="6" t="s">
        <v>9249</v>
      </c>
      <c r="E2475" s="6" t="s">
        <v>9260</v>
      </c>
      <c r="F2475" s="6" t="s">
        <v>9261</v>
      </c>
      <c r="G2475" s="9" t="s">
        <v>9261</v>
      </c>
      <c r="H2475" s="9" t="s">
        <v>18</v>
      </c>
      <c r="I2475" s="16" t="str">
        <f>VLOOKUP(F2475,[1]完整分类结果!$E:$G,3,0)</f>
        <v>普通机械制造业</v>
      </c>
      <c r="J2475" s="16">
        <f>VLOOKUP(I2475,[2]行业排放因子!$A:$B,2,0)</f>
        <v>9.6615781889079599</v>
      </c>
      <c r="K2475" s="9" t="s">
        <v>756</v>
      </c>
    </row>
    <row r="2476" spans="1:11" ht="12.5" customHeight="1" x14ac:dyDescent="0.25">
      <c r="A2476" s="5" t="s">
        <v>9262</v>
      </c>
      <c r="B2476" s="6" t="s">
        <v>7578</v>
      </c>
      <c r="C2476" s="6" t="s">
        <v>8384</v>
      </c>
      <c r="D2476" s="6" t="s">
        <v>9263</v>
      </c>
      <c r="E2476" s="6" t="s">
        <v>9264</v>
      </c>
      <c r="F2476" s="6" t="s">
        <v>9265</v>
      </c>
      <c r="G2476" s="9" t="s">
        <v>9266</v>
      </c>
      <c r="H2476" s="9" t="s">
        <v>18</v>
      </c>
      <c r="I2476" s="16" t="str">
        <f>VLOOKUP(F2476,[1]完整分类结果!$E:$G,3,0)</f>
        <v>专用设备制造业</v>
      </c>
      <c r="J2476" s="16">
        <f>VLOOKUP(I2476,[2]行业排放因子!$A:$B,2,0)</f>
        <v>2.3522392431260499</v>
      </c>
      <c r="K2476" s="9" t="s">
        <v>756</v>
      </c>
    </row>
    <row r="2477" spans="1:11" ht="12.5" customHeight="1" x14ac:dyDescent="0.25">
      <c r="A2477" s="5" t="s">
        <v>9267</v>
      </c>
      <c r="B2477" s="6" t="s">
        <v>7578</v>
      </c>
      <c r="C2477" s="6" t="s">
        <v>8384</v>
      </c>
      <c r="D2477" s="6" t="s">
        <v>9263</v>
      </c>
      <c r="E2477" s="6" t="s">
        <v>9268</v>
      </c>
      <c r="F2477" s="6" t="s">
        <v>9269</v>
      </c>
      <c r="G2477" s="9" t="s">
        <v>9270</v>
      </c>
      <c r="H2477" s="9" t="s">
        <v>18</v>
      </c>
      <c r="I2477" s="16" t="str">
        <f>VLOOKUP(F2477,[1]完整分类结果!$E:$G,3,0)</f>
        <v>专用设备制造业</v>
      </c>
      <c r="J2477" s="16">
        <f>VLOOKUP(I2477,[2]行业排放因子!$A:$B,2,0)</f>
        <v>2.3522392431260499</v>
      </c>
      <c r="K2477" s="9" t="s">
        <v>756</v>
      </c>
    </row>
    <row r="2478" spans="1:11" ht="12.5" customHeight="1" x14ac:dyDescent="0.25">
      <c r="A2478" s="5" t="s">
        <v>9271</v>
      </c>
      <c r="B2478" s="6" t="s">
        <v>7578</v>
      </c>
      <c r="C2478" s="6" t="s">
        <v>8384</v>
      </c>
      <c r="D2478" s="6" t="s">
        <v>9263</v>
      </c>
      <c r="E2478" s="6" t="s">
        <v>9272</v>
      </c>
      <c r="F2478" s="6" t="s">
        <v>9273</v>
      </c>
      <c r="G2478" s="9" t="s">
        <v>9274</v>
      </c>
      <c r="H2478" s="9" t="s">
        <v>18</v>
      </c>
      <c r="I2478" s="16" t="str">
        <f>VLOOKUP(F2478,[1]完整分类结果!$E:$G,3,0)</f>
        <v>专用设备制造业</v>
      </c>
      <c r="J2478" s="16">
        <f>VLOOKUP(I2478,[2]行业排放因子!$A:$B,2,0)</f>
        <v>2.3522392431260499</v>
      </c>
      <c r="K2478" s="9" t="s">
        <v>756</v>
      </c>
    </row>
    <row r="2479" spans="1:11" ht="12.5" customHeight="1" x14ac:dyDescent="0.25">
      <c r="A2479" s="5" t="s">
        <v>9275</v>
      </c>
      <c r="B2479" s="6" t="s">
        <v>7578</v>
      </c>
      <c r="C2479" s="6" t="s">
        <v>8384</v>
      </c>
      <c r="D2479" s="6" t="s">
        <v>9263</v>
      </c>
      <c r="E2479" s="6" t="s">
        <v>9276</v>
      </c>
      <c r="F2479" s="6" t="s">
        <v>9277</v>
      </c>
      <c r="G2479" s="9" t="s">
        <v>9278</v>
      </c>
      <c r="H2479" s="9" t="s">
        <v>18</v>
      </c>
      <c r="I2479" s="16" t="str">
        <f>VLOOKUP(F2479,[1]完整分类结果!$E:$G,3,0)</f>
        <v>专用设备制造业</v>
      </c>
      <c r="J2479" s="16">
        <f>VLOOKUP(I2479,[2]行业排放因子!$A:$B,2,0)</f>
        <v>2.3522392431260499</v>
      </c>
      <c r="K2479" s="9" t="s">
        <v>756</v>
      </c>
    </row>
    <row r="2480" spans="1:11" ht="12.5" customHeight="1" x14ac:dyDescent="0.25">
      <c r="A2480" s="5" t="s">
        <v>9279</v>
      </c>
      <c r="B2480" s="6" t="s">
        <v>7578</v>
      </c>
      <c r="C2480" s="6" t="s">
        <v>8384</v>
      </c>
      <c r="D2480" s="6" t="s">
        <v>9263</v>
      </c>
      <c r="E2480" s="6" t="s">
        <v>9280</v>
      </c>
      <c r="F2480" s="6" t="s">
        <v>9281</v>
      </c>
      <c r="G2480" s="9" t="s">
        <v>9282</v>
      </c>
      <c r="H2480" s="9" t="s">
        <v>18</v>
      </c>
      <c r="I2480" s="16" t="str">
        <f>VLOOKUP(F2480,[1]完整分类结果!$E:$G,3,0)</f>
        <v>专用设备制造业</v>
      </c>
      <c r="J2480" s="16">
        <f>VLOOKUP(I2480,[2]行业排放因子!$A:$B,2,0)</f>
        <v>2.3522392431260499</v>
      </c>
      <c r="K2480" s="9" t="s">
        <v>756</v>
      </c>
    </row>
    <row r="2481" spans="1:11" ht="12.5" customHeight="1" x14ac:dyDescent="0.25">
      <c r="A2481" s="5" t="s">
        <v>9283</v>
      </c>
      <c r="B2481" s="6" t="s">
        <v>7578</v>
      </c>
      <c r="C2481" s="6" t="s">
        <v>8384</v>
      </c>
      <c r="D2481" s="6" t="s">
        <v>9263</v>
      </c>
      <c r="E2481" s="6" t="s">
        <v>9284</v>
      </c>
      <c r="F2481" s="6" t="s">
        <v>9285</v>
      </c>
      <c r="G2481" s="9" t="s">
        <v>9286</v>
      </c>
      <c r="H2481" s="9" t="s">
        <v>18</v>
      </c>
      <c r="I2481" s="16" t="str">
        <f>VLOOKUP(F2481,[1]完整分类结果!$E:$G,3,0)</f>
        <v>专用设备制造业</v>
      </c>
      <c r="J2481" s="16">
        <f>VLOOKUP(I2481,[2]行业排放因子!$A:$B,2,0)</f>
        <v>2.3522392431260499</v>
      </c>
      <c r="K2481" s="9" t="s">
        <v>756</v>
      </c>
    </row>
    <row r="2482" spans="1:11" ht="12.5" customHeight="1" x14ac:dyDescent="0.25">
      <c r="A2482" s="5" t="s">
        <v>9287</v>
      </c>
      <c r="B2482" s="6" t="s">
        <v>7578</v>
      </c>
      <c r="C2482" s="6" t="s">
        <v>8384</v>
      </c>
      <c r="D2482" s="6" t="s">
        <v>9263</v>
      </c>
      <c r="E2482" s="6" t="s">
        <v>9288</v>
      </c>
      <c r="F2482" s="6" t="s">
        <v>9289</v>
      </c>
      <c r="G2482" s="9" t="s">
        <v>9290</v>
      </c>
      <c r="H2482" s="9" t="s">
        <v>18</v>
      </c>
      <c r="I2482" s="16" t="str">
        <f>VLOOKUP(F2482,[1]完整分类结果!$E:$G,3,0)</f>
        <v>专用设备制造业</v>
      </c>
      <c r="J2482" s="16">
        <f>VLOOKUP(I2482,[2]行业排放因子!$A:$B,2,0)</f>
        <v>2.3522392431260499</v>
      </c>
      <c r="K2482" s="9" t="s">
        <v>756</v>
      </c>
    </row>
    <row r="2483" spans="1:11" ht="12.5" customHeight="1" x14ac:dyDescent="0.25">
      <c r="A2483" s="5" t="s">
        <v>9291</v>
      </c>
      <c r="B2483" s="6" t="s">
        <v>7578</v>
      </c>
      <c r="C2483" s="6" t="s">
        <v>8384</v>
      </c>
      <c r="D2483" s="6" t="s">
        <v>9263</v>
      </c>
      <c r="E2483" s="6" t="s">
        <v>9292</v>
      </c>
      <c r="F2483" s="6" t="s">
        <v>9293</v>
      </c>
      <c r="G2483" s="9" t="s">
        <v>9294</v>
      </c>
      <c r="H2483" s="9" t="s">
        <v>18</v>
      </c>
      <c r="I2483" s="16" t="str">
        <f>VLOOKUP(F2483,[1]完整分类结果!$E:$G,3,0)</f>
        <v>专用设备制造业</v>
      </c>
      <c r="J2483" s="16">
        <f>VLOOKUP(I2483,[2]行业排放因子!$A:$B,2,0)</f>
        <v>2.3522392431260499</v>
      </c>
      <c r="K2483" s="9" t="s">
        <v>756</v>
      </c>
    </row>
    <row r="2484" spans="1:11" ht="12.5" customHeight="1" x14ac:dyDescent="0.25">
      <c r="A2484" s="5" t="s">
        <v>9295</v>
      </c>
      <c r="B2484" s="6" t="s">
        <v>7578</v>
      </c>
      <c r="C2484" s="6" t="s">
        <v>8384</v>
      </c>
      <c r="D2484" s="6" t="s">
        <v>9263</v>
      </c>
      <c r="E2484" s="6" t="s">
        <v>9296</v>
      </c>
      <c r="F2484" s="6" t="s">
        <v>9297</v>
      </c>
      <c r="G2484" s="9"/>
      <c r="H2484" s="9" t="s">
        <v>18</v>
      </c>
      <c r="I2484" s="16" t="str">
        <f>VLOOKUP(F2484,[1]完整分类结果!$E:$G,3,0)</f>
        <v>专用设备制造业</v>
      </c>
      <c r="J2484" s="16">
        <f>VLOOKUP(I2484,[2]行业排放因子!$A:$B,2,0)</f>
        <v>2.3522392431260499</v>
      </c>
      <c r="K2484" s="9" t="s">
        <v>756</v>
      </c>
    </row>
    <row r="2485" spans="1:11" ht="12.5" customHeight="1" x14ac:dyDescent="0.25">
      <c r="A2485" s="5" t="s">
        <v>9298</v>
      </c>
      <c r="B2485" s="6" t="s">
        <v>7578</v>
      </c>
      <c r="C2485" s="6" t="s">
        <v>8384</v>
      </c>
      <c r="D2485" s="6" t="s">
        <v>9263</v>
      </c>
      <c r="E2485" s="6" t="s">
        <v>9299</v>
      </c>
      <c r="F2485" s="6" t="s">
        <v>9300</v>
      </c>
      <c r="G2485" s="9" t="s">
        <v>9301</v>
      </c>
      <c r="H2485" s="9" t="s">
        <v>18</v>
      </c>
      <c r="I2485" s="16" t="str">
        <f>VLOOKUP(F2485,[1]完整分类结果!$E:$G,3,0)</f>
        <v>专用设备制造业</v>
      </c>
      <c r="J2485" s="16">
        <f>VLOOKUP(I2485,[2]行业排放因子!$A:$B,2,0)</f>
        <v>2.3522392431260499</v>
      </c>
      <c r="K2485" s="9" t="s">
        <v>756</v>
      </c>
    </row>
    <row r="2486" spans="1:11" ht="12.5" customHeight="1" x14ac:dyDescent="0.25">
      <c r="A2486" s="5" t="s">
        <v>9302</v>
      </c>
      <c r="B2486" s="6" t="s">
        <v>7578</v>
      </c>
      <c r="C2486" s="6" t="s">
        <v>8384</v>
      </c>
      <c r="D2486" s="6" t="s">
        <v>9263</v>
      </c>
      <c r="E2486" s="6" t="s">
        <v>9303</v>
      </c>
      <c r="F2486" s="6" t="s">
        <v>9304</v>
      </c>
      <c r="G2486" s="9" t="s">
        <v>9305</v>
      </c>
      <c r="H2486" s="9" t="s">
        <v>18</v>
      </c>
      <c r="I2486" s="16" t="str">
        <f>VLOOKUP(F2486,[1]完整分类结果!$E:$G,3,0)</f>
        <v>专用设备制造业</v>
      </c>
      <c r="J2486" s="16">
        <f>VLOOKUP(I2486,[2]行业排放因子!$A:$B,2,0)</f>
        <v>2.3522392431260499</v>
      </c>
      <c r="K2486" s="9" t="s">
        <v>756</v>
      </c>
    </row>
    <row r="2487" spans="1:11" ht="12.5" customHeight="1" x14ac:dyDescent="0.25">
      <c r="A2487" s="5" t="s">
        <v>9306</v>
      </c>
      <c r="B2487" s="6" t="s">
        <v>7578</v>
      </c>
      <c r="C2487" s="6" t="s">
        <v>8384</v>
      </c>
      <c r="D2487" s="6" t="s">
        <v>9263</v>
      </c>
      <c r="E2487" s="6" t="s">
        <v>9307</v>
      </c>
      <c r="F2487" s="6" t="s">
        <v>9308</v>
      </c>
      <c r="G2487" s="9" t="s">
        <v>9309</v>
      </c>
      <c r="H2487" s="9" t="s">
        <v>18</v>
      </c>
      <c r="I2487" s="16" t="str">
        <f>VLOOKUP(F2487,[1]完整分类结果!$E:$G,3,0)</f>
        <v>专用设备制造业</v>
      </c>
      <c r="J2487" s="16">
        <f>VLOOKUP(I2487,[2]行业排放因子!$A:$B,2,0)</f>
        <v>2.3522392431260499</v>
      </c>
      <c r="K2487" s="9" t="s">
        <v>756</v>
      </c>
    </row>
    <row r="2488" spans="1:11" ht="12.5" customHeight="1" x14ac:dyDescent="0.25">
      <c r="A2488" s="5" t="s">
        <v>9310</v>
      </c>
      <c r="B2488" s="6" t="s">
        <v>7578</v>
      </c>
      <c r="C2488" s="6" t="s">
        <v>8384</v>
      </c>
      <c r="D2488" s="6" t="s">
        <v>9263</v>
      </c>
      <c r="E2488" s="6" t="s">
        <v>9311</v>
      </c>
      <c r="F2488" s="6" t="s">
        <v>9312</v>
      </c>
      <c r="G2488" s="9" t="s">
        <v>9313</v>
      </c>
      <c r="H2488" s="9" t="s">
        <v>18</v>
      </c>
      <c r="I2488" s="16" t="str">
        <f>VLOOKUP(F2488,[1]完整分类结果!$E:$G,3,0)</f>
        <v>专用设备制造业</v>
      </c>
      <c r="J2488" s="16">
        <f>VLOOKUP(I2488,[2]行业排放因子!$A:$B,2,0)</f>
        <v>2.3522392431260499</v>
      </c>
      <c r="K2488" s="9" t="s">
        <v>756</v>
      </c>
    </row>
    <row r="2489" spans="1:11" ht="12.5" customHeight="1" x14ac:dyDescent="0.25">
      <c r="A2489" s="5" t="s">
        <v>9314</v>
      </c>
      <c r="B2489" s="6" t="s">
        <v>7578</v>
      </c>
      <c r="C2489" s="6" t="s">
        <v>8384</v>
      </c>
      <c r="D2489" s="6" t="s">
        <v>9263</v>
      </c>
      <c r="E2489" s="6" t="s">
        <v>9315</v>
      </c>
      <c r="F2489" s="6" t="s">
        <v>9316</v>
      </c>
      <c r="G2489" s="9" t="s">
        <v>9317</v>
      </c>
      <c r="H2489" s="9" t="s">
        <v>18</v>
      </c>
      <c r="I2489" s="16" t="str">
        <f>VLOOKUP(F2489,[1]完整分类结果!$E:$G,3,0)</f>
        <v>专用设备制造业</v>
      </c>
      <c r="J2489" s="16">
        <f>VLOOKUP(I2489,[2]行业排放因子!$A:$B,2,0)</f>
        <v>2.3522392431260499</v>
      </c>
      <c r="K2489" s="9" t="s">
        <v>756</v>
      </c>
    </row>
    <row r="2490" spans="1:11" ht="12.5" customHeight="1" x14ac:dyDescent="0.25">
      <c r="A2490" s="5" t="s">
        <v>9318</v>
      </c>
      <c r="B2490" s="6" t="s">
        <v>7578</v>
      </c>
      <c r="C2490" s="6" t="s">
        <v>8384</v>
      </c>
      <c r="D2490" s="6" t="s">
        <v>9263</v>
      </c>
      <c r="E2490" s="6" t="s">
        <v>9319</v>
      </c>
      <c r="F2490" s="6" t="s">
        <v>9320</v>
      </c>
      <c r="G2490" s="9" t="s">
        <v>9321</v>
      </c>
      <c r="H2490" s="9" t="s">
        <v>18</v>
      </c>
      <c r="I2490" s="16" t="str">
        <f>VLOOKUP(F2490,[1]完整分类结果!$E:$G,3,0)</f>
        <v>专用设备制造业</v>
      </c>
      <c r="J2490" s="16">
        <f>VLOOKUP(I2490,[2]行业排放因子!$A:$B,2,0)</f>
        <v>2.3522392431260499</v>
      </c>
      <c r="K2490" s="9" t="s">
        <v>756</v>
      </c>
    </row>
    <row r="2491" spans="1:11" ht="12.5" customHeight="1" x14ac:dyDescent="0.25">
      <c r="A2491" s="5" t="s">
        <v>9322</v>
      </c>
      <c r="B2491" s="6" t="s">
        <v>7578</v>
      </c>
      <c r="C2491" s="6" t="s">
        <v>8384</v>
      </c>
      <c r="D2491" s="6" t="s">
        <v>9263</v>
      </c>
      <c r="E2491" s="6" t="s">
        <v>9323</v>
      </c>
      <c r="F2491" s="6" t="s">
        <v>9324</v>
      </c>
      <c r="G2491" s="9" t="s">
        <v>9325</v>
      </c>
      <c r="H2491" s="9" t="s">
        <v>18</v>
      </c>
      <c r="I2491" s="16" t="str">
        <f>VLOOKUP(F2491,[1]完整分类结果!$E:$G,3,0)</f>
        <v>专用设备制造业</v>
      </c>
      <c r="J2491" s="16">
        <f>VLOOKUP(I2491,[2]行业排放因子!$A:$B,2,0)</f>
        <v>2.3522392431260499</v>
      </c>
      <c r="K2491" s="9" t="s">
        <v>756</v>
      </c>
    </row>
    <row r="2492" spans="1:11" ht="12.5" customHeight="1" x14ac:dyDescent="0.25">
      <c r="A2492" s="5" t="s">
        <v>9326</v>
      </c>
      <c r="B2492" s="6" t="s">
        <v>7578</v>
      </c>
      <c r="C2492" s="6" t="s">
        <v>8384</v>
      </c>
      <c r="D2492" s="6" t="s">
        <v>9263</v>
      </c>
      <c r="E2492" s="6" t="s">
        <v>9327</v>
      </c>
      <c r="F2492" s="6" t="s">
        <v>9328</v>
      </c>
      <c r="G2492" s="9" t="s">
        <v>9329</v>
      </c>
      <c r="H2492" s="9" t="s">
        <v>18</v>
      </c>
      <c r="I2492" s="16" t="str">
        <f>VLOOKUP(F2492,[1]完整分类结果!$E:$G,3,0)</f>
        <v>专用设备制造业</v>
      </c>
      <c r="J2492" s="16">
        <f>VLOOKUP(I2492,[2]行业排放因子!$A:$B,2,0)</f>
        <v>2.3522392431260499</v>
      </c>
      <c r="K2492" s="9" t="s">
        <v>756</v>
      </c>
    </row>
    <row r="2493" spans="1:11" ht="12.5" customHeight="1" x14ac:dyDescent="0.25">
      <c r="A2493" s="5" t="s">
        <v>9330</v>
      </c>
      <c r="B2493" s="6" t="s">
        <v>7578</v>
      </c>
      <c r="C2493" s="6" t="s">
        <v>8384</v>
      </c>
      <c r="D2493" s="6" t="s">
        <v>9263</v>
      </c>
      <c r="E2493" s="6" t="s">
        <v>9331</v>
      </c>
      <c r="F2493" s="6" t="s">
        <v>9332</v>
      </c>
      <c r="G2493" s="9" t="s">
        <v>9333</v>
      </c>
      <c r="H2493" s="9" t="s">
        <v>18</v>
      </c>
      <c r="I2493" s="16" t="str">
        <f>VLOOKUP(F2493,[1]完整分类结果!$E:$G,3,0)</f>
        <v>专用设备制造业</v>
      </c>
      <c r="J2493" s="16">
        <f>VLOOKUP(I2493,[2]行业排放因子!$A:$B,2,0)</f>
        <v>2.3522392431260499</v>
      </c>
      <c r="K2493" s="9" t="s">
        <v>756</v>
      </c>
    </row>
    <row r="2494" spans="1:11" ht="12.5" customHeight="1" x14ac:dyDescent="0.25">
      <c r="A2494" s="5" t="s">
        <v>9334</v>
      </c>
      <c r="B2494" s="6" t="s">
        <v>7578</v>
      </c>
      <c r="C2494" s="6" t="s">
        <v>8384</v>
      </c>
      <c r="D2494" s="6" t="s">
        <v>9263</v>
      </c>
      <c r="E2494" s="6" t="s">
        <v>9335</v>
      </c>
      <c r="F2494" s="6" t="s">
        <v>9336</v>
      </c>
      <c r="G2494" s="9" t="s">
        <v>9337</v>
      </c>
      <c r="H2494" s="9" t="s">
        <v>18</v>
      </c>
      <c r="I2494" s="16" t="str">
        <f>VLOOKUP(F2494,[1]完整分类结果!$E:$G,3,0)</f>
        <v>专用设备制造业</v>
      </c>
      <c r="J2494" s="16">
        <f>VLOOKUP(I2494,[2]行业排放因子!$A:$B,2,0)</f>
        <v>2.3522392431260499</v>
      </c>
      <c r="K2494" s="9" t="s">
        <v>756</v>
      </c>
    </row>
    <row r="2495" spans="1:11" ht="12.5" customHeight="1" x14ac:dyDescent="0.25">
      <c r="A2495" s="5" t="s">
        <v>9338</v>
      </c>
      <c r="B2495" s="6" t="s">
        <v>7578</v>
      </c>
      <c r="C2495" s="6" t="s">
        <v>8384</v>
      </c>
      <c r="D2495" s="6" t="s">
        <v>9263</v>
      </c>
      <c r="E2495" s="6" t="s">
        <v>9339</v>
      </c>
      <c r="F2495" s="6" t="s">
        <v>9340</v>
      </c>
      <c r="G2495" s="9" t="s">
        <v>9341</v>
      </c>
      <c r="H2495" s="9" t="s">
        <v>18</v>
      </c>
      <c r="I2495" s="16" t="str">
        <f>VLOOKUP(F2495,[1]完整分类结果!$E:$G,3,0)</f>
        <v>专用设备制造业</v>
      </c>
      <c r="J2495" s="16">
        <f>VLOOKUP(I2495,[2]行业排放因子!$A:$B,2,0)</f>
        <v>2.3522392431260499</v>
      </c>
      <c r="K2495" s="9" t="s">
        <v>756</v>
      </c>
    </row>
    <row r="2496" spans="1:11" ht="12.5" customHeight="1" x14ac:dyDescent="0.25">
      <c r="A2496" s="5" t="s">
        <v>9342</v>
      </c>
      <c r="B2496" s="6" t="s">
        <v>7578</v>
      </c>
      <c r="C2496" s="6" t="s">
        <v>8384</v>
      </c>
      <c r="D2496" s="6" t="s">
        <v>9263</v>
      </c>
      <c r="E2496" s="6" t="s">
        <v>9343</v>
      </c>
      <c r="F2496" s="6" t="s">
        <v>9344</v>
      </c>
      <c r="G2496" s="9" t="s">
        <v>9345</v>
      </c>
      <c r="H2496" s="9" t="s">
        <v>18</v>
      </c>
      <c r="I2496" s="16" t="str">
        <f>VLOOKUP(F2496,[1]完整分类结果!$E:$G,3,0)</f>
        <v>专用设备制造业</v>
      </c>
      <c r="J2496" s="16">
        <f>VLOOKUP(I2496,[2]行业排放因子!$A:$B,2,0)</f>
        <v>2.3522392431260499</v>
      </c>
      <c r="K2496" s="9" t="s">
        <v>756</v>
      </c>
    </row>
    <row r="2497" spans="1:11" ht="12.5" customHeight="1" x14ac:dyDescent="0.25">
      <c r="A2497" s="5" t="s">
        <v>9346</v>
      </c>
      <c r="B2497" s="6" t="s">
        <v>7578</v>
      </c>
      <c r="C2497" s="6" t="s">
        <v>8384</v>
      </c>
      <c r="D2497" s="6" t="s">
        <v>9263</v>
      </c>
      <c r="E2497" s="6" t="s">
        <v>9347</v>
      </c>
      <c r="F2497" s="6" t="s">
        <v>9348</v>
      </c>
      <c r="G2497" s="9" t="s">
        <v>9349</v>
      </c>
      <c r="H2497" s="9" t="s">
        <v>18</v>
      </c>
      <c r="I2497" s="16" t="str">
        <f>VLOOKUP(F2497,[1]完整分类结果!$E:$G,3,0)</f>
        <v>专用设备制造业</v>
      </c>
      <c r="J2497" s="16">
        <f>VLOOKUP(I2497,[2]行业排放因子!$A:$B,2,0)</f>
        <v>2.3522392431260499</v>
      </c>
      <c r="K2497" s="9" t="s">
        <v>756</v>
      </c>
    </row>
    <row r="2498" spans="1:11" ht="12.5" customHeight="1" x14ac:dyDescent="0.25">
      <c r="A2498" s="5" t="s">
        <v>9350</v>
      </c>
      <c r="B2498" s="6" t="s">
        <v>7578</v>
      </c>
      <c r="C2498" s="6" t="s">
        <v>8384</v>
      </c>
      <c r="D2498" s="6" t="s">
        <v>9263</v>
      </c>
      <c r="E2498" s="6" t="s">
        <v>9351</v>
      </c>
      <c r="F2498" s="6" t="s">
        <v>9352</v>
      </c>
      <c r="G2498" s="9" t="s">
        <v>9353</v>
      </c>
      <c r="H2498" s="9" t="s">
        <v>18</v>
      </c>
      <c r="I2498" s="16" t="str">
        <f>VLOOKUP(F2498,[1]完整分类结果!$E:$G,3,0)</f>
        <v>专用设备制造业</v>
      </c>
      <c r="J2498" s="16">
        <f>VLOOKUP(I2498,[2]行业排放因子!$A:$B,2,0)</f>
        <v>2.3522392431260499</v>
      </c>
      <c r="K2498" s="9" t="s">
        <v>756</v>
      </c>
    </row>
    <row r="2499" spans="1:11" ht="12.5" customHeight="1" x14ac:dyDescent="0.25">
      <c r="A2499" s="5" t="s">
        <v>9354</v>
      </c>
      <c r="B2499" s="6" t="s">
        <v>7578</v>
      </c>
      <c r="C2499" s="6" t="s">
        <v>8384</v>
      </c>
      <c r="D2499" s="6" t="s">
        <v>9263</v>
      </c>
      <c r="E2499" s="6" t="s">
        <v>9355</v>
      </c>
      <c r="F2499" s="6" t="s">
        <v>9356</v>
      </c>
      <c r="G2499" s="9" t="s">
        <v>9357</v>
      </c>
      <c r="H2499" s="9" t="s">
        <v>18</v>
      </c>
      <c r="I2499" s="16" t="str">
        <f>VLOOKUP(F2499,[1]完整分类结果!$E:$G,3,0)</f>
        <v>专用设备制造业</v>
      </c>
      <c r="J2499" s="16">
        <f>VLOOKUP(I2499,[2]行业排放因子!$A:$B,2,0)</f>
        <v>2.3522392431260499</v>
      </c>
      <c r="K2499" s="9" t="s">
        <v>756</v>
      </c>
    </row>
    <row r="2500" spans="1:11" ht="12.5" customHeight="1" x14ac:dyDescent="0.25">
      <c r="A2500" s="5" t="s">
        <v>9358</v>
      </c>
      <c r="B2500" s="6" t="s">
        <v>7578</v>
      </c>
      <c r="C2500" s="6" t="s">
        <v>8384</v>
      </c>
      <c r="D2500" s="6" t="s">
        <v>9263</v>
      </c>
      <c r="E2500" s="6" t="s">
        <v>9359</v>
      </c>
      <c r="F2500" s="6" t="s">
        <v>9360</v>
      </c>
      <c r="G2500" s="9" t="s">
        <v>9361</v>
      </c>
      <c r="H2500" s="9" t="s">
        <v>18</v>
      </c>
      <c r="I2500" s="16" t="str">
        <f>VLOOKUP(F2500,[1]完整分类结果!$E:$G,3,0)</f>
        <v>专用设备制造业</v>
      </c>
      <c r="J2500" s="16">
        <f>VLOOKUP(I2500,[2]行业排放因子!$A:$B,2,0)</f>
        <v>2.3522392431260499</v>
      </c>
      <c r="K2500" s="9" t="s">
        <v>756</v>
      </c>
    </row>
    <row r="2501" spans="1:11" ht="12.5" customHeight="1" x14ac:dyDescent="0.25">
      <c r="A2501" s="5" t="s">
        <v>9362</v>
      </c>
      <c r="B2501" s="6" t="s">
        <v>7578</v>
      </c>
      <c r="C2501" s="6" t="s">
        <v>8384</v>
      </c>
      <c r="D2501" s="6" t="s">
        <v>9263</v>
      </c>
      <c r="E2501" s="6" t="s">
        <v>9363</v>
      </c>
      <c r="F2501" s="6" t="s">
        <v>9364</v>
      </c>
      <c r="G2501" s="9" t="s">
        <v>9365</v>
      </c>
      <c r="H2501" s="9" t="s">
        <v>18</v>
      </c>
      <c r="I2501" s="16" t="str">
        <f>VLOOKUP(F2501,[1]完整分类结果!$E:$G,3,0)</f>
        <v>专用设备制造业</v>
      </c>
      <c r="J2501" s="16">
        <f>VLOOKUP(I2501,[2]行业排放因子!$A:$B,2,0)</f>
        <v>2.3522392431260499</v>
      </c>
      <c r="K2501" s="9" t="s">
        <v>756</v>
      </c>
    </row>
    <row r="2502" spans="1:11" ht="12.5" customHeight="1" x14ac:dyDescent="0.25">
      <c r="A2502" s="5" t="s">
        <v>9366</v>
      </c>
      <c r="B2502" s="6" t="s">
        <v>7578</v>
      </c>
      <c r="C2502" s="6" t="s">
        <v>8384</v>
      </c>
      <c r="D2502" s="6" t="s">
        <v>9263</v>
      </c>
      <c r="E2502" s="6" t="s">
        <v>9367</v>
      </c>
      <c r="F2502" s="6" t="s">
        <v>9368</v>
      </c>
      <c r="G2502" s="9" t="s">
        <v>9369</v>
      </c>
      <c r="H2502" s="9" t="s">
        <v>18</v>
      </c>
      <c r="I2502" s="16" t="str">
        <f>VLOOKUP(F2502,[1]完整分类结果!$E:$G,3,0)</f>
        <v>专用设备制造业</v>
      </c>
      <c r="J2502" s="16">
        <f>VLOOKUP(I2502,[2]行业排放因子!$A:$B,2,0)</f>
        <v>2.3522392431260499</v>
      </c>
      <c r="K2502" s="9" t="s">
        <v>756</v>
      </c>
    </row>
    <row r="2503" spans="1:11" ht="12.5" customHeight="1" x14ac:dyDescent="0.25">
      <c r="A2503" s="5" t="s">
        <v>9370</v>
      </c>
      <c r="B2503" s="6" t="s">
        <v>7578</v>
      </c>
      <c r="C2503" s="6" t="s">
        <v>8384</v>
      </c>
      <c r="D2503" s="6" t="s">
        <v>9263</v>
      </c>
      <c r="E2503" s="6" t="s">
        <v>9371</v>
      </c>
      <c r="F2503" s="6" t="s">
        <v>9372</v>
      </c>
      <c r="G2503" s="9" t="s">
        <v>9373</v>
      </c>
      <c r="H2503" s="9" t="s">
        <v>18</v>
      </c>
      <c r="I2503" s="16" t="str">
        <f>VLOOKUP(F2503,[1]完整分类结果!$E:$G,3,0)</f>
        <v>专用设备制造业</v>
      </c>
      <c r="J2503" s="16">
        <f>VLOOKUP(I2503,[2]行业排放因子!$A:$B,2,0)</f>
        <v>2.3522392431260499</v>
      </c>
      <c r="K2503" s="9" t="s">
        <v>756</v>
      </c>
    </row>
    <row r="2504" spans="1:11" ht="12.5" customHeight="1" x14ac:dyDescent="0.25">
      <c r="A2504" s="5" t="s">
        <v>9374</v>
      </c>
      <c r="B2504" s="6" t="s">
        <v>7578</v>
      </c>
      <c r="C2504" s="6" t="s">
        <v>8384</v>
      </c>
      <c r="D2504" s="6" t="s">
        <v>9263</v>
      </c>
      <c r="E2504" s="6" t="s">
        <v>9375</v>
      </c>
      <c r="F2504" s="6" t="s">
        <v>9376</v>
      </c>
      <c r="G2504" s="9"/>
      <c r="H2504" s="9" t="s">
        <v>18</v>
      </c>
      <c r="I2504" s="16" t="str">
        <f>VLOOKUP(F2504,[1]完整分类结果!$E:$G,3,0)</f>
        <v>专用设备制造业</v>
      </c>
      <c r="J2504" s="16">
        <f>VLOOKUP(I2504,[2]行业排放因子!$A:$B,2,0)</f>
        <v>2.3522392431260499</v>
      </c>
      <c r="K2504" s="9" t="s">
        <v>756</v>
      </c>
    </row>
    <row r="2505" spans="1:11" ht="12.5" customHeight="1" x14ac:dyDescent="0.25">
      <c r="A2505" s="5" t="s">
        <v>9377</v>
      </c>
      <c r="B2505" s="6" t="s">
        <v>7578</v>
      </c>
      <c r="C2505" s="6" t="s">
        <v>8384</v>
      </c>
      <c r="D2505" s="6" t="s">
        <v>9263</v>
      </c>
      <c r="E2505" s="6" t="s">
        <v>9378</v>
      </c>
      <c r="F2505" s="6" t="s">
        <v>9379</v>
      </c>
      <c r="G2505" s="9" t="s">
        <v>9380</v>
      </c>
      <c r="H2505" s="9" t="s">
        <v>18</v>
      </c>
      <c r="I2505" s="16" t="str">
        <f>VLOOKUP(F2505,[1]完整分类结果!$E:$G,3,0)</f>
        <v>专用设备制造业</v>
      </c>
      <c r="J2505" s="16">
        <f>VLOOKUP(I2505,[2]行业排放因子!$A:$B,2,0)</f>
        <v>2.3522392431260499</v>
      </c>
      <c r="K2505" s="9" t="s">
        <v>756</v>
      </c>
    </row>
    <row r="2506" spans="1:11" ht="12.5" customHeight="1" x14ac:dyDescent="0.25">
      <c r="A2506" s="5" t="s">
        <v>9381</v>
      </c>
      <c r="B2506" s="6" t="s">
        <v>7578</v>
      </c>
      <c r="C2506" s="6" t="s">
        <v>8384</v>
      </c>
      <c r="D2506" s="6" t="s">
        <v>9263</v>
      </c>
      <c r="E2506" s="6" t="s">
        <v>9382</v>
      </c>
      <c r="F2506" s="6" t="s">
        <v>9383</v>
      </c>
      <c r="G2506" s="9" t="s">
        <v>9384</v>
      </c>
      <c r="H2506" s="9" t="s">
        <v>18</v>
      </c>
      <c r="I2506" s="16" t="str">
        <f>VLOOKUP(F2506,[1]完整分类结果!$E:$G,3,0)</f>
        <v>专用设备制造业</v>
      </c>
      <c r="J2506" s="16">
        <f>VLOOKUP(I2506,[2]行业排放因子!$A:$B,2,0)</f>
        <v>2.3522392431260499</v>
      </c>
      <c r="K2506" s="9" t="s">
        <v>756</v>
      </c>
    </row>
    <row r="2507" spans="1:11" ht="12.5" customHeight="1" x14ac:dyDescent="0.25">
      <c r="A2507" s="5" t="s">
        <v>9385</v>
      </c>
      <c r="B2507" s="6" t="s">
        <v>7578</v>
      </c>
      <c r="C2507" s="6" t="s">
        <v>8384</v>
      </c>
      <c r="D2507" s="6" t="s">
        <v>9263</v>
      </c>
      <c r="E2507" s="6" t="s">
        <v>9386</v>
      </c>
      <c r="F2507" s="6" t="s">
        <v>9387</v>
      </c>
      <c r="G2507" s="9" t="s">
        <v>9388</v>
      </c>
      <c r="H2507" s="9" t="s">
        <v>18</v>
      </c>
      <c r="I2507" s="16" t="str">
        <f>VLOOKUP(F2507,[1]完整分类结果!$E:$G,3,0)</f>
        <v>专用设备制造业</v>
      </c>
      <c r="J2507" s="16">
        <f>VLOOKUP(I2507,[2]行业排放因子!$A:$B,2,0)</f>
        <v>2.3522392431260499</v>
      </c>
      <c r="K2507" s="9" t="s">
        <v>756</v>
      </c>
    </row>
    <row r="2508" spans="1:11" ht="12.5" customHeight="1" x14ac:dyDescent="0.25">
      <c r="A2508" s="5" t="s">
        <v>9389</v>
      </c>
      <c r="B2508" s="6" t="s">
        <v>7578</v>
      </c>
      <c r="C2508" s="6" t="s">
        <v>8384</v>
      </c>
      <c r="D2508" s="6" t="s">
        <v>9263</v>
      </c>
      <c r="E2508" s="6" t="s">
        <v>9390</v>
      </c>
      <c r="F2508" s="6" t="s">
        <v>9391</v>
      </c>
      <c r="G2508" s="9" t="s">
        <v>9392</v>
      </c>
      <c r="H2508" s="9" t="s">
        <v>18</v>
      </c>
      <c r="I2508" s="16" t="str">
        <f>VLOOKUP(F2508,[1]完整分类结果!$E:$G,3,0)</f>
        <v>专用设备制造业</v>
      </c>
      <c r="J2508" s="16">
        <f>VLOOKUP(I2508,[2]行业排放因子!$A:$B,2,0)</f>
        <v>2.3522392431260499</v>
      </c>
      <c r="K2508" s="9" t="s">
        <v>756</v>
      </c>
    </row>
    <row r="2509" spans="1:11" ht="12.5" customHeight="1" x14ac:dyDescent="0.25">
      <c r="A2509" s="5" t="s">
        <v>9393</v>
      </c>
      <c r="B2509" s="6" t="s">
        <v>7578</v>
      </c>
      <c r="C2509" s="6" t="s">
        <v>8384</v>
      </c>
      <c r="D2509" s="6" t="s">
        <v>9263</v>
      </c>
      <c r="E2509" s="6" t="s">
        <v>9394</v>
      </c>
      <c r="F2509" s="6" t="s">
        <v>9395</v>
      </c>
      <c r="G2509" s="9" t="s">
        <v>9396</v>
      </c>
      <c r="H2509" s="9" t="s">
        <v>18</v>
      </c>
      <c r="I2509" s="16" t="str">
        <f>VLOOKUP(F2509,[1]完整分类结果!$E:$G,3,0)</f>
        <v>专用设备制造业</v>
      </c>
      <c r="J2509" s="16">
        <f>VLOOKUP(I2509,[2]行业排放因子!$A:$B,2,0)</f>
        <v>2.3522392431260499</v>
      </c>
      <c r="K2509" s="9" t="s">
        <v>756</v>
      </c>
    </row>
    <row r="2510" spans="1:11" ht="12.5" customHeight="1" x14ac:dyDescent="0.25">
      <c r="A2510" s="5" t="s">
        <v>9397</v>
      </c>
      <c r="B2510" s="6" t="s">
        <v>7578</v>
      </c>
      <c r="C2510" s="6" t="s">
        <v>8384</v>
      </c>
      <c r="D2510" s="6" t="s">
        <v>9263</v>
      </c>
      <c r="E2510" s="6" t="s">
        <v>9398</v>
      </c>
      <c r="F2510" s="6" t="s">
        <v>9399</v>
      </c>
      <c r="G2510" s="9"/>
      <c r="H2510" s="9" t="s">
        <v>18</v>
      </c>
      <c r="I2510" s="16" t="str">
        <f>VLOOKUP(F2510,[1]完整分类结果!$E:$G,3,0)</f>
        <v>专用设备制造业</v>
      </c>
      <c r="J2510" s="16">
        <f>VLOOKUP(I2510,[2]行业排放因子!$A:$B,2,0)</f>
        <v>2.3522392431260499</v>
      </c>
      <c r="K2510" s="9" t="s">
        <v>756</v>
      </c>
    </row>
    <row r="2511" spans="1:11" ht="12.5" customHeight="1" x14ac:dyDescent="0.25">
      <c r="A2511" s="5" t="s">
        <v>9400</v>
      </c>
      <c r="B2511" s="6" t="s">
        <v>7578</v>
      </c>
      <c r="C2511" s="6" t="s">
        <v>8384</v>
      </c>
      <c r="D2511" s="6" t="s">
        <v>9263</v>
      </c>
      <c r="E2511" s="6" t="s">
        <v>9401</v>
      </c>
      <c r="F2511" s="6" t="s">
        <v>9402</v>
      </c>
      <c r="G2511" s="9" t="s">
        <v>9403</v>
      </c>
      <c r="H2511" s="9" t="s">
        <v>18</v>
      </c>
      <c r="I2511" s="16" t="str">
        <f>VLOOKUP(F2511,[1]完整分类结果!$E:$G,3,0)</f>
        <v>专用设备制造业</v>
      </c>
      <c r="J2511" s="16">
        <f>VLOOKUP(I2511,[2]行业排放因子!$A:$B,2,0)</f>
        <v>2.3522392431260499</v>
      </c>
      <c r="K2511" s="9" t="s">
        <v>756</v>
      </c>
    </row>
    <row r="2512" spans="1:11" ht="12.5" customHeight="1" x14ac:dyDescent="0.25">
      <c r="A2512" s="5" t="s">
        <v>9404</v>
      </c>
      <c r="B2512" s="6" t="s">
        <v>7578</v>
      </c>
      <c r="C2512" s="6" t="s">
        <v>8384</v>
      </c>
      <c r="D2512" s="6" t="s">
        <v>9263</v>
      </c>
      <c r="E2512" s="6" t="s">
        <v>9405</v>
      </c>
      <c r="F2512" s="6" t="s">
        <v>9406</v>
      </c>
      <c r="G2512" s="9"/>
      <c r="H2512" s="9" t="s">
        <v>18</v>
      </c>
      <c r="I2512" s="16" t="str">
        <f>VLOOKUP(F2512,[1]完整分类结果!$E:$G,3,0)</f>
        <v>专用设备制造业</v>
      </c>
      <c r="J2512" s="16">
        <f>VLOOKUP(I2512,[2]行业排放因子!$A:$B,2,0)</f>
        <v>2.3522392431260499</v>
      </c>
      <c r="K2512" s="9" t="s">
        <v>756</v>
      </c>
    </row>
    <row r="2513" spans="1:11" ht="12.5" customHeight="1" x14ac:dyDescent="0.25">
      <c r="A2513" s="5" t="s">
        <v>9407</v>
      </c>
      <c r="B2513" s="6" t="s">
        <v>7578</v>
      </c>
      <c r="C2513" s="6" t="s">
        <v>8384</v>
      </c>
      <c r="D2513" s="6" t="s">
        <v>9263</v>
      </c>
      <c r="E2513" s="6" t="s">
        <v>9408</v>
      </c>
      <c r="F2513" s="6" t="s">
        <v>9409</v>
      </c>
      <c r="G2513" s="9" t="s">
        <v>9410</v>
      </c>
      <c r="H2513" s="9" t="s">
        <v>18</v>
      </c>
      <c r="I2513" s="16" t="str">
        <f>VLOOKUP(F2513,[1]完整分类结果!$E:$G,3,0)</f>
        <v>专用设备制造业</v>
      </c>
      <c r="J2513" s="16">
        <f>VLOOKUP(I2513,[2]行业排放因子!$A:$B,2,0)</f>
        <v>2.3522392431260499</v>
      </c>
      <c r="K2513" s="9" t="s">
        <v>756</v>
      </c>
    </row>
    <row r="2514" spans="1:11" ht="12.5" customHeight="1" x14ac:dyDescent="0.25">
      <c r="A2514" s="5" t="s">
        <v>9411</v>
      </c>
      <c r="B2514" s="6" t="s">
        <v>7578</v>
      </c>
      <c r="C2514" s="6" t="s">
        <v>8384</v>
      </c>
      <c r="D2514" s="6" t="s">
        <v>9412</v>
      </c>
      <c r="E2514" s="6" t="s">
        <v>9413</v>
      </c>
      <c r="F2514" s="6" t="s">
        <v>9414</v>
      </c>
      <c r="G2514" s="9" t="s">
        <v>9415</v>
      </c>
      <c r="H2514" s="9" t="s">
        <v>18</v>
      </c>
      <c r="I2514" s="16" t="str">
        <f>VLOOKUP(F2514,[1]完整分类结果!$E:$G,3,0)</f>
        <v>仪器仪表及文化、办公用机械制造业</v>
      </c>
      <c r="J2514" s="16">
        <f>VLOOKUP(I2514,[2]行业排放因子!$A:$B,2,0)</f>
        <v>0.32872585603058302</v>
      </c>
      <c r="K2514" s="9" t="s">
        <v>756</v>
      </c>
    </row>
    <row r="2515" spans="1:11" ht="12.5" customHeight="1" x14ac:dyDescent="0.25">
      <c r="A2515" s="5" t="s">
        <v>9416</v>
      </c>
      <c r="B2515" s="6" t="s">
        <v>7578</v>
      </c>
      <c r="C2515" s="6" t="s">
        <v>8384</v>
      </c>
      <c r="D2515" s="6" t="s">
        <v>9412</v>
      </c>
      <c r="E2515" s="6" t="s">
        <v>9417</v>
      </c>
      <c r="F2515" s="6" t="s">
        <v>9418</v>
      </c>
      <c r="G2515" s="9" t="s">
        <v>9419</v>
      </c>
      <c r="H2515" s="9" t="s">
        <v>18</v>
      </c>
      <c r="I2515" s="16" t="str">
        <f>VLOOKUP(F2515,[1]完整分类结果!$E:$G,3,0)</f>
        <v>仪器仪表及文化、办公用机械制造业</v>
      </c>
      <c r="J2515" s="16">
        <f>VLOOKUP(I2515,[2]行业排放因子!$A:$B,2,0)</f>
        <v>0.32872585603058302</v>
      </c>
      <c r="K2515" s="9" t="s">
        <v>756</v>
      </c>
    </row>
    <row r="2516" spans="1:11" ht="12.5" customHeight="1" x14ac:dyDescent="0.25">
      <c r="A2516" s="5" t="s">
        <v>9420</v>
      </c>
      <c r="B2516" s="6" t="s">
        <v>7578</v>
      </c>
      <c r="C2516" s="6" t="s">
        <v>8384</v>
      </c>
      <c r="D2516" s="6" t="s">
        <v>9412</v>
      </c>
      <c r="E2516" s="6" t="s">
        <v>9421</v>
      </c>
      <c r="F2516" s="6" t="s">
        <v>9422</v>
      </c>
      <c r="G2516" s="9" t="s">
        <v>9423</v>
      </c>
      <c r="H2516" s="9" t="s">
        <v>18</v>
      </c>
      <c r="I2516" s="16" t="str">
        <f>VLOOKUP(F2516,[1]完整分类结果!$E:$G,3,0)</f>
        <v>仪器仪表及文化、办公用机械制造业</v>
      </c>
      <c r="J2516" s="16">
        <f>VLOOKUP(I2516,[2]行业排放因子!$A:$B,2,0)</f>
        <v>0.32872585603058302</v>
      </c>
      <c r="K2516" s="9" t="s">
        <v>756</v>
      </c>
    </row>
    <row r="2517" spans="1:11" ht="12.5" customHeight="1" x14ac:dyDescent="0.25">
      <c r="A2517" s="5" t="s">
        <v>9424</v>
      </c>
      <c r="B2517" s="6" t="s">
        <v>7578</v>
      </c>
      <c r="C2517" s="6" t="s">
        <v>8384</v>
      </c>
      <c r="D2517" s="6" t="s">
        <v>9412</v>
      </c>
      <c r="E2517" s="6" t="s">
        <v>9425</v>
      </c>
      <c r="F2517" s="6" t="s">
        <v>9426</v>
      </c>
      <c r="G2517" s="9" t="s">
        <v>9427</v>
      </c>
      <c r="H2517" s="9" t="s">
        <v>18</v>
      </c>
      <c r="I2517" s="16" t="str">
        <f>VLOOKUP(F2517,[1]完整分类结果!$E:$G,3,0)</f>
        <v>仪器仪表及文化、办公用机械制造业</v>
      </c>
      <c r="J2517" s="16">
        <f>VLOOKUP(I2517,[2]行业排放因子!$A:$B,2,0)</f>
        <v>0.32872585603058302</v>
      </c>
      <c r="K2517" s="9" t="s">
        <v>756</v>
      </c>
    </row>
    <row r="2518" spans="1:11" ht="12.5" customHeight="1" x14ac:dyDescent="0.25">
      <c r="A2518" s="5" t="s">
        <v>9428</v>
      </c>
      <c r="B2518" s="6" t="s">
        <v>7578</v>
      </c>
      <c r="C2518" s="6" t="s">
        <v>8384</v>
      </c>
      <c r="D2518" s="6" t="s">
        <v>9412</v>
      </c>
      <c r="E2518" s="6" t="s">
        <v>9429</v>
      </c>
      <c r="F2518" s="6" t="s">
        <v>9430</v>
      </c>
      <c r="G2518" s="9" t="s">
        <v>9431</v>
      </c>
      <c r="H2518" s="9" t="s">
        <v>18</v>
      </c>
      <c r="I2518" s="16" t="str">
        <f>VLOOKUP(F2518,[1]完整分类结果!$E:$G,3,0)</f>
        <v>仪器仪表及文化、办公用机械制造业</v>
      </c>
      <c r="J2518" s="16">
        <f>VLOOKUP(I2518,[2]行业排放因子!$A:$B,2,0)</f>
        <v>0.32872585603058302</v>
      </c>
      <c r="K2518" s="9" t="s">
        <v>756</v>
      </c>
    </row>
    <row r="2519" spans="1:11" ht="12.5" customHeight="1" x14ac:dyDescent="0.25">
      <c r="A2519" s="5" t="s">
        <v>9432</v>
      </c>
      <c r="B2519" s="6" t="s">
        <v>7578</v>
      </c>
      <c r="C2519" s="6" t="s">
        <v>8384</v>
      </c>
      <c r="D2519" s="6" t="s">
        <v>9412</v>
      </c>
      <c r="E2519" s="6" t="s">
        <v>9433</v>
      </c>
      <c r="F2519" s="6" t="s">
        <v>9434</v>
      </c>
      <c r="G2519" s="9" t="s">
        <v>9435</v>
      </c>
      <c r="H2519" s="9" t="s">
        <v>18</v>
      </c>
      <c r="I2519" s="16" t="str">
        <f>VLOOKUP(F2519,[1]完整分类结果!$E:$G,3,0)</f>
        <v>仪器仪表及文化、办公用机械制造业</v>
      </c>
      <c r="J2519" s="16">
        <f>VLOOKUP(I2519,[2]行业排放因子!$A:$B,2,0)</f>
        <v>0.32872585603058302</v>
      </c>
      <c r="K2519" s="9" t="s">
        <v>756</v>
      </c>
    </row>
    <row r="2520" spans="1:11" ht="12.5" customHeight="1" x14ac:dyDescent="0.25">
      <c r="A2520" s="5" t="s">
        <v>9436</v>
      </c>
      <c r="B2520" s="6" t="s">
        <v>7578</v>
      </c>
      <c r="C2520" s="6" t="s">
        <v>8384</v>
      </c>
      <c r="D2520" s="6" t="s">
        <v>9412</v>
      </c>
      <c r="E2520" s="6" t="s">
        <v>9437</v>
      </c>
      <c r="F2520" s="6" t="s">
        <v>9438</v>
      </c>
      <c r="G2520" s="9" t="s">
        <v>9439</v>
      </c>
      <c r="H2520" s="9" t="s">
        <v>18</v>
      </c>
      <c r="I2520" s="16" t="str">
        <f>VLOOKUP(F2520,[1]完整分类结果!$E:$G,3,0)</f>
        <v>仪器仪表及文化、办公用机械制造业</v>
      </c>
      <c r="J2520" s="16">
        <f>VLOOKUP(I2520,[2]行业排放因子!$A:$B,2,0)</f>
        <v>0.32872585603058302</v>
      </c>
      <c r="K2520" s="9" t="s">
        <v>756</v>
      </c>
    </row>
    <row r="2521" spans="1:11" ht="12.5" customHeight="1" x14ac:dyDescent="0.25">
      <c r="A2521" s="5" t="s">
        <v>9440</v>
      </c>
      <c r="B2521" s="6" t="s">
        <v>7578</v>
      </c>
      <c r="C2521" s="6" t="s">
        <v>8384</v>
      </c>
      <c r="D2521" s="6" t="s">
        <v>9412</v>
      </c>
      <c r="E2521" s="6" t="s">
        <v>9441</v>
      </c>
      <c r="F2521" s="6" t="s">
        <v>9442</v>
      </c>
      <c r="G2521" s="9" t="s">
        <v>9443</v>
      </c>
      <c r="H2521" s="9" t="s">
        <v>18</v>
      </c>
      <c r="I2521" s="16" t="str">
        <f>VLOOKUP(F2521,[1]完整分类结果!$E:$G,3,0)</f>
        <v>仪器仪表及文化、办公用机械制造业</v>
      </c>
      <c r="J2521" s="16">
        <f>VLOOKUP(I2521,[2]行业排放因子!$A:$B,2,0)</f>
        <v>0.32872585603058302</v>
      </c>
      <c r="K2521" s="9" t="s">
        <v>756</v>
      </c>
    </row>
    <row r="2522" spans="1:11" ht="12.5" customHeight="1" x14ac:dyDescent="0.25">
      <c r="A2522" s="5" t="s">
        <v>9444</v>
      </c>
      <c r="B2522" s="6" t="s">
        <v>7578</v>
      </c>
      <c r="C2522" s="6" t="s">
        <v>8384</v>
      </c>
      <c r="D2522" s="6" t="s">
        <v>9412</v>
      </c>
      <c r="E2522" s="6" t="s">
        <v>9445</v>
      </c>
      <c r="F2522" s="6" t="s">
        <v>9446</v>
      </c>
      <c r="G2522" s="9" t="s">
        <v>9447</v>
      </c>
      <c r="H2522" s="9" t="s">
        <v>18</v>
      </c>
      <c r="I2522" s="16" t="str">
        <f>VLOOKUP(F2522,[1]完整分类结果!$E:$G,3,0)</f>
        <v>仪器仪表及文化、办公用机械制造业</v>
      </c>
      <c r="J2522" s="16">
        <f>VLOOKUP(I2522,[2]行业排放因子!$A:$B,2,0)</f>
        <v>0.32872585603058302</v>
      </c>
      <c r="K2522" s="9" t="s">
        <v>756</v>
      </c>
    </row>
    <row r="2523" spans="1:11" ht="12.5" customHeight="1" x14ac:dyDescent="0.25">
      <c r="A2523" s="5" t="s">
        <v>9448</v>
      </c>
      <c r="B2523" s="6" t="s">
        <v>7578</v>
      </c>
      <c r="C2523" s="6" t="s">
        <v>8384</v>
      </c>
      <c r="D2523" s="6" t="s">
        <v>9412</v>
      </c>
      <c r="E2523" s="6" t="s">
        <v>9449</v>
      </c>
      <c r="F2523" s="6" t="s">
        <v>9450</v>
      </c>
      <c r="G2523" s="9" t="s">
        <v>9451</v>
      </c>
      <c r="H2523" s="9" t="s">
        <v>18</v>
      </c>
      <c r="I2523" s="16" t="str">
        <f>VLOOKUP(F2523,[1]完整分类结果!$E:$G,3,0)</f>
        <v>仪器仪表及文化、办公用机械制造业</v>
      </c>
      <c r="J2523" s="16">
        <f>VLOOKUP(I2523,[2]行业排放因子!$A:$B,2,0)</f>
        <v>0.32872585603058302</v>
      </c>
      <c r="K2523" s="9" t="s">
        <v>756</v>
      </c>
    </row>
    <row r="2524" spans="1:11" ht="12.5" customHeight="1" x14ac:dyDescent="0.25">
      <c r="A2524" s="5" t="s">
        <v>9452</v>
      </c>
      <c r="B2524" s="6" t="s">
        <v>7578</v>
      </c>
      <c r="C2524" s="6" t="s">
        <v>8384</v>
      </c>
      <c r="D2524" s="6" t="s">
        <v>9412</v>
      </c>
      <c r="E2524" s="6" t="s">
        <v>9453</v>
      </c>
      <c r="F2524" s="6" t="s">
        <v>9454</v>
      </c>
      <c r="G2524" s="9" t="s">
        <v>9455</v>
      </c>
      <c r="H2524" s="9" t="s">
        <v>18</v>
      </c>
      <c r="I2524" s="16" t="str">
        <f>VLOOKUP(F2524,[1]完整分类结果!$E:$G,3,0)</f>
        <v>仪器仪表及文化、办公用机械制造业</v>
      </c>
      <c r="J2524" s="16">
        <f>VLOOKUP(I2524,[2]行业排放因子!$A:$B,2,0)</f>
        <v>0.32872585603058302</v>
      </c>
      <c r="K2524" s="9" t="s">
        <v>756</v>
      </c>
    </row>
    <row r="2525" spans="1:11" ht="12.5" customHeight="1" x14ac:dyDescent="0.25">
      <c r="A2525" s="5" t="s">
        <v>9456</v>
      </c>
      <c r="B2525" s="6" t="s">
        <v>7578</v>
      </c>
      <c r="C2525" s="6" t="s">
        <v>8384</v>
      </c>
      <c r="D2525" s="6" t="s">
        <v>9412</v>
      </c>
      <c r="E2525" s="6" t="s">
        <v>9457</v>
      </c>
      <c r="F2525" s="6" t="s">
        <v>9458</v>
      </c>
      <c r="G2525" s="9" t="s">
        <v>9459</v>
      </c>
      <c r="H2525" s="9" t="s">
        <v>18</v>
      </c>
      <c r="I2525" s="16" t="str">
        <f>VLOOKUP(F2525,[1]完整分类结果!$E:$G,3,0)</f>
        <v>仪器仪表及文化、办公用机械制造业</v>
      </c>
      <c r="J2525" s="16">
        <f>VLOOKUP(I2525,[2]行业排放因子!$A:$B,2,0)</f>
        <v>0.32872585603058302</v>
      </c>
      <c r="K2525" s="9" t="s">
        <v>756</v>
      </c>
    </row>
    <row r="2526" spans="1:11" ht="12.5" customHeight="1" x14ac:dyDescent="0.25">
      <c r="A2526" s="5" t="s">
        <v>9460</v>
      </c>
      <c r="B2526" s="6" t="s">
        <v>7578</v>
      </c>
      <c r="C2526" s="6" t="s">
        <v>8384</v>
      </c>
      <c r="D2526" s="6" t="s">
        <v>9412</v>
      </c>
      <c r="E2526" s="6" t="s">
        <v>9461</v>
      </c>
      <c r="F2526" s="6" t="s">
        <v>9462</v>
      </c>
      <c r="G2526" s="9" t="s">
        <v>9463</v>
      </c>
      <c r="H2526" s="9" t="s">
        <v>18</v>
      </c>
      <c r="I2526" s="16" t="str">
        <f>VLOOKUP(F2526,[1]完整分类结果!$E:$G,3,0)</f>
        <v>仪器仪表及文化、办公用机械制造业</v>
      </c>
      <c r="J2526" s="16">
        <f>VLOOKUP(I2526,[2]行业排放因子!$A:$B,2,0)</f>
        <v>0.32872585603058302</v>
      </c>
      <c r="K2526" s="9" t="s">
        <v>756</v>
      </c>
    </row>
    <row r="2527" spans="1:11" ht="12.5" customHeight="1" x14ac:dyDescent="0.25">
      <c r="A2527" s="5" t="s">
        <v>9464</v>
      </c>
      <c r="B2527" s="6" t="s">
        <v>7578</v>
      </c>
      <c r="C2527" s="6" t="s">
        <v>8384</v>
      </c>
      <c r="D2527" s="6" t="s">
        <v>9412</v>
      </c>
      <c r="E2527" s="6" t="s">
        <v>9465</v>
      </c>
      <c r="F2527" s="6" t="s">
        <v>9466</v>
      </c>
      <c r="G2527" s="9" t="s">
        <v>9467</v>
      </c>
      <c r="H2527" s="9" t="s">
        <v>18</v>
      </c>
      <c r="I2527" s="16" t="str">
        <f>VLOOKUP(F2527,[1]完整分类结果!$E:$G,3,0)</f>
        <v>仪器仪表及文化、办公用机械制造业</v>
      </c>
      <c r="J2527" s="16">
        <f>VLOOKUP(I2527,[2]行业排放因子!$A:$B,2,0)</f>
        <v>0.32872585603058302</v>
      </c>
      <c r="K2527" s="9" t="s">
        <v>756</v>
      </c>
    </row>
    <row r="2528" spans="1:11" ht="12.5" customHeight="1" x14ac:dyDescent="0.25">
      <c r="A2528" s="5" t="s">
        <v>9468</v>
      </c>
      <c r="B2528" s="6" t="s">
        <v>7578</v>
      </c>
      <c r="C2528" s="6" t="s">
        <v>8384</v>
      </c>
      <c r="D2528" s="6" t="s">
        <v>9412</v>
      </c>
      <c r="E2528" s="6" t="s">
        <v>9469</v>
      </c>
      <c r="F2528" s="6" t="s">
        <v>9470</v>
      </c>
      <c r="G2528" s="9" t="s">
        <v>9471</v>
      </c>
      <c r="H2528" s="9" t="s">
        <v>18</v>
      </c>
      <c r="I2528" s="16" t="str">
        <f>VLOOKUP(F2528,[1]完整分类结果!$E:$G,3,0)</f>
        <v>仪器仪表及文化、办公用机械制造业</v>
      </c>
      <c r="J2528" s="16">
        <f>VLOOKUP(I2528,[2]行业排放因子!$A:$B,2,0)</f>
        <v>0.32872585603058302</v>
      </c>
      <c r="K2528" s="9" t="s">
        <v>756</v>
      </c>
    </row>
    <row r="2529" spans="1:11" ht="12.5" customHeight="1" x14ac:dyDescent="0.25">
      <c r="A2529" s="5" t="s">
        <v>9472</v>
      </c>
      <c r="B2529" s="6" t="s">
        <v>7578</v>
      </c>
      <c r="C2529" s="6" t="s">
        <v>8384</v>
      </c>
      <c r="D2529" s="6" t="s">
        <v>9412</v>
      </c>
      <c r="E2529" s="6" t="s">
        <v>9473</v>
      </c>
      <c r="F2529" s="6" t="s">
        <v>9474</v>
      </c>
      <c r="G2529" s="9" t="s">
        <v>9475</v>
      </c>
      <c r="H2529" s="9" t="s">
        <v>18</v>
      </c>
      <c r="I2529" s="16" t="str">
        <f>VLOOKUP(F2529,[1]完整分类结果!$E:$G,3,0)</f>
        <v>仪器仪表及文化、办公用机械制造业</v>
      </c>
      <c r="J2529" s="16">
        <f>VLOOKUP(I2529,[2]行业排放因子!$A:$B,2,0)</f>
        <v>0.32872585603058302</v>
      </c>
      <c r="K2529" s="9" t="s">
        <v>756</v>
      </c>
    </row>
    <row r="2530" spans="1:11" ht="12.5" customHeight="1" x14ac:dyDescent="0.25">
      <c r="A2530" s="5" t="s">
        <v>9476</v>
      </c>
      <c r="B2530" s="6" t="s">
        <v>7578</v>
      </c>
      <c r="C2530" s="6" t="s">
        <v>8384</v>
      </c>
      <c r="D2530" s="6" t="s">
        <v>9412</v>
      </c>
      <c r="E2530" s="6" t="s">
        <v>9477</v>
      </c>
      <c r="F2530" s="6" t="s">
        <v>9478</v>
      </c>
      <c r="G2530" s="9" t="s">
        <v>9479</v>
      </c>
      <c r="H2530" s="9" t="s">
        <v>18</v>
      </c>
      <c r="I2530" s="16" t="str">
        <f>VLOOKUP(F2530,[1]完整分类结果!$E:$G,3,0)</f>
        <v>仪器仪表及文化、办公用机械制造业</v>
      </c>
      <c r="J2530" s="16">
        <f>VLOOKUP(I2530,[2]行业排放因子!$A:$B,2,0)</f>
        <v>0.32872585603058302</v>
      </c>
      <c r="K2530" s="9" t="s">
        <v>3898</v>
      </c>
    </row>
    <row r="2531" spans="1:11" ht="12.5" customHeight="1" x14ac:dyDescent="0.25">
      <c r="A2531" s="5" t="s">
        <v>9480</v>
      </c>
      <c r="B2531" s="6" t="s">
        <v>7578</v>
      </c>
      <c r="C2531" s="6" t="s">
        <v>8384</v>
      </c>
      <c r="D2531" s="6" t="s">
        <v>9412</v>
      </c>
      <c r="E2531" s="6" t="s">
        <v>9481</v>
      </c>
      <c r="F2531" s="6" t="s">
        <v>9482</v>
      </c>
      <c r="G2531" s="9" t="s">
        <v>9483</v>
      </c>
      <c r="H2531" s="9" t="s">
        <v>18</v>
      </c>
      <c r="I2531" s="16" t="str">
        <f>VLOOKUP(F2531,[1]完整分类结果!$E:$G,3,0)</f>
        <v>仪器仪表及文化、办公用机械制造业</v>
      </c>
      <c r="J2531" s="16">
        <f>VLOOKUP(I2531,[2]行业排放因子!$A:$B,2,0)</f>
        <v>0.32872585603058302</v>
      </c>
      <c r="K2531" s="9" t="s">
        <v>756</v>
      </c>
    </row>
    <row r="2532" spans="1:11" ht="12.5" customHeight="1" x14ac:dyDescent="0.25">
      <c r="A2532" s="5" t="s">
        <v>9484</v>
      </c>
      <c r="B2532" s="6" t="s">
        <v>7578</v>
      </c>
      <c r="C2532" s="6" t="s">
        <v>8384</v>
      </c>
      <c r="D2532" s="6" t="s">
        <v>9412</v>
      </c>
      <c r="E2532" s="6" t="s">
        <v>9485</v>
      </c>
      <c r="F2532" s="6" t="s">
        <v>9486</v>
      </c>
      <c r="G2532" s="9" t="s">
        <v>9487</v>
      </c>
      <c r="H2532" s="9" t="s">
        <v>18</v>
      </c>
      <c r="I2532" s="16" t="str">
        <f>VLOOKUP(F2532,[1]完整分类结果!$E:$G,3,0)</f>
        <v>仪器仪表及文化、办公用机械制造业</v>
      </c>
      <c r="J2532" s="16">
        <f>VLOOKUP(I2532,[2]行业排放因子!$A:$B,2,0)</f>
        <v>0.32872585603058302</v>
      </c>
      <c r="K2532" s="9" t="s">
        <v>756</v>
      </c>
    </row>
    <row r="2533" spans="1:11" ht="12.5" customHeight="1" x14ac:dyDescent="0.25">
      <c r="A2533" s="5" t="s">
        <v>9488</v>
      </c>
      <c r="B2533" s="6" t="s">
        <v>7578</v>
      </c>
      <c r="C2533" s="6" t="s">
        <v>8384</v>
      </c>
      <c r="D2533" s="6" t="s">
        <v>9412</v>
      </c>
      <c r="E2533" s="6" t="s">
        <v>9489</v>
      </c>
      <c r="F2533" s="6" t="s">
        <v>9490</v>
      </c>
      <c r="G2533" s="9" t="s">
        <v>9491</v>
      </c>
      <c r="H2533" s="9" t="s">
        <v>18</v>
      </c>
      <c r="I2533" s="16" t="str">
        <f>VLOOKUP(F2533,[1]完整分类结果!$E:$G,3,0)</f>
        <v>仪器仪表及文化、办公用机械制造业</v>
      </c>
      <c r="J2533" s="16">
        <f>VLOOKUP(I2533,[2]行业排放因子!$A:$B,2,0)</f>
        <v>0.32872585603058302</v>
      </c>
      <c r="K2533" s="9" t="s">
        <v>756</v>
      </c>
    </row>
    <row r="2534" spans="1:11" ht="12.5" customHeight="1" x14ac:dyDescent="0.25">
      <c r="A2534" s="5" t="s">
        <v>9492</v>
      </c>
      <c r="B2534" s="6" t="s">
        <v>7578</v>
      </c>
      <c r="C2534" s="6" t="s">
        <v>8384</v>
      </c>
      <c r="D2534" s="6" t="s">
        <v>9412</v>
      </c>
      <c r="E2534" s="6" t="s">
        <v>9493</v>
      </c>
      <c r="F2534" s="6" t="s">
        <v>9494</v>
      </c>
      <c r="G2534" s="9" t="s">
        <v>9495</v>
      </c>
      <c r="H2534" s="9" t="s">
        <v>18</v>
      </c>
      <c r="I2534" s="16" t="str">
        <f>VLOOKUP(F2534,[1]完整分类结果!$E:$G,3,0)</f>
        <v>仪器仪表及文化、办公用机械制造业</v>
      </c>
      <c r="J2534" s="16">
        <f>VLOOKUP(I2534,[2]行业排放因子!$A:$B,2,0)</f>
        <v>0.32872585603058302</v>
      </c>
      <c r="K2534" s="9" t="s">
        <v>756</v>
      </c>
    </row>
    <row r="2535" spans="1:11" ht="12.5" customHeight="1" x14ac:dyDescent="0.25">
      <c r="A2535" s="5" t="s">
        <v>9496</v>
      </c>
      <c r="B2535" s="6" t="s">
        <v>7578</v>
      </c>
      <c r="C2535" s="6" t="s">
        <v>8384</v>
      </c>
      <c r="D2535" s="6" t="s">
        <v>9412</v>
      </c>
      <c r="E2535" s="6" t="s">
        <v>9497</v>
      </c>
      <c r="F2535" s="6" t="s">
        <v>9498</v>
      </c>
      <c r="G2535" s="9" t="s">
        <v>9499</v>
      </c>
      <c r="H2535" s="9" t="s">
        <v>18</v>
      </c>
      <c r="I2535" s="16" t="str">
        <f>VLOOKUP(F2535,[1]完整分类结果!$E:$G,3,0)</f>
        <v>仪器仪表及文化、办公用机械制造业</v>
      </c>
      <c r="J2535" s="16">
        <f>VLOOKUP(I2535,[2]行业排放因子!$A:$B,2,0)</f>
        <v>0.32872585603058302</v>
      </c>
      <c r="K2535" s="9" t="s">
        <v>756</v>
      </c>
    </row>
    <row r="2536" spans="1:11" ht="12.5" customHeight="1" x14ac:dyDescent="0.25">
      <c r="A2536" s="5" t="s">
        <v>9500</v>
      </c>
      <c r="B2536" s="6" t="s">
        <v>7578</v>
      </c>
      <c r="C2536" s="6" t="s">
        <v>8384</v>
      </c>
      <c r="D2536" s="6" t="s">
        <v>9412</v>
      </c>
      <c r="E2536" s="6" t="s">
        <v>9501</v>
      </c>
      <c r="F2536" s="6" t="s">
        <v>9502</v>
      </c>
      <c r="G2536" s="9" t="s">
        <v>9503</v>
      </c>
      <c r="H2536" s="9" t="s">
        <v>18</v>
      </c>
      <c r="I2536" s="16" t="str">
        <f>VLOOKUP(F2536,[1]完整分类结果!$E:$G,3,0)</f>
        <v>仪器仪表及文化、办公用机械制造业</v>
      </c>
      <c r="J2536" s="16">
        <f>VLOOKUP(I2536,[2]行业排放因子!$A:$B,2,0)</f>
        <v>0.32872585603058302</v>
      </c>
      <c r="K2536" s="9" t="s">
        <v>756</v>
      </c>
    </row>
    <row r="2537" spans="1:11" ht="12.5" customHeight="1" x14ac:dyDescent="0.25">
      <c r="A2537" s="5" t="s">
        <v>9504</v>
      </c>
      <c r="B2537" s="6" t="s">
        <v>7578</v>
      </c>
      <c r="C2537" s="6" t="s">
        <v>8384</v>
      </c>
      <c r="D2537" s="6" t="s">
        <v>9412</v>
      </c>
      <c r="E2537" s="6" t="s">
        <v>9505</v>
      </c>
      <c r="F2537" s="6" t="s">
        <v>9506</v>
      </c>
      <c r="G2537" s="9" t="s">
        <v>9507</v>
      </c>
      <c r="H2537" s="9" t="s">
        <v>18</v>
      </c>
      <c r="I2537" s="16" t="str">
        <f>VLOOKUP(F2537,[1]完整分类结果!$E:$G,3,0)</f>
        <v>仪器仪表及文化、办公用机械制造业</v>
      </c>
      <c r="J2537" s="16">
        <f>VLOOKUP(I2537,[2]行业排放因子!$A:$B,2,0)</f>
        <v>0.32872585603058302</v>
      </c>
      <c r="K2537" s="9" t="s">
        <v>756</v>
      </c>
    </row>
    <row r="2538" spans="1:11" ht="12.5" customHeight="1" x14ac:dyDescent="0.25">
      <c r="A2538" s="5" t="s">
        <v>9508</v>
      </c>
      <c r="B2538" s="6" t="s">
        <v>7578</v>
      </c>
      <c r="C2538" s="6" t="s">
        <v>8384</v>
      </c>
      <c r="D2538" s="6" t="s">
        <v>9412</v>
      </c>
      <c r="E2538" s="6" t="s">
        <v>9509</v>
      </c>
      <c r="F2538" s="6" t="s">
        <v>9510</v>
      </c>
      <c r="G2538" s="9" t="s">
        <v>9511</v>
      </c>
      <c r="H2538" s="9" t="s">
        <v>18</v>
      </c>
      <c r="I2538" s="16" t="str">
        <f>VLOOKUP(F2538,[1]完整分类结果!$E:$G,3,0)</f>
        <v>仪器仪表及文化、办公用机械制造业</v>
      </c>
      <c r="J2538" s="16">
        <f>VLOOKUP(I2538,[2]行业排放因子!$A:$B,2,0)</f>
        <v>0.32872585603058302</v>
      </c>
      <c r="K2538" s="9" t="s">
        <v>756</v>
      </c>
    </row>
    <row r="2539" spans="1:11" ht="12.5" customHeight="1" x14ac:dyDescent="0.25">
      <c r="A2539" s="5" t="s">
        <v>9512</v>
      </c>
      <c r="B2539" s="6" t="s">
        <v>7578</v>
      </c>
      <c r="C2539" s="6" t="s">
        <v>8384</v>
      </c>
      <c r="D2539" s="6" t="s">
        <v>9412</v>
      </c>
      <c r="E2539" s="6" t="s">
        <v>9513</v>
      </c>
      <c r="F2539" s="6" t="s">
        <v>9514</v>
      </c>
      <c r="G2539" s="9" t="s">
        <v>9515</v>
      </c>
      <c r="H2539" s="9" t="s">
        <v>18</v>
      </c>
      <c r="I2539" s="16" t="str">
        <f>VLOOKUP(F2539,[1]完整分类结果!$E:$G,3,0)</f>
        <v>仪器仪表及文化、办公用机械制造业</v>
      </c>
      <c r="J2539" s="16">
        <f>VLOOKUP(I2539,[2]行业排放因子!$A:$B,2,0)</f>
        <v>0.32872585603058302</v>
      </c>
      <c r="K2539" s="9" t="s">
        <v>756</v>
      </c>
    </row>
    <row r="2540" spans="1:11" ht="12.5" customHeight="1" x14ac:dyDescent="0.25">
      <c r="A2540" s="5" t="s">
        <v>9516</v>
      </c>
      <c r="B2540" s="6" t="s">
        <v>7578</v>
      </c>
      <c r="C2540" s="6" t="s">
        <v>8384</v>
      </c>
      <c r="D2540" s="6" t="s">
        <v>9412</v>
      </c>
      <c r="E2540" s="6" t="s">
        <v>9517</v>
      </c>
      <c r="F2540" s="6" t="s">
        <v>9518</v>
      </c>
      <c r="G2540" s="9" t="s">
        <v>9519</v>
      </c>
      <c r="H2540" s="9" t="s">
        <v>18</v>
      </c>
      <c r="I2540" s="16" t="str">
        <f>VLOOKUP(F2540,[1]完整分类结果!$E:$G,3,0)</f>
        <v>仪器仪表及文化、办公用机械制造业</v>
      </c>
      <c r="J2540" s="16">
        <f>VLOOKUP(I2540,[2]行业排放因子!$A:$B,2,0)</f>
        <v>0.32872585603058302</v>
      </c>
      <c r="K2540" s="9" t="s">
        <v>756</v>
      </c>
    </row>
    <row r="2541" spans="1:11" ht="12.5" customHeight="1" x14ac:dyDescent="0.25">
      <c r="A2541" s="5" t="s">
        <v>9520</v>
      </c>
      <c r="B2541" s="6" t="s">
        <v>7578</v>
      </c>
      <c r="C2541" s="6" t="s">
        <v>8384</v>
      </c>
      <c r="D2541" s="6" t="s">
        <v>9412</v>
      </c>
      <c r="E2541" s="6" t="s">
        <v>9521</v>
      </c>
      <c r="F2541" s="6" t="s">
        <v>9522</v>
      </c>
      <c r="G2541" s="9" t="s">
        <v>9523</v>
      </c>
      <c r="H2541" s="9" t="s">
        <v>18</v>
      </c>
      <c r="I2541" s="16" t="str">
        <f>VLOOKUP(F2541,[1]完整分类结果!$E:$G,3,0)</f>
        <v>仪器仪表及文化、办公用机械制造业</v>
      </c>
      <c r="J2541" s="16">
        <f>VLOOKUP(I2541,[2]行业排放因子!$A:$B,2,0)</f>
        <v>0.32872585603058302</v>
      </c>
      <c r="K2541" s="9" t="s">
        <v>756</v>
      </c>
    </row>
    <row r="2542" spans="1:11" ht="12.5" customHeight="1" x14ac:dyDescent="0.25">
      <c r="A2542" s="5" t="s">
        <v>9524</v>
      </c>
      <c r="B2542" s="6" t="s">
        <v>7578</v>
      </c>
      <c r="C2542" s="6" t="s">
        <v>8384</v>
      </c>
      <c r="D2542" s="6" t="s">
        <v>9412</v>
      </c>
      <c r="E2542" s="6" t="s">
        <v>9525</v>
      </c>
      <c r="F2542" s="6" t="s">
        <v>9526</v>
      </c>
      <c r="G2542" s="9" t="s">
        <v>9527</v>
      </c>
      <c r="H2542" s="9" t="s">
        <v>18</v>
      </c>
      <c r="I2542" s="16" t="str">
        <f>VLOOKUP(F2542,[1]完整分类结果!$E:$G,3,0)</f>
        <v>仪器仪表及文化、办公用机械制造业</v>
      </c>
      <c r="J2542" s="16">
        <f>VLOOKUP(I2542,[2]行业排放因子!$A:$B,2,0)</f>
        <v>0.32872585603058302</v>
      </c>
      <c r="K2542" s="9" t="s">
        <v>756</v>
      </c>
    </row>
    <row r="2543" spans="1:11" ht="12.5" customHeight="1" x14ac:dyDescent="0.25">
      <c r="A2543" s="5" t="s">
        <v>9528</v>
      </c>
      <c r="B2543" s="6" t="s">
        <v>7578</v>
      </c>
      <c r="C2543" s="6" t="s">
        <v>8384</v>
      </c>
      <c r="D2543" s="6" t="s">
        <v>9412</v>
      </c>
      <c r="E2543" s="6" t="s">
        <v>9529</v>
      </c>
      <c r="F2543" s="6" t="s">
        <v>9530</v>
      </c>
      <c r="G2543" s="9" t="s">
        <v>9531</v>
      </c>
      <c r="H2543" s="9" t="s">
        <v>18</v>
      </c>
      <c r="I2543" s="16" t="str">
        <f>VLOOKUP(F2543,[1]完整分类结果!$E:$G,3,0)</f>
        <v>仪器仪表及文化、办公用机械制造业</v>
      </c>
      <c r="J2543" s="16">
        <f>VLOOKUP(I2543,[2]行业排放因子!$A:$B,2,0)</f>
        <v>0.32872585603058302</v>
      </c>
      <c r="K2543" s="9" t="s">
        <v>756</v>
      </c>
    </row>
    <row r="2544" spans="1:11" ht="12.5" customHeight="1" x14ac:dyDescent="0.25">
      <c r="A2544" s="5" t="s">
        <v>9532</v>
      </c>
      <c r="B2544" s="6" t="s">
        <v>7578</v>
      </c>
      <c r="C2544" s="6" t="s">
        <v>8384</v>
      </c>
      <c r="D2544" s="6" t="s">
        <v>9412</v>
      </c>
      <c r="E2544" s="6" t="s">
        <v>9533</v>
      </c>
      <c r="F2544" s="6" t="s">
        <v>9534</v>
      </c>
      <c r="G2544" s="9" t="s">
        <v>9535</v>
      </c>
      <c r="H2544" s="9" t="s">
        <v>18</v>
      </c>
      <c r="I2544" s="16" t="str">
        <f>VLOOKUP(F2544,[1]完整分类结果!$E:$G,3,0)</f>
        <v>仪器仪表及文化、办公用机械制造业</v>
      </c>
      <c r="J2544" s="16">
        <f>VLOOKUP(I2544,[2]行业排放因子!$A:$B,2,0)</f>
        <v>0.32872585603058302</v>
      </c>
      <c r="K2544" s="9" t="s">
        <v>756</v>
      </c>
    </row>
    <row r="2545" spans="1:11" ht="12.5" customHeight="1" x14ac:dyDescent="0.25">
      <c r="A2545" s="5" t="s">
        <v>9536</v>
      </c>
      <c r="B2545" s="6" t="s">
        <v>7578</v>
      </c>
      <c r="C2545" s="6" t="s">
        <v>8384</v>
      </c>
      <c r="D2545" s="6" t="s">
        <v>9412</v>
      </c>
      <c r="E2545" s="6" t="s">
        <v>9537</v>
      </c>
      <c r="F2545" s="6" t="s">
        <v>9538</v>
      </c>
      <c r="G2545" s="9" t="s">
        <v>9539</v>
      </c>
      <c r="H2545" s="9" t="s">
        <v>18</v>
      </c>
      <c r="I2545" s="16" t="str">
        <f>VLOOKUP(F2545,[1]完整分类结果!$E:$G,3,0)</f>
        <v>仪器仪表及文化、办公用机械制造业</v>
      </c>
      <c r="J2545" s="16">
        <f>VLOOKUP(I2545,[2]行业排放因子!$A:$B,2,0)</f>
        <v>0.32872585603058302</v>
      </c>
      <c r="K2545" s="9" t="s">
        <v>756</v>
      </c>
    </row>
    <row r="2546" spans="1:11" ht="12.5" customHeight="1" x14ac:dyDescent="0.25">
      <c r="A2546" s="5" t="s">
        <v>9540</v>
      </c>
      <c r="B2546" s="6" t="s">
        <v>7578</v>
      </c>
      <c r="C2546" s="6" t="s">
        <v>8384</v>
      </c>
      <c r="D2546" s="6" t="s">
        <v>9412</v>
      </c>
      <c r="E2546" s="6" t="s">
        <v>9541</v>
      </c>
      <c r="F2546" s="6" t="s">
        <v>9542</v>
      </c>
      <c r="G2546" s="9" t="s">
        <v>9543</v>
      </c>
      <c r="H2546" s="9" t="s">
        <v>18</v>
      </c>
      <c r="I2546" s="16" t="str">
        <f>VLOOKUP(F2546,[1]完整分类结果!$E:$G,3,0)</f>
        <v>仪器仪表及文化、办公用机械制造业</v>
      </c>
      <c r="J2546" s="16">
        <f>VLOOKUP(I2546,[2]行业排放因子!$A:$B,2,0)</f>
        <v>0.32872585603058302</v>
      </c>
      <c r="K2546" s="9" t="s">
        <v>756</v>
      </c>
    </row>
    <row r="2547" spans="1:11" ht="12.5" customHeight="1" x14ac:dyDescent="0.25">
      <c r="A2547" s="5" t="s">
        <v>9544</v>
      </c>
      <c r="B2547" s="6" t="s">
        <v>7578</v>
      </c>
      <c r="C2547" s="6" t="s">
        <v>8384</v>
      </c>
      <c r="D2547" s="6" t="s">
        <v>9412</v>
      </c>
      <c r="E2547" s="6" t="s">
        <v>9545</v>
      </c>
      <c r="F2547" s="6" t="s">
        <v>9546</v>
      </c>
      <c r="G2547" s="9"/>
      <c r="H2547" s="9" t="s">
        <v>18</v>
      </c>
      <c r="I2547" s="16" t="str">
        <f>VLOOKUP(F2547,[1]完整分类结果!$E:$G,3,0)</f>
        <v>仪器仪表及文化、办公用机械制造业</v>
      </c>
      <c r="J2547" s="16">
        <f>VLOOKUP(I2547,[2]行业排放因子!$A:$B,2,0)</f>
        <v>0.32872585603058302</v>
      </c>
      <c r="K2547" s="9" t="s">
        <v>756</v>
      </c>
    </row>
    <row r="2548" spans="1:11" ht="12.5" customHeight="1" x14ac:dyDescent="0.25">
      <c r="A2548" s="5" t="s">
        <v>9547</v>
      </c>
      <c r="B2548" s="6" t="s">
        <v>7578</v>
      </c>
      <c r="C2548" s="6" t="s">
        <v>8384</v>
      </c>
      <c r="D2548" s="6" t="s">
        <v>9412</v>
      </c>
      <c r="E2548" s="6" t="s">
        <v>9548</v>
      </c>
      <c r="F2548" s="6" t="s">
        <v>9549</v>
      </c>
      <c r="G2548" s="9" t="s">
        <v>9550</v>
      </c>
      <c r="H2548" s="9" t="s">
        <v>18</v>
      </c>
      <c r="I2548" s="16" t="str">
        <f>VLOOKUP(F2548,[1]完整分类结果!$E:$G,3,0)</f>
        <v>仪器仪表及文化、办公用机械制造业</v>
      </c>
      <c r="J2548" s="16">
        <f>VLOOKUP(I2548,[2]行业排放因子!$A:$B,2,0)</f>
        <v>0.32872585603058302</v>
      </c>
      <c r="K2548" s="9" t="s">
        <v>756</v>
      </c>
    </row>
    <row r="2549" spans="1:11" ht="12.5" customHeight="1" x14ac:dyDescent="0.25">
      <c r="A2549" s="5" t="s">
        <v>9551</v>
      </c>
      <c r="B2549" s="6" t="s">
        <v>7578</v>
      </c>
      <c r="C2549" s="6" t="s">
        <v>8384</v>
      </c>
      <c r="D2549" s="6" t="s">
        <v>9412</v>
      </c>
      <c r="E2549" s="6" t="s">
        <v>9552</v>
      </c>
      <c r="F2549" s="6" t="s">
        <v>9553</v>
      </c>
      <c r="G2549" s="9" t="s">
        <v>9554</v>
      </c>
      <c r="H2549" s="9" t="s">
        <v>18</v>
      </c>
      <c r="I2549" s="16" t="str">
        <f>VLOOKUP(F2549,[1]完整分类结果!$E:$G,3,0)</f>
        <v>仪器仪表及文化、办公用机械制造业</v>
      </c>
      <c r="J2549" s="16">
        <f>VLOOKUP(I2549,[2]行业排放因子!$A:$B,2,0)</f>
        <v>0.32872585603058302</v>
      </c>
      <c r="K2549" s="9" t="s">
        <v>756</v>
      </c>
    </row>
    <row r="2550" spans="1:11" ht="12.5" customHeight="1" x14ac:dyDescent="0.25">
      <c r="A2550" s="5" t="s">
        <v>9555</v>
      </c>
      <c r="B2550" s="6" t="s">
        <v>7578</v>
      </c>
      <c r="C2550" s="6" t="s">
        <v>8384</v>
      </c>
      <c r="D2550" s="6" t="s">
        <v>9412</v>
      </c>
      <c r="E2550" s="6" t="s">
        <v>9556</v>
      </c>
      <c r="F2550" s="6" t="s">
        <v>9557</v>
      </c>
      <c r="G2550" s="9" t="s">
        <v>9558</v>
      </c>
      <c r="H2550" s="9" t="s">
        <v>18</v>
      </c>
      <c r="I2550" s="16" t="str">
        <f>VLOOKUP(F2550,[1]完整分类结果!$E:$G,3,0)</f>
        <v>仪器仪表及文化、办公用机械制造业</v>
      </c>
      <c r="J2550" s="16">
        <f>VLOOKUP(I2550,[2]行业排放因子!$A:$B,2,0)</f>
        <v>0.32872585603058302</v>
      </c>
      <c r="K2550" s="9" t="s">
        <v>756</v>
      </c>
    </row>
    <row r="2551" spans="1:11" ht="12.5" customHeight="1" x14ac:dyDescent="0.25">
      <c r="A2551" s="5" t="s">
        <v>9559</v>
      </c>
      <c r="B2551" s="6" t="s">
        <v>7578</v>
      </c>
      <c r="C2551" s="6" t="s">
        <v>8384</v>
      </c>
      <c r="D2551" s="6" t="s">
        <v>9412</v>
      </c>
      <c r="E2551" s="6" t="s">
        <v>9560</v>
      </c>
      <c r="F2551" s="6" t="s">
        <v>9561</v>
      </c>
      <c r="G2551" s="9" t="s">
        <v>9562</v>
      </c>
      <c r="H2551" s="9" t="s">
        <v>18</v>
      </c>
      <c r="I2551" s="16" t="str">
        <f>VLOOKUP(F2551,[1]完整分类结果!$E:$G,3,0)</f>
        <v>仪器仪表及文化、办公用机械制造业</v>
      </c>
      <c r="J2551" s="16">
        <f>VLOOKUP(I2551,[2]行业排放因子!$A:$B,2,0)</f>
        <v>0.32872585603058302</v>
      </c>
      <c r="K2551" s="9" t="s">
        <v>756</v>
      </c>
    </row>
    <row r="2552" spans="1:11" ht="12.5" customHeight="1" x14ac:dyDescent="0.25">
      <c r="A2552" s="5" t="s">
        <v>9563</v>
      </c>
      <c r="B2552" s="6" t="s">
        <v>7578</v>
      </c>
      <c r="C2552" s="6" t="s">
        <v>8384</v>
      </c>
      <c r="D2552" s="6" t="s">
        <v>9412</v>
      </c>
      <c r="E2552" s="6" t="s">
        <v>9564</v>
      </c>
      <c r="F2552" s="6" t="s">
        <v>9565</v>
      </c>
      <c r="G2552" s="9" t="s">
        <v>9566</v>
      </c>
      <c r="H2552" s="9" t="s">
        <v>18</v>
      </c>
      <c r="I2552" s="16" t="str">
        <f>VLOOKUP(F2552,[1]完整分类结果!$E:$G,3,0)</f>
        <v>仪器仪表及文化、办公用机械制造业</v>
      </c>
      <c r="J2552" s="16">
        <f>VLOOKUP(I2552,[2]行业排放因子!$A:$B,2,0)</f>
        <v>0.32872585603058302</v>
      </c>
      <c r="K2552" s="9" t="s">
        <v>756</v>
      </c>
    </row>
    <row r="2553" spans="1:11" ht="12.5" customHeight="1" x14ac:dyDescent="0.25">
      <c r="A2553" s="5" t="s">
        <v>9567</v>
      </c>
      <c r="B2553" s="6" t="s">
        <v>7578</v>
      </c>
      <c r="C2553" s="6" t="s">
        <v>8384</v>
      </c>
      <c r="D2553" s="6" t="s">
        <v>9412</v>
      </c>
      <c r="E2553" s="6" t="s">
        <v>9568</v>
      </c>
      <c r="F2553" s="6" t="s">
        <v>9569</v>
      </c>
      <c r="G2553" s="9" t="s">
        <v>9570</v>
      </c>
      <c r="H2553" s="9" t="s">
        <v>18</v>
      </c>
      <c r="I2553" s="16" t="str">
        <f>VLOOKUP(F2553,[1]完整分类结果!$E:$G,3,0)</f>
        <v>仪器仪表及文化、办公用机械制造业</v>
      </c>
      <c r="J2553" s="16">
        <f>VLOOKUP(I2553,[2]行业排放因子!$A:$B,2,0)</f>
        <v>0.32872585603058302</v>
      </c>
      <c r="K2553" s="9" t="s">
        <v>756</v>
      </c>
    </row>
    <row r="2554" spans="1:11" ht="12.5" customHeight="1" x14ac:dyDescent="0.25">
      <c r="A2554" s="5" t="s">
        <v>9571</v>
      </c>
      <c r="B2554" s="6" t="s">
        <v>7578</v>
      </c>
      <c r="C2554" s="6" t="s">
        <v>8384</v>
      </c>
      <c r="D2554" s="6" t="s">
        <v>9412</v>
      </c>
      <c r="E2554" s="6" t="s">
        <v>9572</v>
      </c>
      <c r="F2554" s="6" t="s">
        <v>9573</v>
      </c>
      <c r="G2554" s="9" t="s">
        <v>9574</v>
      </c>
      <c r="H2554" s="9" t="s">
        <v>18</v>
      </c>
      <c r="I2554" s="16" t="str">
        <f>VLOOKUP(F2554,[1]完整分类结果!$E:$G,3,0)</f>
        <v>仪器仪表及文化、办公用机械制造业</v>
      </c>
      <c r="J2554" s="16">
        <f>VLOOKUP(I2554,[2]行业排放因子!$A:$B,2,0)</f>
        <v>0.32872585603058302</v>
      </c>
      <c r="K2554" s="9" t="s">
        <v>756</v>
      </c>
    </row>
    <row r="2555" spans="1:11" ht="12.5" customHeight="1" x14ac:dyDescent="0.25">
      <c r="A2555" s="5" t="s">
        <v>9575</v>
      </c>
      <c r="B2555" s="6" t="s">
        <v>7578</v>
      </c>
      <c r="C2555" s="6" t="s">
        <v>8384</v>
      </c>
      <c r="D2555" s="6" t="s">
        <v>9412</v>
      </c>
      <c r="E2555" s="6" t="s">
        <v>9576</v>
      </c>
      <c r="F2555" s="6" t="s">
        <v>9577</v>
      </c>
      <c r="G2555" s="9"/>
      <c r="H2555" s="9" t="s">
        <v>18</v>
      </c>
      <c r="I2555" s="16" t="str">
        <f>VLOOKUP(F2555,[1]完整分类结果!$E:$G,3,0)</f>
        <v>仪器仪表及文化、办公用机械制造业</v>
      </c>
      <c r="J2555" s="16">
        <f>VLOOKUP(I2555,[2]行业排放因子!$A:$B,2,0)</f>
        <v>0.32872585603058302</v>
      </c>
      <c r="K2555" s="9" t="s">
        <v>756</v>
      </c>
    </row>
    <row r="2556" spans="1:11" ht="12.5" customHeight="1" x14ac:dyDescent="0.25">
      <c r="A2556" s="5" t="s">
        <v>9578</v>
      </c>
      <c r="B2556" s="6" t="s">
        <v>7578</v>
      </c>
      <c r="C2556" s="6" t="s">
        <v>8384</v>
      </c>
      <c r="D2556" s="6" t="s">
        <v>9412</v>
      </c>
      <c r="E2556" s="6" t="s">
        <v>9579</v>
      </c>
      <c r="F2556" s="6" t="s">
        <v>9580</v>
      </c>
      <c r="G2556" s="9" t="s">
        <v>9581</v>
      </c>
      <c r="H2556" s="9" t="s">
        <v>18</v>
      </c>
      <c r="I2556" s="16" t="str">
        <f>VLOOKUP(F2556,[1]完整分类结果!$E:$G,3,0)</f>
        <v>仪器仪表及文化、办公用机械制造业</v>
      </c>
      <c r="J2556" s="16">
        <f>VLOOKUP(I2556,[2]行业排放因子!$A:$B,2,0)</f>
        <v>0.32872585603058302</v>
      </c>
      <c r="K2556" s="9" t="s">
        <v>756</v>
      </c>
    </row>
    <row r="2557" spans="1:11" ht="12.5" customHeight="1" x14ac:dyDescent="0.25">
      <c r="A2557" s="5" t="s">
        <v>9582</v>
      </c>
      <c r="B2557" s="6" t="s">
        <v>7578</v>
      </c>
      <c r="C2557" s="6" t="s">
        <v>8384</v>
      </c>
      <c r="D2557" s="6" t="s">
        <v>9412</v>
      </c>
      <c r="E2557" s="6" t="s">
        <v>9583</v>
      </c>
      <c r="F2557" s="6" t="s">
        <v>9584</v>
      </c>
      <c r="G2557" s="9" t="s">
        <v>9585</v>
      </c>
      <c r="H2557" s="9" t="s">
        <v>18</v>
      </c>
      <c r="I2557" s="16" t="str">
        <f>VLOOKUP(F2557,[1]完整分类结果!$E:$G,3,0)</f>
        <v>仪器仪表及文化、办公用机械制造业</v>
      </c>
      <c r="J2557" s="16">
        <f>VLOOKUP(I2557,[2]行业排放因子!$A:$B,2,0)</f>
        <v>0.32872585603058302</v>
      </c>
      <c r="K2557" s="9" t="s">
        <v>756</v>
      </c>
    </row>
    <row r="2558" spans="1:11" ht="12.5" customHeight="1" x14ac:dyDescent="0.25">
      <c r="A2558" s="5" t="s">
        <v>9586</v>
      </c>
      <c r="B2558" s="6" t="s">
        <v>7578</v>
      </c>
      <c r="C2558" s="6" t="s">
        <v>8384</v>
      </c>
      <c r="D2558" s="6" t="s">
        <v>9412</v>
      </c>
      <c r="E2558" s="6" t="s">
        <v>9587</v>
      </c>
      <c r="F2558" s="6" t="s">
        <v>9588</v>
      </c>
      <c r="G2558" s="9" t="s">
        <v>9589</v>
      </c>
      <c r="H2558" s="9" t="s">
        <v>18</v>
      </c>
      <c r="I2558" s="16" t="str">
        <f>VLOOKUP(F2558,[1]完整分类结果!$E:$G,3,0)</f>
        <v>仪器仪表及文化、办公用机械制造业</v>
      </c>
      <c r="J2558" s="16">
        <f>VLOOKUP(I2558,[2]行业排放因子!$A:$B,2,0)</f>
        <v>0.32872585603058302</v>
      </c>
      <c r="K2558" s="9" t="s">
        <v>756</v>
      </c>
    </row>
    <row r="2559" spans="1:11" ht="12.5" customHeight="1" x14ac:dyDescent="0.25">
      <c r="A2559" s="5" t="s">
        <v>9590</v>
      </c>
      <c r="B2559" s="6" t="s">
        <v>7578</v>
      </c>
      <c r="C2559" s="6" t="s">
        <v>8384</v>
      </c>
      <c r="D2559" s="6" t="s">
        <v>9412</v>
      </c>
      <c r="E2559" s="6" t="s">
        <v>9591</v>
      </c>
      <c r="F2559" s="6" t="s">
        <v>9592</v>
      </c>
      <c r="G2559" s="9" t="s">
        <v>9593</v>
      </c>
      <c r="H2559" s="9" t="s">
        <v>18</v>
      </c>
      <c r="I2559" s="16" t="str">
        <f>VLOOKUP(F2559,[1]完整分类结果!$E:$G,3,0)</f>
        <v>仪器仪表及文化、办公用机械制造业</v>
      </c>
      <c r="J2559" s="16">
        <f>VLOOKUP(I2559,[2]行业排放因子!$A:$B,2,0)</f>
        <v>0.32872585603058302</v>
      </c>
      <c r="K2559" s="9" t="s">
        <v>756</v>
      </c>
    </row>
    <row r="2560" spans="1:11" ht="12.5" customHeight="1" x14ac:dyDescent="0.25">
      <c r="A2560" s="5" t="s">
        <v>9594</v>
      </c>
      <c r="B2560" s="6" t="s">
        <v>7578</v>
      </c>
      <c r="C2560" s="6" t="s">
        <v>8384</v>
      </c>
      <c r="D2560" s="6" t="s">
        <v>9412</v>
      </c>
      <c r="E2560" s="6" t="s">
        <v>9595</v>
      </c>
      <c r="F2560" s="6" t="s">
        <v>9596</v>
      </c>
      <c r="G2560" s="9" t="s">
        <v>9597</v>
      </c>
      <c r="H2560" s="9" t="s">
        <v>18</v>
      </c>
      <c r="I2560" s="16" t="str">
        <f>VLOOKUP(F2560,[1]完整分类结果!$E:$G,3,0)</f>
        <v>仪器仪表及文化、办公用机械制造业</v>
      </c>
      <c r="J2560" s="16">
        <f>VLOOKUP(I2560,[2]行业排放因子!$A:$B,2,0)</f>
        <v>0.32872585603058302</v>
      </c>
      <c r="K2560" s="9" t="s">
        <v>756</v>
      </c>
    </row>
    <row r="2561" spans="1:11" ht="12.5" customHeight="1" x14ac:dyDescent="0.25">
      <c r="A2561" s="5" t="s">
        <v>9598</v>
      </c>
      <c r="B2561" s="6" t="s">
        <v>7578</v>
      </c>
      <c r="C2561" s="6" t="s">
        <v>8384</v>
      </c>
      <c r="D2561" s="6" t="s">
        <v>9412</v>
      </c>
      <c r="E2561" s="6" t="s">
        <v>9599</v>
      </c>
      <c r="F2561" s="6" t="s">
        <v>9600</v>
      </c>
      <c r="G2561" s="9" t="s">
        <v>9601</v>
      </c>
      <c r="H2561" s="9" t="s">
        <v>18</v>
      </c>
      <c r="I2561" s="16" t="str">
        <f>VLOOKUP(F2561,[1]完整分类结果!$E:$G,3,0)</f>
        <v>仪器仪表及文化、办公用机械制造业</v>
      </c>
      <c r="J2561" s="16">
        <f>VLOOKUP(I2561,[2]行业排放因子!$A:$B,2,0)</f>
        <v>0.32872585603058302</v>
      </c>
      <c r="K2561" s="9" t="s">
        <v>756</v>
      </c>
    </row>
    <row r="2562" spans="1:11" ht="12.5" customHeight="1" x14ac:dyDescent="0.25">
      <c r="A2562" s="5" t="s">
        <v>9602</v>
      </c>
      <c r="B2562" s="6" t="s">
        <v>7578</v>
      </c>
      <c r="C2562" s="6" t="s">
        <v>8384</v>
      </c>
      <c r="D2562" s="6" t="s">
        <v>9412</v>
      </c>
      <c r="E2562" s="6" t="s">
        <v>9603</v>
      </c>
      <c r="F2562" s="6" t="s">
        <v>9604</v>
      </c>
      <c r="G2562" s="9"/>
      <c r="H2562" s="9" t="s">
        <v>18</v>
      </c>
      <c r="I2562" s="16" t="str">
        <f>VLOOKUP(F2562,[1]完整分类结果!$E:$G,3,0)</f>
        <v>仪器仪表及文化、办公用机械制造业</v>
      </c>
      <c r="J2562" s="16">
        <f>VLOOKUP(I2562,[2]行业排放因子!$A:$B,2,0)</f>
        <v>0.32872585603058302</v>
      </c>
      <c r="K2562" s="9" t="s">
        <v>756</v>
      </c>
    </row>
    <row r="2563" spans="1:11" ht="12.5" customHeight="1" x14ac:dyDescent="0.25">
      <c r="A2563" s="5" t="s">
        <v>9605</v>
      </c>
      <c r="B2563" s="6" t="s">
        <v>7578</v>
      </c>
      <c r="C2563" s="6" t="s">
        <v>8384</v>
      </c>
      <c r="D2563" s="6" t="s">
        <v>9412</v>
      </c>
      <c r="E2563" s="6" t="s">
        <v>9606</v>
      </c>
      <c r="F2563" s="6" t="s">
        <v>9607</v>
      </c>
      <c r="G2563" s="9" t="s">
        <v>9608</v>
      </c>
      <c r="H2563" s="9" t="s">
        <v>18</v>
      </c>
      <c r="I2563" s="16" t="str">
        <f>VLOOKUP(F2563,[1]完整分类结果!$E:$G,3,0)</f>
        <v>仪器仪表及文化、办公用机械制造业</v>
      </c>
      <c r="J2563" s="16">
        <f>VLOOKUP(I2563,[2]行业排放因子!$A:$B,2,0)</f>
        <v>0.32872585603058302</v>
      </c>
      <c r="K2563" s="9" t="s">
        <v>756</v>
      </c>
    </row>
    <row r="2564" spans="1:11" ht="12.5" customHeight="1" x14ac:dyDescent="0.25">
      <c r="A2564" s="5" t="s">
        <v>9609</v>
      </c>
      <c r="B2564" s="6" t="s">
        <v>7578</v>
      </c>
      <c r="C2564" s="6" t="s">
        <v>8384</v>
      </c>
      <c r="D2564" s="6" t="s">
        <v>9412</v>
      </c>
      <c r="E2564" s="6" t="s">
        <v>9610</v>
      </c>
      <c r="F2564" s="6" t="s">
        <v>9611</v>
      </c>
      <c r="G2564" s="9" t="s">
        <v>9612</v>
      </c>
      <c r="H2564" s="9" t="s">
        <v>18</v>
      </c>
      <c r="I2564" s="16" t="str">
        <f>VLOOKUP(F2564,[1]完整分类结果!$E:$G,3,0)</f>
        <v>仪器仪表及文化、办公用机械制造业</v>
      </c>
      <c r="J2564" s="16">
        <f>VLOOKUP(I2564,[2]行业排放因子!$A:$B,2,0)</f>
        <v>0.32872585603058302</v>
      </c>
      <c r="K2564" s="9" t="s">
        <v>756</v>
      </c>
    </row>
    <row r="2565" spans="1:11" ht="12.5" customHeight="1" x14ac:dyDescent="0.25">
      <c r="A2565" s="5" t="s">
        <v>9613</v>
      </c>
      <c r="B2565" s="6" t="s">
        <v>7578</v>
      </c>
      <c r="C2565" s="6" t="s">
        <v>8384</v>
      </c>
      <c r="D2565" s="6" t="s">
        <v>9412</v>
      </c>
      <c r="E2565" s="6" t="s">
        <v>9614</v>
      </c>
      <c r="F2565" s="6" t="s">
        <v>9615</v>
      </c>
      <c r="G2565" s="9" t="s">
        <v>9616</v>
      </c>
      <c r="H2565" s="9" t="s">
        <v>18</v>
      </c>
      <c r="I2565" s="16" t="str">
        <f>VLOOKUP(F2565,[1]完整分类结果!$E:$G,3,0)</f>
        <v>仪器仪表及文化、办公用机械制造业</v>
      </c>
      <c r="J2565" s="16">
        <f>VLOOKUP(I2565,[2]行业排放因子!$A:$B,2,0)</f>
        <v>0.32872585603058302</v>
      </c>
      <c r="K2565" s="9" t="s">
        <v>756</v>
      </c>
    </row>
    <row r="2566" spans="1:11" ht="12.5" customHeight="1" x14ac:dyDescent="0.25">
      <c r="A2566" s="5" t="s">
        <v>9617</v>
      </c>
      <c r="B2566" s="6" t="s">
        <v>7578</v>
      </c>
      <c r="C2566" s="6" t="s">
        <v>8384</v>
      </c>
      <c r="D2566" s="6" t="s">
        <v>9412</v>
      </c>
      <c r="E2566" s="6" t="s">
        <v>9618</v>
      </c>
      <c r="F2566" s="6" t="s">
        <v>9619</v>
      </c>
      <c r="G2566" s="9" t="s">
        <v>9620</v>
      </c>
      <c r="H2566" s="9" t="s">
        <v>18</v>
      </c>
      <c r="I2566" s="16" t="str">
        <f>VLOOKUP(F2566,[1]完整分类结果!$E:$G,3,0)</f>
        <v>仪器仪表及文化、办公用机械制造业</v>
      </c>
      <c r="J2566" s="16">
        <f>VLOOKUP(I2566,[2]行业排放因子!$A:$B,2,0)</f>
        <v>0.32872585603058302</v>
      </c>
      <c r="K2566" s="9" t="s">
        <v>756</v>
      </c>
    </row>
    <row r="2567" spans="1:11" ht="12.5" customHeight="1" x14ac:dyDescent="0.25">
      <c r="A2567" s="5" t="s">
        <v>9621</v>
      </c>
      <c r="B2567" s="6" t="s">
        <v>7578</v>
      </c>
      <c r="C2567" s="6" t="s">
        <v>8384</v>
      </c>
      <c r="D2567" s="6" t="s">
        <v>9412</v>
      </c>
      <c r="E2567" s="6" t="s">
        <v>9622</v>
      </c>
      <c r="F2567" s="6" t="s">
        <v>9623</v>
      </c>
      <c r="G2567" s="9" t="s">
        <v>9624</v>
      </c>
      <c r="H2567" s="9" t="s">
        <v>18</v>
      </c>
      <c r="I2567" s="16" t="str">
        <f>VLOOKUP(F2567,[1]完整分类结果!$E:$G,3,0)</f>
        <v>仪器仪表及文化、办公用机械制造业</v>
      </c>
      <c r="J2567" s="16">
        <f>VLOOKUP(I2567,[2]行业排放因子!$A:$B,2,0)</f>
        <v>0.32872585603058302</v>
      </c>
      <c r="K2567" s="9" t="s">
        <v>756</v>
      </c>
    </row>
    <row r="2568" spans="1:11" ht="12.5" customHeight="1" x14ac:dyDescent="0.25">
      <c r="A2568" s="5" t="s">
        <v>9625</v>
      </c>
      <c r="B2568" s="6" t="s">
        <v>7578</v>
      </c>
      <c r="C2568" s="6" t="s">
        <v>8384</v>
      </c>
      <c r="D2568" s="6" t="s">
        <v>9412</v>
      </c>
      <c r="E2568" s="6" t="s">
        <v>9626</v>
      </c>
      <c r="F2568" s="6" t="s">
        <v>9627</v>
      </c>
      <c r="G2568" s="9" t="s">
        <v>9628</v>
      </c>
      <c r="H2568" s="9" t="s">
        <v>18</v>
      </c>
      <c r="I2568" s="16" t="str">
        <f>VLOOKUP(F2568,[1]完整分类结果!$E:$G,3,0)</f>
        <v>仪器仪表及文化、办公用机械制造业</v>
      </c>
      <c r="J2568" s="16">
        <f>VLOOKUP(I2568,[2]行业排放因子!$A:$B,2,0)</f>
        <v>0.32872585603058302</v>
      </c>
      <c r="K2568" s="9" t="s">
        <v>756</v>
      </c>
    </row>
    <row r="2569" spans="1:11" ht="12.5" customHeight="1" x14ac:dyDescent="0.25">
      <c r="A2569" s="5" t="s">
        <v>9629</v>
      </c>
      <c r="B2569" s="6" t="s">
        <v>7578</v>
      </c>
      <c r="C2569" s="6" t="s">
        <v>8384</v>
      </c>
      <c r="D2569" s="6" t="s">
        <v>9412</v>
      </c>
      <c r="E2569" s="6" t="s">
        <v>9630</v>
      </c>
      <c r="F2569" s="6" t="s">
        <v>9631</v>
      </c>
      <c r="G2569" s="9"/>
      <c r="H2569" s="9" t="s">
        <v>18</v>
      </c>
      <c r="I2569" s="16" t="str">
        <f>VLOOKUP(F2569,[1]完整分类结果!$E:$G,3,0)</f>
        <v>仪器仪表及文化、办公用机械制造业</v>
      </c>
      <c r="J2569" s="16">
        <f>VLOOKUP(I2569,[2]行业排放因子!$A:$B,2,0)</f>
        <v>0.32872585603058302</v>
      </c>
      <c r="K2569" s="9" t="s">
        <v>756</v>
      </c>
    </row>
    <row r="2570" spans="1:11" ht="12.5" customHeight="1" x14ac:dyDescent="0.25">
      <c r="A2570" s="5" t="s">
        <v>9632</v>
      </c>
      <c r="B2570" s="6" t="s">
        <v>7578</v>
      </c>
      <c r="C2570" s="6" t="s">
        <v>8384</v>
      </c>
      <c r="D2570" s="6" t="s">
        <v>9412</v>
      </c>
      <c r="E2570" s="6" t="s">
        <v>9633</v>
      </c>
      <c r="F2570" s="6" t="s">
        <v>9634</v>
      </c>
      <c r="G2570" s="9" t="s">
        <v>9635</v>
      </c>
      <c r="H2570" s="9" t="s">
        <v>18</v>
      </c>
      <c r="I2570" s="16" t="str">
        <f>VLOOKUP(F2570,[1]完整分类结果!$E:$G,3,0)</f>
        <v>仪器仪表及文化、办公用机械制造业</v>
      </c>
      <c r="J2570" s="16">
        <f>VLOOKUP(I2570,[2]行业排放因子!$A:$B,2,0)</f>
        <v>0.32872585603058302</v>
      </c>
      <c r="K2570" s="9" t="s">
        <v>756</v>
      </c>
    </row>
    <row r="2571" spans="1:11" ht="12.5" customHeight="1" x14ac:dyDescent="0.25">
      <c r="A2571" s="5" t="s">
        <v>9636</v>
      </c>
      <c r="B2571" s="6" t="s">
        <v>7578</v>
      </c>
      <c r="C2571" s="6" t="s">
        <v>8384</v>
      </c>
      <c r="D2571" s="6" t="s">
        <v>9412</v>
      </c>
      <c r="E2571" s="6" t="s">
        <v>9637</v>
      </c>
      <c r="F2571" s="6" t="s">
        <v>9638</v>
      </c>
      <c r="G2571" s="9" t="s">
        <v>9639</v>
      </c>
      <c r="H2571" s="9" t="s">
        <v>18</v>
      </c>
      <c r="I2571" s="16" t="str">
        <f>VLOOKUP(F2571,[1]完整分类结果!$E:$G,3,0)</f>
        <v>仪器仪表及文化、办公用机械制造业</v>
      </c>
      <c r="J2571" s="16">
        <f>VLOOKUP(I2571,[2]行业排放因子!$A:$B,2,0)</f>
        <v>0.32872585603058302</v>
      </c>
      <c r="K2571" s="9" t="s">
        <v>756</v>
      </c>
    </row>
    <row r="2572" spans="1:11" ht="12.5" customHeight="1" x14ac:dyDescent="0.25">
      <c r="A2572" s="5" t="s">
        <v>9640</v>
      </c>
      <c r="B2572" s="6" t="s">
        <v>7578</v>
      </c>
      <c r="C2572" s="6" t="s">
        <v>8384</v>
      </c>
      <c r="D2572" s="6" t="s">
        <v>9412</v>
      </c>
      <c r="E2572" s="6" t="s">
        <v>9641</v>
      </c>
      <c r="F2572" s="6" t="s">
        <v>9642</v>
      </c>
      <c r="G2572" s="9" t="s">
        <v>9643</v>
      </c>
      <c r="H2572" s="9" t="s">
        <v>18</v>
      </c>
      <c r="I2572" s="16" t="str">
        <f>VLOOKUP(F2572,[1]完整分类结果!$E:$G,3,0)</f>
        <v>仪器仪表及文化、办公用机械制造业</v>
      </c>
      <c r="J2572" s="16">
        <f>VLOOKUP(I2572,[2]行业排放因子!$A:$B,2,0)</f>
        <v>0.32872585603058302</v>
      </c>
      <c r="K2572" s="9" t="s">
        <v>756</v>
      </c>
    </row>
    <row r="2573" spans="1:11" ht="12.5" customHeight="1" x14ac:dyDescent="0.25">
      <c r="A2573" s="5" t="s">
        <v>9644</v>
      </c>
      <c r="B2573" s="6" t="s">
        <v>7578</v>
      </c>
      <c r="C2573" s="6" t="s">
        <v>8384</v>
      </c>
      <c r="D2573" s="6" t="s">
        <v>9412</v>
      </c>
      <c r="E2573" s="6" t="s">
        <v>9645</v>
      </c>
      <c r="F2573" s="6" t="s">
        <v>9646</v>
      </c>
      <c r="G2573" s="9" t="s">
        <v>9647</v>
      </c>
      <c r="H2573" s="9" t="s">
        <v>18</v>
      </c>
      <c r="I2573" s="16" t="str">
        <f>VLOOKUP(F2573,[1]完整分类结果!$E:$G,3,0)</f>
        <v>仪器仪表及文化、办公用机械制造业</v>
      </c>
      <c r="J2573" s="16">
        <f>VLOOKUP(I2573,[2]行业排放因子!$A:$B,2,0)</f>
        <v>0.32872585603058302</v>
      </c>
      <c r="K2573" s="9" t="s">
        <v>756</v>
      </c>
    </row>
    <row r="2574" spans="1:11" ht="12.5" customHeight="1" x14ac:dyDescent="0.25">
      <c r="A2574" s="5" t="s">
        <v>9648</v>
      </c>
      <c r="B2574" s="6" t="s">
        <v>7578</v>
      </c>
      <c r="C2574" s="6" t="s">
        <v>8384</v>
      </c>
      <c r="D2574" s="6" t="s">
        <v>9649</v>
      </c>
      <c r="E2574" s="6" t="s">
        <v>9650</v>
      </c>
      <c r="F2574" s="6" t="s">
        <v>9651</v>
      </c>
      <c r="G2574" s="9" t="s">
        <v>9652</v>
      </c>
      <c r="H2574" s="9" t="s">
        <v>18</v>
      </c>
      <c r="I2574" s="16" t="str">
        <f>VLOOKUP(F2574,[1]完整分类结果!$E:$G,3,0)</f>
        <v>普通机械制造业</v>
      </c>
      <c r="J2574" s="16">
        <f>VLOOKUP(I2574,[2]行业排放因子!$A:$B,2,0)</f>
        <v>9.6615781889079599</v>
      </c>
      <c r="K2574" s="9" t="s">
        <v>756</v>
      </c>
    </row>
    <row r="2575" spans="1:11" ht="12.5" customHeight="1" x14ac:dyDescent="0.25">
      <c r="A2575" s="5" t="s">
        <v>9653</v>
      </c>
      <c r="B2575" s="6" t="s">
        <v>7578</v>
      </c>
      <c r="C2575" s="6" t="s">
        <v>8384</v>
      </c>
      <c r="D2575" s="6" t="s">
        <v>9649</v>
      </c>
      <c r="E2575" s="6" t="s">
        <v>9654</v>
      </c>
      <c r="F2575" s="6" t="s">
        <v>9655</v>
      </c>
      <c r="G2575" s="9" t="s">
        <v>9656</v>
      </c>
      <c r="H2575" s="9" t="s">
        <v>18</v>
      </c>
      <c r="I2575" s="16" t="str">
        <f>VLOOKUP(F2575,[1]完整分类结果!$E:$G,3,0)</f>
        <v>普通机械制造业</v>
      </c>
      <c r="J2575" s="16">
        <f>VLOOKUP(I2575,[2]行业排放因子!$A:$B,2,0)</f>
        <v>9.6615781889079599</v>
      </c>
      <c r="K2575" s="9" t="s">
        <v>756</v>
      </c>
    </row>
    <row r="2576" spans="1:11" ht="12.5" customHeight="1" x14ac:dyDescent="0.25">
      <c r="A2576" s="5" t="s">
        <v>9657</v>
      </c>
      <c r="B2576" s="6" t="s">
        <v>7578</v>
      </c>
      <c r="C2576" s="6" t="s">
        <v>8384</v>
      </c>
      <c r="D2576" s="6" t="s">
        <v>9649</v>
      </c>
      <c r="E2576" s="6" t="s">
        <v>9658</v>
      </c>
      <c r="F2576" s="6" t="s">
        <v>9659</v>
      </c>
      <c r="G2576" s="9" t="s">
        <v>9660</v>
      </c>
      <c r="H2576" s="9" t="s">
        <v>18</v>
      </c>
      <c r="I2576" s="16" t="str">
        <f>VLOOKUP(F2576,[1]完整分类结果!$E:$G,3,0)</f>
        <v>普通机械制造业</v>
      </c>
      <c r="J2576" s="16">
        <f>VLOOKUP(I2576,[2]行业排放因子!$A:$B,2,0)</f>
        <v>9.6615781889079599</v>
      </c>
      <c r="K2576" s="9" t="s">
        <v>756</v>
      </c>
    </row>
    <row r="2577" spans="1:11" ht="12.5" customHeight="1" x14ac:dyDescent="0.25">
      <c r="A2577" s="5" t="s">
        <v>9661</v>
      </c>
      <c r="B2577" s="6" t="s">
        <v>7578</v>
      </c>
      <c r="C2577" s="6" t="s">
        <v>8384</v>
      </c>
      <c r="D2577" s="6" t="s">
        <v>9649</v>
      </c>
      <c r="E2577" s="6" t="s">
        <v>9662</v>
      </c>
      <c r="F2577" s="6" t="s">
        <v>9663</v>
      </c>
      <c r="G2577" s="9" t="s">
        <v>9664</v>
      </c>
      <c r="H2577" s="9" t="s">
        <v>18</v>
      </c>
      <c r="I2577" s="16" t="str">
        <f>VLOOKUP(F2577,[1]完整分类结果!$E:$G,3,0)</f>
        <v>普通机械制造业</v>
      </c>
      <c r="J2577" s="16">
        <f>VLOOKUP(I2577,[2]行业排放因子!$A:$B,2,0)</f>
        <v>9.6615781889079599</v>
      </c>
      <c r="K2577" s="9" t="s">
        <v>756</v>
      </c>
    </row>
    <row r="2578" spans="1:11" ht="12.5" customHeight="1" x14ac:dyDescent="0.25">
      <c r="A2578" s="5" t="s">
        <v>9665</v>
      </c>
      <c r="B2578" s="6" t="s">
        <v>7578</v>
      </c>
      <c r="C2578" s="6" t="s">
        <v>8384</v>
      </c>
      <c r="D2578" s="6" t="s">
        <v>9649</v>
      </c>
      <c r="E2578" s="6" t="s">
        <v>9666</v>
      </c>
      <c r="F2578" s="6" t="s">
        <v>9667</v>
      </c>
      <c r="G2578" s="9" t="s">
        <v>9668</v>
      </c>
      <c r="H2578" s="9" t="s">
        <v>18</v>
      </c>
      <c r="I2578" s="16" t="str">
        <f>VLOOKUP(F2578,[1]完整分类结果!$E:$G,3,0)</f>
        <v>普通机械制造业</v>
      </c>
      <c r="J2578" s="16">
        <f>VLOOKUP(I2578,[2]行业排放因子!$A:$B,2,0)</f>
        <v>9.6615781889079599</v>
      </c>
      <c r="K2578" s="9" t="s">
        <v>756</v>
      </c>
    </row>
    <row r="2579" spans="1:11" ht="12.5" customHeight="1" x14ac:dyDescent="0.25">
      <c r="A2579" s="5" t="s">
        <v>9669</v>
      </c>
      <c r="B2579" s="6" t="s">
        <v>7578</v>
      </c>
      <c r="C2579" s="6" t="s">
        <v>8384</v>
      </c>
      <c r="D2579" s="6" t="s">
        <v>9670</v>
      </c>
      <c r="E2579" s="6" t="s">
        <v>9671</v>
      </c>
      <c r="F2579" s="6" t="s">
        <v>9672</v>
      </c>
      <c r="G2579" s="9" t="s">
        <v>9673</v>
      </c>
      <c r="H2579" s="9" t="s">
        <v>18</v>
      </c>
      <c r="I2579" s="16" t="str">
        <f>VLOOKUP(F2579,[1]完整分类结果!$E:$G,3,0)</f>
        <v>普通机械制造业</v>
      </c>
      <c r="J2579" s="16">
        <f>VLOOKUP(I2579,[2]行业排放因子!$A:$B,2,0)</f>
        <v>9.6615781889079599</v>
      </c>
      <c r="K2579" s="9" t="s">
        <v>756</v>
      </c>
    </row>
    <row r="2580" spans="1:11" ht="12.5" customHeight="1" x14ac:dyDescent="0.25">
      <c r="A2580" s="5" t="s">
        <v>9674</v>
      </c>
      <c r="B2580" s="6" t="s">
        <v>7578</v>
      </c>
      <c r="C2580" s="6" t="s">
        <v>8384</v>
      </c>
      <c r="D2580" s="6" t="s">
        <v>9670</v>
      </c>
      <c r="E2580" s="6" t="s">
        <v>9675</v>
      </c>
      <c r="F2580" s="6" t="s">
        <v>9676</v>
      </c>
      <c r="G2580" s="9" t="s">
        <v>9677</v>
      </c>
      <c r="H2580" s="9" t="s">
        <v>18</v>
      </c>
      <c r="I2580" s="16" t="str">
        <f>VLOOKUP(F2580,[1]完整分类结果!$E:$G,3,0)</f>
        <v>普通机械制造业</v>
      </c>
      <c r="J2580" s="16">
        <f>VLOOKUP(I2580,[2]行业排放因子!$A:$B,2,0)</f>
        <v>9.6615781889079599</v>
      </c>
      <c r="K2580" s="9" t="s">
        <v>756</v>
      </c>
    </row>
    <row r="2581" spans="1:11" ht="12.5" customHeight="1" x14ac:dyDescent="0.25">
      <c r="A2581" s="5" t="s">
        <v>9678</v>
      </c>
      <c r="B2581" s="6" t="s">
        <v>7578</v>
      </c>
      <c r="C2581" s="6" t="s">
        <v>8384</v>
      </c>
      <c r="D2581" s="6" t="s">
        <v>9670</v>
      </c>
      <c r="E2581" s="6" t="s">
        <v>9679</v>
      </c>
      <c r="F2581" s="6" t="s">
        <v>9680</v>
      </c>
      <c r="G2581" s="9" t="s">
        <v>9681</v>
      </c>
      <c r="H2581" s="9" t="s">
        <v>18</v>
      </c>
      <c r="I2581" s="16" t="str">
        <f>VLOOKUP(F2581,[1]完整分类结果!$E:$G,3,0)</f>
        <v>普通机械制造业</v>
      </c>
      <c r="J2581" s="16">
        <f>VLOOKUP(I2581,[2]行业排放因子!$A:$B,2,0)</f>
        <v>9.6615781889079599</v>
      </c>
      <c r="K2581" s="9" t="s">
        <v>756</v>
      </c>
    </row>
    <row r="2582" spans="1:11" ht="12.5" customHeight="1" x14ac:dyDescent="0.25">
      <c r="A2582" s="5" t="s">
        <v>9682</v>
      </c>
      <c r="B2582" s="6" t="s">
        <v>7578</v>
      </c>
      <c r="C2582" s="6" t="s">
        <v>8384</v>
      </c>
      <c r="D2582" s="6" t="s">
        <v>9670</v>
      </c>
      <c r="E2582" s="6" t="s">
        <v>9683</v>
      </c>
      <c r="F2582" s="6" t="s">
        <v>9684</v>
      </c>
      <c r="G2582" s="9"/>
      <c r="H2582" s="9" t="s">
        <v>18</v>
      </c>
      <c r="I2582" s="16" t="str">
        <f>VLOOKUP(F2582,[1]完整分类结果!$E:$G,3,0)</f>
        <v>普通机械制造业</v>
      </c>
      <c r="J2582" s="16">
        <f>VLOOKUP(I2582,[2]行业排放因子!$A:$B,2,0)</f>
        <v>9.6615781889079599</v>
      </c>
      <c r="K2582" s="9" t="s">
        <v>756</v>
      </c>
    </row>
    <row r="2583" spans="1:11" ht="12.5" customHeight="1" x14ac:dyDescent="0.25">
      <c r="A2583" s="5" t="s">
        <v>9685</v>
      </c>
      <c r="B2583" s="6" t="s">
        <v>7578</v>
      </c>
      <c r="C2583" s="6" t="s">
        <v>8384</v>
      </c>
      <c r="D2583" s="6" t="s">
        <v>9686</v>
      </c>
      <c r="E2583" s="6" t="s">
        <v>9687</v>
      </c>
      <c r="F2583" s="6" t="s">
        <v>9688</v>
      </c>
      <c r="G2583" s="9" t="s">
        <v>9689</v>
      </c>
      <c r="H2583" s="9" t="s">
        <v>18</v>
      </c>
      <c r="I2583" s="16" t="str">
        <f>VLOOKUP(F2583,[1]完整分类结果!$E:$G,3,0)</f>
        <v>普通机械制造业</v>
      </c>
      <c r="J2583" s="16">
        <f>VLOOKUP(I2583,[2]行业排放因子!$A:$B,2,0)</f>
        <v>9.6615781889079599</v>
      </c>
      <c r="K2583" s="9" t="s">
        <v>756</v>
      </c>
    </row>
    <row r="2584" spans="1:11" ht="12.5" customHeight="1" x14ac:dyDescent="0.25">
      <c r="A2584" s="5" t="s">
        <v>9690</v>
      </c>
      <c r="B2584" s="6" t="s">
        <v>7578</v>
      </c>
      <c r="C2584" s="6" t="s">
        <v>8384</v>
      </c>
      <c r="D2584" s="6" t="s">
        <v>9686</v>
      </c>
      <c r="E2584" s="6" t="s">
        <v>9691</v>
      </c>
      <c r="F2584" s="6" t="s">
        <v>9692</v>
      </c>
      <c r="G2584" s="9" t="s">
        <v>9693</v>
      </c>
      <c r="H2584" s="9" t="s">
        <v>18</v>
      </c>
      <c r="I2584" s="16" t="str">
        <f>VLOOKUP(F2584,[1]完整分类结果!$E:$G,3,0)</f>
        <v>普通机械制造业</v>
      </c>
      <c r="J2584" s="16">
        <f>VLOOKUP(I2584,[2]行业排放因子!$A:$B,2,0)</f>
        <v>9.6615781889079599</v>
      </c>
      <c r="K2584" s="9" t="s">
        <v>756</v>
      </c>
    </row>
    <row r="2585" spans="1:11" ht="12.5" customHeight="1" x14ac:dyDescent="0.25">
      <c r="A2585" s="5" t="s">
        <v>9694</v>
      </c>
      <c r="B2585" s="6" t="s">
        <v>7578</v>
      </c>
      <c r="C2585" s="6" t="s">
        <v>8384</v>
      </c>
      <c r="D2585" s="6" t="s">
        <v>9686</v>
      </c>
      <c r="E2585" s="6" t="s">
        <v>9695</v>
      </c>
      <c r="F2585" s="6" t="s">
        <v>9696</v>
      </c>
      <c r="G2585" s="9" t="s">
        <v>9697</v>
      </c>
      <c r="H2585" s="9" t="s">
        <v>18</v>
      </c>
      <c r="I2585" s="16" t="str">
        <f>VLOOKUP(F2585,[1]完整分类结果!$E:$G,3,0)</f>
        <v>普通机械制造业</v>
      </c>
      <c r="J2585" s="16">
        <f>VLOOKUP(I2585,[2]行业排放因子!$A:$B,2,0)</f>
        <v>9.6615781889079599</v>
      </c>
      <c r="K2585" s="9" t="s">
        <v>756</v>
      </c>
    </row>
    <row r="2586" spans="1:11" ht="12.5" customHeight="1" x14ac:dyDescent="0.25">
      <c r="A2586" s="5" t="s">
        <v>9698</v>
      </c>
      <c r="B2586" s="6" t="s">
        <v>7578</v>
      </c>
      <c r="C2586" s="6" t="s">
        <v>8384</v>
      </c>
      <c r="D2586" s="6" t="s">
        <v>9686</v>
      </c>
      <c r="E2586" s="6" t="s">
        <v>9699</v>
      </c>
      <c r="F2586" s="6" t="s">
        <v>9700</v>
      </c>
      <c r="G2586" s="9" t="s">
        <v>9701</v>
      </c>
      <c r="H2586" s="9" t="s">
        <v>18</v>
      </c>
      <c r="I2586" s="16" t="str">
        <f>VLOOKUP(F2586,[1]完整分类结果!$E:$G,3,0)</f>
        <v>普通机械制造业</v>
      </c>
      <c r="J2586" s="16">
        <f>VLOOKUP(I2586,[2]行业排放因子!$A:$B,2,0)</f>
        <v>9.6615781889079599</v>
      </c>
      <c r="K2586" s="9" t="s">
        <v>756</v>
      </c>
    </row>
    <row r="2587" spans="1:11" ht="12.5" customHeight="1" x14ac:dyDescent="0.25">
      <c r="A2587" s="5" t="s">
        <v>9702</v>
      </c>
      <c r="B2587" s="6" t="s">
        <v>7578</v>
      </c>
      <c r="C2587" s="6" t="s">
        <v>8384</v>
      </c>
      <c r="D2587" s="6" t="s">
        <v>9686</v>
      </c>
      <c r="E2587" s="6" t="s">
        <v>9703</v>
      </c>
      <c r="F2587" s="6" t="s">
        <v>9704</v>
      </c>
      <c r="G2587" s="9" t="s">
        <v>9705</v>
      </c>
      <c r="H2587" s="9" t="s">
        <v>18</v>
      </c>
      <c r="I2587" s="16" t="str">
        <f>VLOOKUP(F2587,[1]完整分类结果!$E:$G,3,0)</f>
        <v>普通机械制造业</v>
      </c>
      <c r="J2587" s="16">
        <f>VLOOKUP(I2587,[2]行业排放因子!$A:$B,2,0)</f>
        <v>9.6615781889079599</v>
      </c>
      <c r="K2587" s="9" t="s">
        <v>756</v>
      </c>
    </row>
    <row r="2588" spans="1:11" ht="12.5" customHeight="1" x14ac:dyDescent="0.25">
      <c r="A2588" s="5" t="s">
        <v>9706</v>
      </c>
      <c r="B2588" s="6" t="s">
        <v>7578</v>
      </c>
      <c r="C2588" s="6" t="s">
        <v>8384</v>
      </c>
      <c r="D2588" s="6" t="s">
        <v>9707</v>
      </c>
      <c r="E2588" s="6" t="s">
        <v>9708</v>
      </c>
      <c r="F2588" s="6" t="s">
        <v>9709</v>
      </c>
      <c r="G2588" s="9" t="s">
        <v>9710</v>
      </c>
      <c r="H2588" s="9" t="s">
        <v>18</v>
      </c>
      <c r="I2588" s="16" t="str">
        <f>VLOOKUP(F2588,[1]完整分类结果!$E:$G,3,0)</f>
        <v>普通机械制造业</v>
      </c>
      <c r="J2588" s="16">
        <f>VLOOKUP(I2588,[2]行业排放因子!$A:$B,2,0)</f>
        <v>9.6615781889079599</v>
      </c>
      <c r="K2588" s="9" t="s">
        <v>756</v>
      </c>
    </row>
    <row r="2589" spans="1:11" ht="12.5" customHeight="1" x14ac:dyDescent="0.25">
      <c r="A2589" s="5" t="s">
        <v>9711</v>
      </c>
      <c r="B2589" s="6" t="s">
        <v>7578</v>
      </c>
      <c r="C2589" s="6" t="s">
        <v>8384</v>
      </c>
      <c r="D2589" s="6" t="s">
        <v>9707</v>
      </c>
      <c r="E2589" s="6" t="s">
        <v>9712</v>
      </c>
      <c r="F2589" s="6" t="s">
        <v>9713</v>
      </c>
      <c r="G2589" s="9" t="s">
        <v>9714</v>
      </c>
      <c r="H2589" s="9" t="s">
        <v>18</v>
      </c>
      <c r="I2589" s="16" t="str">
        <f>VLOOKUP(F2589,[1]完整分类结果!$E:$G,3,0)</f>
        <v>普通机械制造业</v>
      </c>
      <c r="J2589" s="16">
        <f>VLOOKUP(I2589,[2]行业排放因子!$A:$B,2,0)</f>
        <v>9.6615781889079599</v>
      </c>
      <c r="K2589" s="9" t="s">
        <v>756</v>
      </c>
    </row>
    <row r="2590" spans="1:11" ht="12.5" customHeight="1" x14ac:dyDescent="0.25">
      <c r="A2590" s="5" t="s">
        <v>9715</v>
      </c>
      <c r="B2590" s="6" t="s">
        <v>7578</v>
      </c>
      <c r="C2590" s="6" t="s">
        <v>8384</v>
      </c>
      <c r="D2590" s="6" t="s">
        <v>9707</v>
      </c>
      <c r="E2590" s="6" t="s">
        <v>9716</v>
      </c>
      <c r="F2590" s="6" t="s">
        <v>9717</v>
      </c>
      <c r="G2590" s="9" t="s">
        <v>9718</v>
      </c>
      <c r="H2590" s="9" t="s">
        <v>18</v>
      </c>
      <c r="I2590" s="16" t="str">
        <f>VLOOKUP(F2590,[1]完整分类结果!$E:$G,3,0)</f>
        <v>普通机械制造业</v>
      </c>
      <c r="J2590" s="16">
        <f>VLOOKUP(I2590,[2]行业排放因子!$A:$B,2,0)</f>
        <v>9.6615781889079599</v>
      </c>
      <c r="K2590" s="9" t="s">
        <v>756</v>
      </c>
    </row>
    <row r="2591" spans="1:11" ht="12.5" customHeight="1" x14ac:dyDescent="0.25">
      <c r="A2591" s="5" t="s">
        <v>9719</v>
      </c>
      <c r="B2591" s="6" t="s">
        <v>7578</v>
      </c>
      <c r="C2591" s="6" t="s">
        <v>8384</v>
      </c>
      <c r="D2591" s="6" t="s">
        <v>9707</v>
      </c>
      <c r="E2591" s="6" t="s">
        <v>9720</v>
      </c>
      <c r="F2591" s="6" t="s">
        <v>9721</v>
      </c>
      <c r="G2591" s="9"/>
      <c r="H2591" s="9" t="s">
        <v>18</v>
      </c>
      <c r="I2591" s="16" t="str">
        <f>VLOOKUP(F2591,[1]完整分类结果!$E:$G,3,0)</f>
        <v>普通机械制造业</v>
      </c>
      <c r="J2591" s="16">
        <f>VLOOKUP(I2591,[2]行业排放因子!$A:$B,2,0)</f>
        <v>9.6615781889079599</v>
      </c>
      <c r="K2591" s="9" t="s">
        <v>756</v>
      </c>
    </row>
    <row r="2592" spans="1:11" ht="12.5" customHeight="1" x14ac:dyDescent="0.25">
      <c r="A2592" s="5" t="s">
        <v>9722</v>
      </c>
      <c r="B2592" s="6" t="s">
        <v>7578</v>
      </c>
      <c r="C2592" s="6" t="s">
        <v>8384</v>
      </c>
      <c r="D2592" s="6" t="s">
        <v>9707</v>
      </c>
      <c r="E2592" s="6" t="s">
        <v>9723</v>
      </c>
      <c r="F2592" s="6" t="s">
        <v>9724</v>
      </c>
      <c r="G2592" s="9" t="s">
        <v>9725</v>
      </c>
      <c r="H2592" s="9" t="s">
        <v>18</v>
      </c>
      <c r="I2592" s="16" t="str">
        <f>VLOOKUP(F2592,[1]完整分类结果!$E:$G,3,0)</f>
        <v>普通机械制造业</v>
      </c>
      <c r="J2592" s="16">
        <f>VLOOKUP(I2592,[2]行业排放因子!$A:$B,2,0)</f>
        <v>9.6615781889079599</v>
      </c>
      <c r="K2592" s="9" t="s">
        <v>3898</v>
      </c>
    </row>
    <row r="2593" spans="1:11" ht="12.5" customHeight="1" x14ac:dyDescent="0.25">
      <c r="A2593" s="5" t="s">
        <v>9726</v>
      </c>
      <c r="B2593" s="6" t="s">
        <v>7578</v>
      </c>
      <c r="C2593" s="6" t="s">
        <v>8384</v>
      </c>
      <c r="D2593" s="6" t="s">
        <v>9707</v>
      </c>
      <c r="E2593" s="6" t="s">
        <v>9727</v>
      </c>
      <c r="F2593" s="6" t="s">
        <v>9728</v>
      </c>
      <c r="G2593" s="9" t="s">
        <v>9729</v>
      </c>
      <c r="H2593" s="9" t="s">
        <v>18</v>
      </c>
      <c r="I2593" s="16" t="str">
        <f>VLOOKUP(F2593,[1]完整分类结果!$E:$G,3,0)</f>
        <v>普通机械制造业</v>
      </c>
      <c r="J2593" s="16">
        <f>VLOOKUP(I2593,[2]行业排放因子!$A:$B,2,0)</f>
        <v>9.6615781889079599</v>
      </c>
      <c r="K2593" s="9" t="s">
        <v>756</v>
      </c>
    </row>
    <row r="2594" spans="1:11" ht="12.5" customHeight="1" x14ac:dyDescent="0.25">
      <c r="A2594" s="5" t="s">
        <v>9730</v>
      </c>
      <c r="B2594" s="6" t="s">
        <v>7578</v>
      </c>
      <c r="C2594" s="6" t="s">
        <v>8384</v>
      </c>
      <c r="D2594" s="6" t="s">
        <v>9707</v>
      </c>
      <c r="E2594" s="6" t="s">
        <v>9731</v>
      </c>
      <c r="F2594" s="6" t="s">
        <v>9732</v>
      </c>
      <c r="G2594" s="9" t="s">
        <v>9733</v>
      </c>
      <c r="H2594" s="9" t="s">
        <v>18</v>
      </c>
      <c r="I2594" s="16" t="str">
        <f>VLOOKUP(F2594,[1]完整分类结果!$E:$G,3,0)</f>
        <v>普通机械制造业</v>
      </c>
      <c r="J2594" s="16">
        <f>VLOOKUP(I2594,[2]行业排放因子!$A:$B,2,0)</f>
        <v>9.6615781889079599</v>
      </c>
      <c r="K2594" s="9" t="s">
        <v>756</v>
      </c>
    </row>
    <row r="2595" spans="1:11" ht="12.5" customHeight="1" x14ac:dyDescent="0.25">
      <c r="A2595" s="5" t="s">
        <v>9734</v>
      </c>
      <c r="B2595" s="6" t="s">
        <v>7578</v>
      </c>
      <c r="C2595" s="6" t="s">
        <v>8384</v>
      </c>
      <c r="D2595" s="6" t="s">
        <v>9735</v>
      </c>
      <c r="E2595" s="6" t="s">
        <v>9736</v>
      </c>
      <c r="F2595" s="6" t="s">
        <v>9737</v>
      </c>
      <c r="G2595" s="9" t="s">
        <v>9738</v>
      </c>
      <c r="H2595" s="9" t="s">
        <v>18</v>
      </c>
      <c r="I2595" s="16" t="str">
        <f>VLOOKUP(F2595,[1]完整分类结果!$E:$G,3,0)</f>
        <v>普通机械制造业</v>
      </c>
      <c r="J2595" s="16">
        <f>VLOOKUP(I2595,[2]行业排放因子!$A:$B,2,0)</f>
        <v>9.6615781889079599</v>
      </c>
      <c r="K2595" s="9" t="s">
        <v>756</v>
      </c>
    </row>
    <row r="2596" spans="1:11" ht="12.5" customHeight="1" x14ac:dyDescent="0.25">
      <c r="A2596" s="5" t="s">
        <v>9739</v>
      </c>
      <c r="B2596" s="6" t="s">
        <v>7578</v>
      </c>
      <c r="C2596" s="6" t="s">
        <v>8384</v>
      </c>
      <c r="D2596" s="6" t="s">
        <v>9735</v>
      </c>
      <c r="E2596" s="6" t="s">
        <v>9740</v>
      </c>
      <c r="F2596" s="6" t="s">
        <v>9741</v>
      </c>
      <c r="G2596" s="9" t="s">
        <v>9742</v>
      </c>
      <c r="H2596" s="9" t="s">
        <v>18</v>
      </c>
      <c r="I2596" s="16" t="str">
        <f>VLOOKUP(F2596,[1]完整分类结果!$E:$G,3,0)</f>
        <v>普通机械制造业</v>
      </c>
      <c r="J2596" s="16">
        <f>VLOOKUP(I2596,[2]行业排放因子!$A:$B,2,0)</f>
        <v>9.6615781889079599</v>
      </c>
      <c r="K2596" s="9" t="s">
        <v>756</v>
      </c>
    </row>
    <row r="2597" spans="1:11" ht="12.5" customHeight="1" x14ac:dyDescent="0.25">
      <c r="A2597" s="5" t="s">
        <v>9743</v>
      </c>
      <c r="B2597" s="6" t="s">
        <v>7578</v>
      </c>
      <c r="C2597" s="6" t="s">
        <v>8384</v>
      </c>
      <c r="D2597" s="6" t="s">
        <v>9735</v>
      </c>
      <c r="E2597" s="6" t="s">
        <v>9744</v>
      </c>
      <c r="F2597" s="6" t="s">
        <v>9745</v>
      </c>
      <c r="G2597" s="9"/>
      <c r="H2597" s="9" t="s">
        <v>18</v>
      </c>
      <c r="I2597" s="16" t="str">
        <f>VLOOKUP(F2597,[1]完整分类结果!$E:$G,3,0)</f>
        <v>普通机械制造业</v>
      </c>
      <c r="J2597" s="16">
        <f>VLOOKUP(I2597,[2]行业排放因子!$A:$B,2,0)</f>
        <v>9.6615781889079599</v>
      </c>
      <c r="K2597" s="9" t="s">
        <v>756</v>
      </c>
    </row>
    <row r="2598" spans="1:11" ht="12.5" customHeight="1" x14ac:dyDescent="0.25">
      <c r="A2598" s="5" t="s">
        <v>9746</v>
      </c>
      <c r="B2598" s="6" t="s">
        <v>7578</v>
      </c>
      <c r="C2598" s="6" t="s">
        <v>8384</v>
      </c>
      <c r="D2598" s="6" t="s">
        <v>9735</v>
      </c>
      <c r="E2598" s="6" t="s">
        <v>9747</v>
      </c>
      <c r="F2598" s="6" t="s">
        <v>9748</v>
      </c>
      <c r="G2598" s="9" t="s">
        <v>9749</v>
      </c>
      <c r="H2598" s="9" t="s">
        <v>18</v>
      </c>
      <c r="I2598" s="16" t="str">
        <f>VLOOKUP(F2598,[1]完整分类结果!$E:$G,3,0)</f>
        <v>普通机械制造业</v>
      </c>
      <c r="J2598" s="16">
        <f>VLOOKUP(I2598,[2]行业排放因子!$A:$B,2,0)</f>
        <v>9.6615781889079599</v>
      </c>
      <c r="K2598" s="9" t="s">
        <v>756</v>
      </c>
    </row>
    <row r="2599" spans="1:11" ht="12.5" customHeight="1" x14ac:dyDescent="0.25">
      <c r="A2599" s="5" t="s">
        <v>9750</v>
      </c>
      <c r="B2599" s="6" t="s">
        <v>7578</v>
      </c>
      <c r="C2599" s="6" t="s">
        <v>8384</v>
      </c>
      <c r="D2599" s="6" t="s">
        <v>9735</v>
      </c>
      <c r="E2599" s="6" t="s">
        <v>9751</v>
      </c>
      <c r="F2599" s="6" t="s">
        <v>9752</v>
      </c>
      <c r="G2599" s="9" t="s">
        <v>9753</v>
      </c>
      <c r="H2599" s="9" t="s">
        <v>18</v>
      </c>
      <c r="I2599" s="16" t="str">
        <f>VLOOKUP(F2599,[1]完整分类结果!$E:$G,3,0)</f>
        <v>普通机械制造业</v>
      </c>
      <c r="J2599" s="16">
        <f>VLOOKUP(I2599,[2]行业排放因子!$A:$B,2,0)</f>
        <v>9.6615781889079599</v>
      </c>
      <c r="K2599" s="9" t="s">
        <v>756</v>
      </c>
    </row>
    <row r="2600" spans="1:11" ht="12.5" customHeight="1" x14ac:dyDescent="0.25">
      <c r="A2600" s="5" t="s">
        <v>9754</v>
      </c>
      <c r="B2600" s="6" t="s">
        <v>7578</v>
      </c>
      <c r="C2600" s="6" t="s">
        <v>8384</v>
      </c>
      <c r="D2600" s="6" t="s">
        <v>9735</v>
      </c>
      <c r="E2600" s="6" t="s">
        <v>9755</v>
      </c>
      <c r="F2600" s="6" t="s">
        <v>9756</v>
      </c>
      <c r="G2600" s="9" t="s">
        <v>9757</v>
      </c>
      <c r="H2600" s="9" t="s">
        <v>18</v>
      </c>
      <c r="I2600" s="16" t="str">
        <f>VLOOKUP(F2600,[1]完整分类结果!$E:$G,3,0)</f>
        <v>普通机械制造业</v>
      </c>
      <c r="J2600" s="16">
        <f>VLOOKUP(I2600,[2]行业排放因子!$A:$B,2,0)</f>
        <v>9.6615781889079599</v>
      </c>
      <c r="K2600" s="9" t="s">
        <v>756</v>
      </c>
    </row>
    <row r="2601" spans="1:11" ht="12.5" customHeight="1" x14ac:dyDescent="0.25">
      <c r="A2601" s="5" t="s">
        <v>9758</v>
      </c>
      <c r="B2601" s="6" t="s">
        <v>7578</v>
      </c>
      <c r="C2601" s="6" t="s">
        <v>8384</v>
      </c>
      <c r="D2601" s="6" t="s">
        <v>9735</v>
      </c>
      <c r="E2601" s="6" t="s">
        <v>9759</v>
      </c>
      <c r="F2601" s="6" t="s">
        <v>9760</v>
      </c>
      <c r="G2601" s="9" t="s">
        <v>9761</v>
      </c>
      <c r="H2601" s="9" t="s">
        <v>18</v>
      </c>
      <c r="I2601" s="16" t="str">
        <f>VLOOKUP(F2601,[1]完整分类结果!$E:$G,3,0)</f>
        <v>普通机械制造业</v>
      </c>
      <c r="J2601" s="16">
        <f>VLOOKUP(I2601,[2]行业排放因子!$A:$B,2,0)</f>
        <v>9.6615781889079599</v>
      </c>
      <c r="K2601" s="9" t="s">
        <v>756</v>
      </c>
    </row>
    <row r="2602" spans="1:11" ht="12.5" customHeight="1" x14ac:dyDescent="0.25">
      <c r="A2602" s="5" t="s">
        <v>9762</v>
      </c>
      <c r="B2602" s="6" t="s">
        <v>7578</v>
      </c>
      <c r="C2602" s="6" t="s">
        <v>8384</v>
      </c>
      <c r="D2602" s="6" t="s">
        <v>9735</v>
      </c>
      <c r="E2602" s="6" t="s">
        <v>9763</v>
      </c>
      <c r="F2602" s="6" t="s">
        <v>9764</v>
      </c>
      <c r="G2602" s="9" t="s">
        <v>9765</v>
      </c>
      <c r="H2602" s="9" t="s">
        <v>18</v>
      </c>
      <c r="I2602" s="16" t="str">
        <f>VLOOKUP(F2602,[1]完整分类结果!$E:$G,3,0)</f>
        <v>普通机械制造业</v>
      </c>
      <c r="J2602" s="16">
        <f>VLOOKUP(I2602,[2]行业排放因子!$A:$B,2,0)</f>
        <v>9.6615781889079599</v>
      </c>
      <c r="K2602" s="9" t="s">
        <v>756</v>
      </c>
    </row>
    <row r="2603" spans="1:11" ht="12.5" customHeight="1" x14ac:dyDescent="0.25">
      <c r="A2603" s="5" t="s">
        <v>9766</v>
      </c>
      <c r="B2603" s="6" t="s">
        <v>7578</v>
      </c>
      <c r="C2603" s="6" t="s">
        <v>8384</v>
      </c>
      <c r="D2603" s="6" t="s">
        <v>9735</v>
      </c>
      <c r="E2603" s="6" t="s">
        <v>9767</v>
      </c>
      <c r="F2603" s="6" t="s">
        <v>9768</v>
      </c>
      <c r="G2603" s="9" t="s">
        <v>9769</v>
      </c>
      <c r="H2603" s="9" t="s">
        <v>18</v>
      </c>
      <c r="I2603" s="16" t="str">
        <f>VLOOKUP(F2603,[1]完整分类结果!$E:$G,3,0)</f>
        <v>普通机械制造业</v>
      </c>
      <c r="J2603" s="16">
        <f>VLOOKUP(I2603,[2]行业排放因子!$A:$B,2,0)</f>
        <v>9.6615781889079599</v>
      </c>
      <c r="K2603" s="9" t="s">
        <v>756</v>
      </c>
    </row>
    <row r="2604" spans="1:11" ht="12.5" customHeight="1" x14ac:dyDescent="0.25">
      <c r="A2604" s="5" t="s">
        <v>9770</v>
      </c>
      <c r="B2604" s="6" t="s">
        <v>7578</v>
      </c>
      <c r="C2604" s="6" t="s">
        <v>8384</v>
      </c>
      <c r="D2604" s="6" t="s">
        <v>9735</v>
      </c>
      <c r="E2604" s="6" t="s">
        <v>9771</v>
      </c>
      <c r="F2604" s="6" t="s">
        <v>9772</v>
      </c>
      <c r="G2604" s="9" t="s">
        <v>9773</v>
      </c>
      <c r="H2604" s="9" t="s">
        <v>18</v>
      </c>
      <c r="I2604" s="16" t="str">
        <f>VLOOKUP(F2604,[1]完整分类结果!$E:$G,3,0)</f>
        <v>普通机械制造业</v>
      </c>
      <c r="J2604" s="16">
        <f>VLOOKUP(I2604,[2]行业排放因子!$A:$B,2,0)</f>
        <v>9.6615781889079599</v>
      </c>
      <c r="K2604" s="9" t="s">
        <v>756</v>
      </c>
    </row>
    <row r="2605" spans="1:11" ht="12.5" customHeight="1" x14ac:dyDescent="0.25">
      <c r="A2605" s="5" t="s">
        <v>9774</v>
      </c>
      <c r="B2605" s="6" t="s">
        <v>7578</v>
      </c>
      <c r="C2605" s="6" t="s">
        <v>8384</v>
      </c>
      <c r="D2605" s="6" t="s">
        <v>9735</v>
      </c>
      <c r="E2605" s="6" t="s">
        <v>9775</v>
      </c>
      <c r="F2605" s="6" t="s">
        <v>9776</v>
      </c>
      <c r="G2605" s="9" t="s">
        <v>9777</v>
      </c>
      <c r="H2605" s="9" t="s">
        <v>18</v>
      </c>
      <c r="I2605" s="16" t="str">
        <f>VLOOKUP(F2605,[1]完整分类结果!$E:$G,3,0)</f>
        <v>普通机械制造业</v>
      </c>
      <c r="J2605" s="16">
        <f>VLOOKUP(I2605,[2]行业排放因子!$A:$B,2,0)</f>
        <v>9.6615781889079599</v>
      </c>
      <c r="K2605" s="9" t="s">
        <v>756</v>
      </c>
    </row>
    <row r="2606" spans="1:11" ht="12.5" customHeight="1" x14ac:dyDescent="0.25">
      <c r="A2606" s="5" t="s">
        <v>9778</v>
      </c>
      <c r="B2606" s="6" t="s">
        <v>7578</v>
      </c>
      <c r="C2606" s="6" t="s">
        <v>8384</v>
      </c>
      <c r="D2606" s="6" t="s">
        <v>9779</v>
      </c>
      <c r="E2606" s="6" t="s">
        <v>9780</v>
      </c>
      <c r="F2606" s="6" t="s">
        <v>9781</v>
      </c>
      <c r="G2606" s="9" t="s">
        <v>9782</v>
      </c>
      <c r="H2606" s="9" t="s">
        <v>18</v>
      </c>
      <c r="I2606" s="16" t="str">
        <f>VLOOKUP(F2606,[1]完整分类结果!$E:$G,3,0)</f>
        <v>普通机械制造业</v>
      </c>
      <c r="J2606" s="16">
        <f>VLOOKUP(I2606,[2]行业排放因子!$A:$B,2,0)</f>
        <v>9.6615781889079599</v>
      </c>
      <c r="K2606" s="9" t="s">
        <v>756</v>
      </c>
    </row>
    <row r="2607" spans="1:11" ht="12.5" customHeight="1" x14ac:dyDescent="0.25">
      <c r="A2607" s="5" t="s">
        <v>9783</v>
      </c>
      <c r="B2607" s="6" t="s">
        <v>7578</v>
      </c>
      <c r="C2607" s="6" t="s">
        <v>8384</v>
      </c>
      <c r="D2607" s="6" t="s">
        <v>9779</v>
      </c>
      <c r="E2607" s="6" t="s">
        <v>9784</v>
      </c>
      <c r="F2607" s="6" t="s">
        <v>9785</v>
      </c>
      <c r="G2607" s="9" t="s">
        <v>9786</v>
      </c>
      <c r="H2607" s="9" t="s">
        <v>18</v>
      </c>
      <c r="I2607" s="16" t="str">
        <f>VLOOKUP(F2607,[1]完整分类结果!$E:$G,3,0)</f>
        <v>普通机械制造业</v>
      </c>
      <c r="J2607" s="16">
        <f>VLOOKUP(I2607,[2]行业排放因子!$A:$B,2,0)</f>
        <v>9.6615781889079599</v>
      </c>
      <c r="K2607" s="9" t="s">
        <v>756</v>
      </c>
    </row>
    <row r="2608" spans="1:11" ht="12.5" customHeight="1" x14ac:dyDescent="0.25">
      <c r="A2608" s="5" t="s">
        <v>9787</v>
      </c>
      <c r="B2608" s="6" t="s">
        <v>7578</v>
      </c>
      <c r="C2608" s="6" t="s">
        <v>8384</v>
      </c>
      <c r="D2608" s="6" t="s">
        <v>9779</v>
      </c>
      <c r="E2608" s="6" t="s">
        <v>9788</v>
      </c>
      <c r="F2608" s="6" t="s">
        <v>9789</v>
      </c>
      <c r="G2608" s="9" t="s">
        <v>9790</v>
      </c>
      <c r="H2608" s="9" t="s">
        <v>18</v>
      </c>
      <c r="I2608" s="16" t="str">
        <f>VLOOKUP(F2608,[1]完整分类结果!$E:$G,3,0)</f>
        <v>普通机械制造业</v>
      </c>
      <c r="J2608" s="16">
        <f>VLOOKUP(I2608,[2]行业排放因子!$A:$B,2,0)</f>
        <v>9.6615781889079599</v>
      </c>
      <c r="K2608" s="9" t="s">
        <v>756</v>
      </c>
    </row>
    <row r="2609" spans="1:11" ht="12.5" customHeight="1" x14ac:dyDescent="0.25">
      <c r="A2609" s="5" t="s">
        <v>9791</v>
      </c>
      <c r="B2609" s="6" t="s">
        <v>7578</v>
      </c>
      <c r="C2609" s="6" t="s">
        <v>8384</v>
      </c>
      <c r="D2609" s="6" t="s">
        <v>9779</v>
      </c>
      <c r="E2609" s="6" t="s">
        <v>9792</v>
      </c>
      <c r="F2609" s="6" t="s">
        <v>9793</v>
      </c>
      <c r="G2609" s="9" t="s">
        <v>9794</v>
      </c>
      <c r="H2609" s="9" t="s">
        <v>18</v>
      </c>
      <c r="I2609" s="16" t="str">
        <f>VLOOKUP(F2609,[1]完整分类结果!$E:$G,3,0)</f>
        <v>普通机械制造业</v>
      </c>
      <c r="J2609" s="16">
        <f>VLOOKUP(I2609,[2]行业排放因子!$A:$B,2,0)</f>
        <v>9.6615781889079599</v>
      </c>
      <c r="K2609" s="9" t="s">
        <v>756</v>
      </c>
    </row>
    <row r="2610" spans="1:11" ht="12.5" customHeight="1" x14ac:dyDescent="0.25">
      <c r="A2610" s="5" t="s">
        <v>9795</v>
      </c>
      <c r="B2610" s="6" t="s">
        <v>7578</v>
      </c>
      <c r="C2610" s="6" t="s">
        <v>8384</v>
      </c>
      <c r="D2610" s="6" t="s">
        <v>9779</v>
      </c>
      <c r="E2610" s="6" t="s">
        <v>9796</v>
      </c>
      <c r="F2610" s="6" t="s">
        <v>9797</v>
      </c>
      <c r="G2610" s="9" t="s">
        <v>9798</v>
      </c>
      <c r="H2610" s="9" t="s">
        <v>18</v>
      </c>
      <c r="I2610" s="16" t="str">
        <f>VLOOKUP(F2610,[1]完整分类结果!$E:$G,3,0)</f>
        <v>普通机械制造业</v>
      </c>
      <c r="J2610" s="16">
        <f>VLOOKUP(I2610,[2]行业排放因子!$A:$B,2,0)</f>
        <v>9.6615781889079599</v>
      </c>
      <c r="K2610" s="9" t="s">
        <v>756</v>
      </c>
    </row>
    <row r="2611" spans="1:11" ht="12.5" customHeight="1" x14ac:dyDescent="0.25">
      <c r="A2611" s="5" t="s">
        <v>9799</v>
      </c>
      <c r="B2611" s="6" t="s">
        <v>7578</v>
      </c>
      <c r="C2611" s="6" t="s">
        <v>8384</v>
      </c>
      <c r="D2611" s="6" t="s">
        <v>9800</v>
      </c>
      <c r="E2611" s="6" t="s">
        <v>9801</v>
      </c>
      <c r="F2611" s="6" t="s">
        <v>9802</v>
      </c>
      <c r="G2611" s="9"/>
      <c r="H2611" s="9" t="s">
        <v>18</v>
      </c>
      <c r="I2611" s="16" t="str">
        <f>VLOOKUP(F2611,[1]完整分类结果!$E:$G,3,0)</f>
        <v>普通机械制造业</v>
      </c>
      <c r="J2611" s="16">
        <f>VLOOKUP(I2611,[2]行业排放因子!$A:$B,2,0)</f>
        <v>9.6615781889079599</v>
      </c>
      <c r="K2611" s="9" t="s">
        <v>756</v>
      </c>
    </row>
    <row r="2612" spans="1:11" ht="12.5" customHeight="1" x14ac:dyDescent="0.25">
      <c r="A2612" s="5" t="s">
        <v>9803</v>
      </c>
      <c r="B2612" s="6" t="s">
        <v>7578</v>
      </c>
      <c r="C2612" s="6" t="s">
        <v>8384</v>
      </c>
      <c r="D2612" s="6" t="s">
        <v>9800</v>
      </c>
      <c r="E2612" s="6" t="s">
        <v>9804</v>
      </c>
      <c r="F2612" s="6" t="s">
        <v>9805</v>
      </c>
      <c r="G2612" s="9" t="s">
        <v>9806</v>
      </c>
      <c r="H2612" s="9" t="s">
        <v>18</v>
      </c>
      <c r="I2612" s="16" t="str">
        <f>VLOOKUP(F2612,[1]完整分类结果!$E:$G,3,0)</f>
        <v>普通机械制造业</v>
      </c>
      <c r="J2612" s="16">
        <f>VLOOKUP(I2612,[2]行业排放因子!$A:$B,2,0)</f>
        <v>9.6615781889079599</v>
      </c>
      <c r="K2612" s="9" t="s">
        <v>756</v>
      </c>
    </row>
    <row r="2613" spans="1:11" ht="12.5" customHeight="1" x14ac:dyDescent="0.25">
      <c r="A2613" s="5" t="s">
        <v>9807</v>
      </c>
      <c r="B2613" s="6" t="s">
        <v>7578</v>
      </c>
      <c r="C2613" s="6" t="s">
        <v>8384</v>
      </c>
      <c r="D2613" s="6" t="s">
        <v>9800</v>
      </c>
      <c r="E2613" s="6" t="s">
        <v>9808</v>
      </c>
      <c r="F2613" s="6" t="s">
        <v>9809</v>
      </c>
      <c r="G2613" s="9" t="s">
        <v>9810</v>
      </c>
      <c r="H2613" s="9" t="s">
        <v>18</v>
      </c>
      <c r="I2613" s="16" t="str">
        <f>VLOOKUP(F2613,[1]完整分类结果!$E:$G,3,0)</f>
        <v>普通机械制造业</v>
      </c>
      <c r="J2613" s="16">
        <f>VLOOKUP(I2613,[2]行业排放因子!$A:$B,2,0)</f>
        <v>9.6615781889079599</v>
      </c>
      <c r="K2613" s="9" t="s">
        <v>756</v>
      </c>
    </row>
    <row r="2614" spans="1:11" ht="12.5" customHeight="1" x14ac:dyDescent="0.25">
      <c r="A2614" s="5" t="s">
        <v>9811</v>
      </c>
      <c r="B2614" s="6" t="s">
        <v>7578</v>
      </c>
      <c r="C2614" s="6" t="s">
        <v>8384</v>
      </c>
      <c r="D2614" s="6" t="s">
        <v>9800</v>
      </c>
      <c r="E2614" s="6" t="s">
        <v>9812</v>
      </c>
      <c r="F2614" s="6" t="s">
        <v>9813</v>
      </c>
      <c r="G2614" s="9" t="s">
        <v>9814</v>
      </c>
      <c r="H2614" s="9" t="s">
        <v>18</v>
      </c>
      <c r="I2614" s="16" t="str">
        <f>VLOOKUP(F2614,[1]完整分类结果!$E:$G,3,0)</f>
        <v>普通机械制造业</v>
      </c>
      <c r="J2614" s="16">
        <f>VLOOKUP(I2614,[2]行业排放因子!$A:$B,2,0)</f>
        <v>9.6615781889079599</v>
      </c>
      <c r="K2614" s="9" t="s">
        <v>756</v>
      </c>
    </row>
    <row r="2615" spans="1:11" ht="12.5" customHeight="1" x14ac:dyDescent="0.25">
      <c r="A2615" s="5" t="s">
        <v>9815</v>
      </c>
      <c r="B2615" s="6" t="s">
        <v>7578</v>
      </c>
      <c r="C2615" s="6" t="s">
        <v>8384</v>
      </c>
      <c r="D2615" s="6" t="s">
        <v>9816</v>
      </c>
      <c r="E2615" s="6" t="s">
        <v>9817</v>
      </c>
      <c r="F2615" s="6" t="s">
        <v>9818</v>
      </c>
      <c r="G2615" s="9" t="s">
        <v>9819</v>
      </c>
      <c r="H2615" s="9" t="s">
        <v>18</v>
      </c>
      <c r="I2615" s="16" t="str">
        <f>VLOOKUP(F2615,[1]完整分类结果!$E:$G,3,0)</f>
        <v>普通机械制造业</v>
      </c>
      <c r="J2615" s="16">
        <f>VLOOKUP(I2615,[2]行业排放因子!$A:$B,2,0)</f>
        <v>9.6615781889079599</v>
      </c>
      <c r="K2615" s="9" t="s">
        <v>756</v>
      </c>
    </row>
    <row r="2616" spans="1:11" ht="12.5" customHeight="1" x14ac:dyDescent="0.25">
      <c r="A2616" s="5" t="s">
        <v>9820</v>
      </c>
      <c r="B2616" s="6" t="s">
        <v>7578</v>
      </c>
      <c r="C2616" s="6" t="s">
        <v>8384</v>
      </c>
      <c r="D2616" s="6" t="s">
        <v>9816</v>
      </c>
      <c r="E2616" s="6" t="s">
        <v>9821</v>
      </c>
      <c r="F2616" s="6" t="s">
        <v>9822</v>
      </c>
      <c r="G2616" s="9" t="s">
        <v>9823</v>
      </c>
      <c r="H2616" s="9" t="s">
        <v>18</v>
      </c>
      <c r="I2616" s="16" t="str">
        <f>VLOOKUP(F2616,[1]完整分类结果!$E:$G,3,0)</f>
        <v>普通机械制造业</v>
      </c>
      <c r="J2616" s="16">
        <f>VLOOKUP(I2616,[2]行业排放因子!$A:$B,2,0)</f>
        <v>9.6615781889079599</v>
      </c>
      <c r="K2616" s="9" t="s">
        <v>756</v>
      </c>
    </row>
    <row r="2617" spans="1:11" ht="12.5" customHeight="1" x14ac:dyDescent="0.25">
      <c r="A2617" s="5" t="s">
        <v>9824</v>
      </c>
      <c r="B2617" s="6" t="s">
        <v>7578</v>
      </c>
      <c r="C2617" s="6" t="s">
        <v>8384</v>
      </c>
      <c r="D2617" s="6" t="s">
        <v>9816</v>
      </c>
      <c r="E2617" s="6" t="s">
        <v>9825</v>
      </c>
      <c r="F2617" s="6" t="s">
        <v>9826</v>
      </c>
      <c r="G2617" s="9" t="s">
        <v>9827</v>
      </c>
      <c r="H2617" s="9" t="s">
        <v>18</v>
      </c>
      <c r="I2617" s="16" t="str">
        <f>VLOOKUP(F2617,[1]完整分类结果!$E:$G,3,0)</f>
        <v>普通机械制造业</v>
      </c>
      <c r="J2617" s="16">
        <f>VLOOKUP(I2617,[2]行业排放因子!$A:$B,2,0)</f>
        <v>9.6615781889079599</v>
      </c>
      <c r="K2617" s="9" t="s">
        <v>756</v>
      </c>
    </row>
    <row r="2618" spans="1:11" ht="12.5" customHeight="1" x14ac:dyDescent="0.25">
      <c r="A2618" s="5" t="s">
        <v>9828</v>
      </c>
      <c r="B2618" s="6" t="s">
        <v>7578</v>
      </c>
      <c r="C2618" s="6" t="s">
        <v>8384</v>
      </c>
      <c r="D2618" s="6" t="s">
        <v>9829</v>
      </c>
      <c r="E2618" s="6" t="s">
        <v>9830</v>
      </c>
      <c r="F2618" s="6" t="s">
        <v>9831</v>
      </c>
      <c r="G2618" s="9" t="s">
        <v>9832</v>
      </c>
      <c r="H2618" s="9" t="s">
        <v>18</v>
      </c>
      <c r="I2618" s="16" t="str">
        <f>VLOOKUP(F2618,[1]完整分类结果!$E:$G,3,0)</f>
        <v>普通机械制造业</v>
      </c>
      <c r="J2618" s="16">
        <f>VLOOKUP(I2618,[2]行业排放因子!$A:$B,2,0)</f>
        <v>9.6615781889079599</v>
      </c>
      <c r="K2618" s="9" t="s">
        <v>756</v>
      </c>
    </row>
    <row r="2619" spans="1:11" ht="12.5" customHeight="1" x14ac:dyDescent="0.25">
      <c r="A2619" s="5" t="s">
        <v>9833</v>
      </c>
      <c r="B2619" s="6" t="s">
        <v>7578</v>
      </c>
      <c r="C2619" s="6" t="s">
        <v>9834</v>
      </c>
      <c r="D2619" s="6" t="s">
        <v>9834</v>
      </c>
      <c r="E2619" s="6" t="s">
        <v>9835</v>
      </c>
      <c r="F2619" s="6" t="s">
        <v>9836</v>
      </c>
      <c r="G2619" s="9" t="s">
        <v>9837</v>
      </c>
      <c r="H2619" s="9" t="s">
        <v>18</v>
      </c>
      <c r="I2619" s="16" t="str">
        <f>VLOOKUP(F2619,[1]完整分类结果!$E:$G,3,0)</f>
        <v>普通机械制造业</v>
      </c>
      <c r="J2619" s="16">
        <f>VLOOKUP(I2619,[2]行业排放因子!$A:$B,2,0)</f>
        <v>9.6615781889079599</v>
      </c>
      <c r="K2619" s="9" t="s">
        <v>756</v>
      </c>
    </row>
    <row r="2620" spans="1:11" ht="12.5" customHeight="1" x14ac:dyDescent="0.25">
      <c r="A2620" s="5" t="s">
        <v>9838</v>
      </c>
      <c r="B2620" s="6" t="s">
        <v>7578</v>
      </c>
      <c r="C2620" s="6" t="s">
        <v>9834</v>
      </c>
      <c r="D2620" s="6" t="s">
        <v>9834</v>
      </c>
      <c r="E2620" s="6" t="s">
        <v>9839</v>
      </c>
      <c r="F2620" s="6" t="s">
        <v>9840</v>
      </c>
      <c r="G2620" s="9" t="s">
        <v>9841</v>
      </c>
      <c r="H2620" s="9" t="s">
        <v>18</v>
      </c>
      <c r="I2620" s="16" t="str">
        <f>VLOOKUP(F2620,[1]完整分类结果!$E:$G,3,0)</f>
        <v>普通机械制造业</v>
      </c>
      <c r="J2620" s="16">
        <f>VLOOKUP(I2620,[2]行业排放因子!$A:$B,2,0)</f>
        <v>9.6615781889079599</v>
      </c>
      <c r="K2620" s="9" t="s">
        <v>756</v>
      </c>
    </row>
    <row r="2621" spans="1:11" ht="12.5" customHeight="1" x14ac:dyDescent="0.25">
      <c r="A2621" s="5" t="s">
        <v>9842</v>
      </c>
      <c r="B2621" s="6" t="s">
        <v>7578</v>
      </c>
      <c r="C2621" s="6" t="s">
        <v>9834</v>
      </c>
      <c r="D2621" s="6" t="s">
        <v>9834</v>
      </c>
      <c r="E2621" s="6" t="s">
        <v>9843</v>
      </c>
      <c r="F2621" s="6" t="s">
        <v>9844</v>
      </c>
      <c r="G2621" s="9" t="s">
        <v>9845</v>
      </c>
      <c r="H2621" s="9" t="s">
        <v>18</v>
      </c>
      <c r="I2621" s="16" t="str">
        <f>VLOOKUP(F2621,[1]完整分类结果!$E:$G,3,0)</f>
        <v>普通机械制造业</v>
      </c>
      <c r="J2621" s="16">
        <f>VLOOKUP(I2621,[2]行业排放因子!$A:$B,2,0)</f>
        <v>9.6615781889079599</v>
      </c>
      <c r="K2621" s="9" t="s">
        <v>756</v>
      </c>
    </row>
    <row r="2622" spans="1:11" ht="12.5" customHeight="1" x14ac:dyDescent="0.25">
      <c r="A2622" s="5" t="s">
        <v>9846</v>
      </c>
      <c r="B2622" s="6" t="s">
        <v>7578</v>
      </c>
      <c r="C2622" s="6" t="s">
        <v>9834</v>
      </c>
      <c r="D2622" s="6" t="s">
        <v>9834</v>
      </c>
      <c r="E2622" s="6" t="s">
        <v>9847</v>
      </c>
      <c r="F2622" s="6" t="s">
        <v>9848</v>
      </c>
      <c r="G2622" s="9" t="s">
        <v>9849</v>
      </c>
      <c r="H2622" s="9" t="s">
        <v>18</v>
      </c>
      <c r="I2622" s="16" t="str">
        <f>VLOOKUP(F2622,[1]完整分类结果!$E:$G,3,0)</f>
        <v>普通机械制造业</v>
      </c>
      <c r="J2622" s="16">
        <f>VLOOKUP(I2622,[2]行业排放因子!$A:$B,2,0)</f>
        <v>9.6615781889079599</v>
      </c>
      <c r="K2622" s="9" t="s">
        <v>756</v>
      </c>
    </row>
    <row r="2623" spans="1:11" ht="12.5" customHeight="1" x14ac:dyDescent="0.25">
      <c r="A2623" s="5" t="s">
        <v>9850</v>
      </c>
      <c r="B2623" s="6" t="s">
        <v>7578</v>
      </c>
      <c r="C2623" s="6" t="s">
        <v>9834</v>
      </c>
      <c r="D2623" s="6" t="s">
        <v>9834</v>
      </c>
      <c r="E2623" s="6" t="s">
        <v>9851</v>
      </c>
      <c r="F2623" s="6" t="s">
        <v>9852</v>
      </c>
      <c r="G2623" s="9" t="s">
        <v>9853</v>
      </c>
      <c r="H2623" s="9" t="s">
        <v>18</v>
      </c>
      <c r="I2623" s="16" t="str">
        <f>VLOOKUP(F2623,[1]完整分类结果!$E:$G,3,0)</f>
        <v>普通机械制造业</v>
      </c>
      <c r="J2623" s="16">
        <f>VLOOKUP(I2623,[2]行业排放因子!$A:$B,2,0)</f>
        <v>9.6615781889079599</v>
      </c>
      <c r="K2623" s="9" t="s">
        <v>756</v>
      </c>
    </row>
    <row r="2624" spans="1:11" ht="12.5" customHeight="1" x14ac:dyDescent="0.25">
      <c r="A2624" s="5" t="s">
        <v>9854</v>
      </c>
      <c r="B2624" s="6" t="s">
        <v>7578</v>
      </c>
      <c r="C2624" s="6" t="s">
        <v>9834</v>
      </c>
      <c r="D2624" s="6" t="s">
        <v>9834</v>
      </c>
      <c r="E2624" s="6" t="s">
        <v>9855</v>
      </c>
      <c r="F2624" s="6" t="s">
        <v>9856</v>
      </c>
      <c r="G2624" s="9" t="s">
        <v>9857</v>
      </c>
      <c r="H2624" s="9" t="s">
        <v>18</v>
      </c>
      <c r="I2624" s="16" t="str">
        <f>VLOOKUP(F2624,[1]完整分类结果!$E:$G,3,0)</f>
        <v>普通机械制造业</v>
      </c>
      <c r="J2624" s="16">
        <f>VLOOKUP(I2624,[2]行业排放因子!$A:$B,2,0)</f>
        <v>9.6615781889079599</v>
      </c>
      <c r="K2624" s="9" t="s">
        <v>756</v>
      </c>
    </row>
    <row r="2625" spans="1:11" ht="12.5" customHeight="1" x14ac:dyDescent="0.25">
      <c r="A2625" s="5" t="s">
        <v>9858</v>
      </c>
      <c r="B2625" s="6" t="s">
        <v>7578</v>
      </c>
      <c r="C2625" s="6" t="s">
        <v>9834</v>
      </c>
      <c r="D2625" s="6" t="s">
        <v>9834</v>
      </c>
      <c r="E2625" s="6" t="s">
        <v>9859</v>
      </c>
      <c r="F2625" s="6" t="s">
        <v>9860</v>
      </c>
      <c r="G2625" s="9"/>
      <c r="H2625" s="9" t="s">
        <v>18</v>
      </c>
      <c r="I2625" s="16" t="str">
        <f>VLOOKUP(F2625,[1]完整分类结果!$E:$G,3,0)</f>
        <v>普通机械制造业</v>
      </c>
      <c r="J2625" s="16">
        <f>VLOOKUP(I2625,[2]行业排放因子!$A:$B,2,0)</f>
        <v>9.6615781889079599</v>
      </c>
      <c r="K2625" s="9" t="s">
        <v>756</v>
      </c>
    </row>
    <row r="2626" spans="1:11" ht="12.5" customHeight="1" x14ac:dyDescent="0.25">
      <c r="A2626" s="5" t="s">
        <v>9861</v>
      </c>
      <c r="B2626" s="6" t="s">
        <v>7578</v>
      </c>
      <c r="C2626" s="6" t="s">
        <v>9834</v>
      </c>
      <c r="D2626" s="6" t="s">
        <v>9834</v>
      </c>
      <c r="E2626" s="6" t="s">
        <v>9862</v>
      </c>
      <c r="F2626" s="6" t="s">
        <v>9863</v>
      </c>
      <c r="G2626" s="9"/>
      <c r="H2626" s="9" t="s">
        <v>18</v>
      </c>
      <c r="I2626" s="16" t="str">
        <f>VLOOKUP(F2626,[1]完整分类结果!$E:$G,3,0)</f>
        <v>普通机械制造业</v>
      </c>
      <c r="J2626" s="16">
        <f>VLOOKUP(I2626,[2]行业排放因子!$A:$B,2,0)</f>
        <v>9.6615781889079599</v>
      </c>
      <c r="K2626" s="9" t="s">
        <v>756</v>
      </c>
    </row>
    <row r="2627" spans="1:11" ht="12.5" customHeight="1" x14ac:dyDescent="0.25">
      <c r="A2627" s="5" t="s">
        <v>9864</v>
      </c>
      <c r="B2627" s="6" t="s">
        <v>7578</v>
      </c>
      <c r="C2627" s="6" t="s">
        <v>9834</v>
      </c>
      <c r="D2627" s="6" t="s">
        <v>9834</v>
      </c>
      <c r="E2627" s="6" t="s">
        <v>9865</v>
      </c>
      <c r="F2627" s="6" t="s">
        <v>9866</v>
      </c>
      <c r="G2627" s="9" t="s">
        <v>9867</v>
      </c>
      <c r="H2627" s="9" t="s">
        <v>18</v>
      </c>
      <c r="I2627" s="16" t="str">
        <f>VLOOKUP(F2627,[1]完整分类结果!$E:$G,3,0)</f>
        <v>普通机械制造业</v>
      </c>
      <c r="J2627" s="16">
        <f>VLOOKUP(I2627,[2]行业排放因子!$A:$B,2,0)</f>
        <v>9.6615781889079599</v>
      </c>
      <c r="K2627" s="9" t="s">
        <v>756</v>
      </c>
    </row>
    <row r="2628" spans="1:11" ht="12.5" customHeight="1" x14ac:dyDescent="0.25">
      <c r="A2628" s="5" t="s">
        <v>9868</v>
      </c>
      <c r="B2628" s="6" t="s">
        <v>7578</v>
      </c>
      <c r="C2628" s="6" t="s">
        <v>9834</v>
      </c>
      <c r="D2628" s="6" t="s">
        <v>9834</v>
      </c>
      <c r="E2628" s="6" t="s">
        <v>9869</v>
      </c>
      <c r="F2628" s="6" t="s">
        <v>9870</v>
      </c>
      <c r="G2628" s="9" t="s">
        <v>9871</v>
      </c>
      <c r="H2628" s="9" t="s">
        <v>18</v>
      </c>
      <c r="I2628" s="16" t="str">
        <f>VLOOKUP(F2628,[1]完整分类结果!$E:$G,3,0)</f>
        <v>普通机械制造业</v>
      </c>
      <c r="J2628" s="16">
        <f>VLOOKUP(I2628,[2]行业排放因子!$A:$B,2,0)</f>
        <v>9.6615781889079599</v>
      </c>
      <c r="K2628" s="9" t="s">
        <v>756</v>
      </c>
    </row>
    <row r="2629" spans="1:11" ht="12.5" customHeight="1" x14ac:dyDescent="0.25">
      <c r="A2629" s="5" t="s">
        <v>9872</v>
      </c>
      <c r="B2629" s="6" t="s">
        <v>7578</v>
      </c>
      <c r="C2629" s="6" t="s">
        <v>9834</v>
      </c>
      <c r="D2629" s="6" t="s">
        <v>9834</v>
      </c>
      <c r="E2629" s="6" t="s">
        <v>9873</v>
      </c>
      <c r="F2629" s="6" t="s">
        <v>9874</v>
      </c>
      <c r="G2629" s="9" t="s">
        <v>9875</v>
      </c>
      <c r="H2629" s="9" t="s">
        <v>18</v>
      </c>
      <c r="I2629" s="16" t="str">
        <f>VLOOKUP(F2629,[1]完整分类结果!$E:$G,3,0)</f>
        <v>普通机械制造业</v>
      </c>
      <c r="J2629" s="16">
        <f>VLOOKUP(I2629,[2]行业排放因子!$A:$B,2,0)</f>
        <v>9.6615781889079599</v>
      </c>
      <c r="K2629" s="9" t="s">
        <v>756</v>
      </c>
    </row>
    <row r="2630" spans="1:11" ht="12.5" customHeight="1" x14ac:dyDescent="0.25">
      <c r="A2630" s="5" t="s">
        <v>9876</v>
      </c>
      <c r="B2630" s="6" t="s">
        <v>7578</v>
      </c>
      <c r="C2630" s="6" t="s">
        <v>9834</v>
      </c>
      <c r="D2630" s="6" t="s">
        <v>9877</v>
      </c>
      <c r="E2630" s="6" t="s">
        <v>9878</v>
      </c>
      <c r="F2630" s="6" t="s">
        <v>9879</v>
      </c>
      <c r="G2630" s="9" t="s">
        <v>9880</v>
      </c>
      <c r="H2630" s="9" t="s">
        <v>18</v>
      </c>
      <c r="I2630" s="16" t="str">
        <f>VLOOKUP(F2630,[1]完整分类结果!$E:$G,3,0)</f>
        <v>普通机械制造业</v>
      </c>
      <c r="J2630" s="16">
        <f>VLOOKUP(I2630,[2]行业排放因子!$A:$B,2,0)</f>
        <v>9.6615781889079599</v>
      </c>
      <c r="K2630" s="9" t="s">
        <v>756</v>
      </c>
    </row>
    <row r="2631" spans="1:11" ht="12.5" customHeight="1" x14ac:dyDescent="0.25">
      <c r="A2631" s="5" t="s">
        <v>9881</v>
      </c>
      <c r="B2631" s="6" t="s">
        <v>7578</v>
      </c>
      <c r="C2631" s="6" t="s">
        <v>9834</v>
      </c>
      <c r="D2631" s="6" t="s">
        <v>9877</v>
      </c>
      <c r="E2631" s="6" t="s">
        <v>9882</v>
      </c>
      <c r="F2631" s="6" t="s">
        <v>9883</v>
      </c>
      <c r="G2631" s="9" t="s">
        <v>9880</v>
      </c>
      <c r="H2631" s="9" t="s">
        <v>18</v>
      </c>
      <c r="I2631" s="16" t="str">
        <f>VLOOKUP(F2631,[1]完整分类结果!$E:$G,3,0)</f>
        <v>普通机械制造业</v>
      </c>
      <c r="J2631" s="16">
        <f>VLOOKUP(I2631,[2]行业排放因子!$A:$B,2,0)</f>
        <v>9.6615781889079599</v>
      </c>
      <c r="K2631" s="9" t="s">
        <v>756</v>
      </c>
    </row>
    <row r="2632" spans="1:11" ht="12.5" customHeight="1" x14ac:dyDescent="0.25">
      <c r="A2632" s="5" t="s">
        <v>9884</v>
      </c>
      <c r="B2632" s="6" t="s">
        <v>7578</v>
      </c>
      <c r="C2632" s="6" t="s">
        <v>9834</v>
      </c>
      <c r="D2632" s="6" t="s">
        <v>9877</v>
      </c>
      <c r="E2632" s="6" t="s">
        <v>9885</v>
      </c>
      <c r="F2632" s="6" t="s">
        <v>9886</v>
      </c>
      <c r="G2632" s="9" t="s">
        <v>9880</v>
      </c>
      <c r="H2632" s="9" t="s">
        <v>18</v>
      </c>
      <c r="I2632" s="16" t="str">
        <f>VLOOKUP(F2632,[1]完整分类结果!$E:$G,3,0)</f>
        <v>普通机械制造业</v>
      </c>
      <c r="J2632" s="16">
        <f>VLOOKUP(I2632,[2]行业排放因子!$A:$B,2,0)</f>
        <v>9.6615781889079599</v>
      </c>
      <c r="K2632" s="9" t="s">
        <v>756</v>
      </c>
    </row>
    <row r="2633" spans="1:11" ht="12.5" customHeight="1" x14ac:dyDescent="0.25">
      <c r="A2633" s="5" t="s">
        <v>9887</v>
      </c>
      <c r="B2633" s="6" t="s">
        <v>7578</v>
      </c>
      <c r="C2633" s="6" t="s">
        <v>9834</v>
      </c>
      <c r="D2633" s="6" t="s">
        <v>9877</v>
      </c>
      <c r="E2633" s="6" t="s">
        <v>9888</v>
      </c>
      <c r="F2633" s="6" t="s">
        <v>9889</v>
      </c>
      <c r="G2633" s="9" t="s">
        <v>9880</v>
      </c>
      <c r="H2633" s="9" t="s">
        <v>18</v>
      </c>
      <c r="I2633" s="16" t="str">
        <f>VLOOKUP(F2633,[1]完整分类结果!$E:$G,3,0)</f>
        <v>普通机械制造业</v>
      </c>
      <c r="J2633" s="16">
        <f>VLOOKUP(I2633,[2]行业排放因子!$A:$B,2,0)</f>
        <v>9.6615781889079599</v>
      </c>
      <c r="K2633" s="9" t="s">
        <v>756</v>
      </c>
    </row>
    <row r="2634" spans="1:11" ht="12.5" customHeight="1" x14ac:dyDescent="0.25">
      <c r="A2634" s="5" t="s">
        <v>9890</v>
      </c>
      <c r="B2634" s="6" t="s">
        <v>7578</v>
      </c>
      <c r="C2634" s="6" t="s">
        <v>9834</v>
      </c>
      <c r="D2634" s="6" t="s">
        <v>9877</v>
      </c>
      <c r="E2634" s="6" t="s">
        <v>9891</v>
      </c>
      <c r="F2634" s="6" t="s">
        <v>9892</v>
      </c>
      <c r="G2634" s="9" t="s">
        <v>9880</v>
      </c>
      <c r="H2634" s="9" t="s">
        <v>18</v>
      </c>
      <c r="I2634" s="16" t="str">
        <f>VLOOKUP(F2634,[1]完整分类结果!$E:$G,3,0)</f>
        <v>普通机械制造业</v>
      </c>
      <c r="J2634" s="16">
        <f>VLOOKUP(I2634,[2]行业排放因子!$A:$B,2,0)</f>
        <v>9.6615781889079599</v>
      </c>
      <c r="K2634" s="9" t="s">
        <v>756</v>
      </c>
    </row>
    <row r="2635" spans="1:11" ht="12.5" customHeight="1" x14ac:dyDescent="0.25">
      <c r="A2635" s="5" t="s">
        <v>9893</v>
      </c>
      <c r="B2635" s="6" t="s">
        <v>7578</v>
      </c>
      <c r="C2635" s="6" t="s">
        <v>9834</v>
      </c>
      <c r="D2635" s="6" t="s">
        <v>9877</v>
      </c>
      <c r="E2635" s="6" t="s">
        <v>9894</v>
      </c>
      <c r="F2635" s="6" t="s">
        <v>9895</v>
      </c>
      <c r="G2635" s="9" t="s">
        <v>9880</v>
      </c>
      <c r="H2635" s="9" t="s">
        <v>18</v>
      </c>
      <c r="I2635" s="16" t="str">
        <f>VLOOKUP(F2635,[1]完整分类结果!$E:$G,3,0)</f>
        <v>普通机械制造业</v>
      </c>
      <c r="J2635" s="16">
        <f>VLOOKUP(I2635,[2]行业排放因子!$A:$B,2,0)</f>
        <v>9.6615781889079599</v>
      </c>
      <c r="K2635" s="9" t="s">
        <v>756</v>
      </c>
    </row>
    <row r="2636" spans="1:11" ht="12.5" customHeight="1" x14ac:dyDescent="0.25">
      <c r="A2636" s="5" t="s">
        <v>9896</v>
      </c>
      <c r="B2636" s="6" t="s">
        <v>7578</v>
      </c>
      <c r="C2636" s="6" t="s">
        <v>9834</v>
      </c>
      <c r="D2636" s="6" t="s">
        <v>9877</v>
      </c>
      <c r="E2636" s="6" t="s">
        <v>9897</v>
      </c>
      <c r="F2636" s="6" t="s">
        <v>9898</v>
      </c>
      <c r="G2636" s="9" t="s">
        <v>9880</v>
      </c>
      <c r="H2636" s="9" t="s">
        <v>18</v>
      </c>
      <c r="I2636" s="16" t="str">
        <f>VLOOKUP(F2636,[1]完整分类结果!$E:$G,3,0)</f>
        <v>普通机械制造业</v>
      </c>
      <c r="J2636" s="16">
        <f>VLOOKUP(I2636,[2]行业排放因子!$A:$B,2,0)</f>
        <v>9.6615781889079599</v>
      </c>
      <c r="K2636" s="9" t="s">
        <v>756</v>
      </c>
    </row>
    <row r="2637" spans="1:11" ht="12.5" customHeight="1" x14ac:dyDescent="0.25">
      <c r="A2637" s="5" t="s">
        <v>9899</v>
      </c>
      <c r="B2637" s="6" t="s">
        <v>7578</v>
      </c>
      <c r="C2637" s="6" t="s">
        <v>9834</v>
      </c>
      <c r="D2637" s="6" t="s">
        <v>9877</v>
      </c>
      <c r="E2637" s="6" t="s">
        <v>9900</v>
      </c>
      <c r="F2637" s="6" t="s">
        <v>9901</v>
      </c>
      <c r="G2637" s="9" t="s">
        <v>9902</v>
      </c>
      <c r="H2637" s="9" t="s">
        <v>18</v>
      </c>
      <c r="I2637" s="16" t="str">
        <f>VLOOKUP(F2637,[1]完整分类结果!$E:$G,3,0)</f>
        <v>普通机械制造业</v>
      </c>
      <c r="J2637" s="16">
        <f>VLOOKUP(I2637,[2]行业排放因子!$A:$B,2,0)</f>
        <v>9.6615781889079599</v>
      </c>
      <c r="K2637" s="9" t="s">
        <v>756</v>
      </c>
    </row>
    <row r="2638" spans="1:11" ht="12.5" customHeight="1" x14ac:dyDescent="0.25">
      <c r="A2638" s="5" t="s">
        <v>9903</v>
      </c>
      <c r="B2638" s="6" t="s">
        <v>7578</v>
      </c>
      <c r="C2638" s="6" t="s">
        <v>9834</v>
      </c>
      <c r="D2638" s="6" t="s">
        <v>9877</v>
      </c>
      <c r="E2638" s="6" t="s">
        <v>9904</v>
      </c>
      <c r="F2638" s="6" t="s">
        <v>9905</v>
      </c>
      <c r="G2638" s="9" t="s">
        <v>9906</v>
      </c>
      <c r="H2638" s="9" t="s">
        <v>18</v>
      </c>
      <c r="I2638" s="16" t="str">
        <f>VLOOKUP(F2638,[1]完整分类结果!$E:$G,3,0)</f>
        <v>普通机械制造业</v>
      </c>
      <c r="J2638" s="16">
        <f>VLOOKUP(I2638,[2]行业排放因子!$A:$B,2,0)</f>
        <v>9.6615781889079599</v>
      </c>
      <c r="K2638" s="9" t="s">
        <v>756</v>
      </c>
    </row>
    <row r="2639" spans="1:11" ht="12.5" customHeight="1" x14ac:dyDescent="0.25">
      <c r="A2639" s="5" t="s">
        <v>9907</v>
      </c>
      <c r="B2639" s="6" t="s">
        <v>7578</v>
      </c>
      <c r="C2639" s="6" t="s">
        <v>9834</v>
      </c>
      <c r="D2639" s="6" t="s">
        <v>9877</v>
      </c>
      <c r="E2639" s="6" t="s">
        <v>9908</v>
      </c>
      <c r="F2639" s="6" t="s">
        <v>9909</v>
      </c>
      <c r="G2639" s="9" t="s">
        <v>9906</v>
      </c>
      <c r="H2639" s="9" t="s">
        <v>18</v>
      </c>
      <c r="I2639" s="16" t="str">
        <f>VLOOKUP(F2639,[1]完整分类结果!$E:$G,3,0)</f>
        <v>普通机械制造业</v>
      </c>
      <c r="J2639" s="16">
        <f>VLOOKUP(I2639,[2]行业排放因子!$A:$B,2,0)</f>
        <v>9.6615781889079599</v>
      </c>
      <c r="K2639" s="9" t="s">
        <v>756</v>
      </c>
    </row>
    <row r="2640" spans="1:11" ht="12.5" customHeight="1" x14ac:dyDescent="0.25">
      <c r="A2640" s="5" t="s">
        <v>9910</v>
      </c>
      <c r="B2640" s="6" t="s">
        <v>7578</v>
      </c>
      <c r="C2640" s="6" t="s">
        <v>9834</v>
      </c>
      <c r="D2640" s="6" t="s">
        <v>9877</v>
      </c>
      <c r="E2640" s="6" t="s">
        <v>9911</v>
      </c>
      <c r="F2640" s="6" t="s">
        <v>9912</v>
      </c>
      <c r="G2640" s="9" t="s">
        <v>9913</v>
      </c>
      <c r="H2640" s="9" t="s">
        <v>18</v>
      </c>
      <c r="I2640" s="16" t="str">
        <f>VLOOKUP(F2640,[1]完整分类结果!$E:$G,3,0)</f>
        <v>普通机械制造业</v>
      </c>
      <c r="J2640" s="16">
        <f>VLOOKUP(I2640,[2]行业排放因子!$A:$B,2,0)</f>
        <v>9.6615781889079599</v>
      </c>
      <c r="K2640" s="9" t="s">
        <v>756</v>
      </c>
    </row>
    <row r="2641" spans="1:11" ht="12.5" customHeight="1" x14ac:dyDescent="0.25">
      <c r="A2641" s="5" t="s">
        <v>9914</v>
      </c>
      <c r="B2641" s="6" t="s">
        <v>7578</v>
      </c>
      <c r="C2641" s="6" t="s">
        <v>9834</v>
      </c>
      <c r="D2641" s="6" t="s">
        <v>9877</v>
      </c>
      <c r="E2641" s="6" t="s">
        <v>9915</v>
      </c>
      <c r="F2641" s="6" t="s">
        <v>9916</v>
      </c>
      <c r="G2641" s="9" t="s">
        <v>9917</v>
      </c>
      <c r="H2641" s="9" t="s">
        <v>18</v>
      </c>
      <c r="I2641" s="16" t="str">
        <f>VLOOKUP(F2641,[1]完整分类结果!$E:$G,3,0)</f>
        <v>普通机械制造业</v>
      </c>
      <c r="J2641" s="16">
        <f>VLOOKUP(I2641,[2]行业排放因子!$A:$B,2,0)</f>
        <v>9.6615781889079599</v>
      </c>
      <c r="K2641" s="9" t="s">
        <v>756</v>
      </c>
    </row>
    <row r="2642" spans="1:11" ht="12.5" customHeight="1" x14ac:dyDescent="0.25">
      <c r="A2642" s="5" t="s">
        <v>9918</v>
      </c>
      <c r="B2642" s="6" t="s">
        <v>7578</v>
      </c>
      <c r="C2642" s="6" t="s">
        <v>9834</v>
      </c>
      <c r="D2642" s="6" t="s">
        <v>9877</v>
      </c>
      <c r="E2642" s="6" t="s">
        <v>9919</v>
      </c>
      <c r="F2642" s="6" t="s">
        <v>9920</v>
      </c>
      <c r="G2642" s="9" t="s">
        <v>9921</v>
      </c>
      <c r="H2642" s="9" t="s">
        <v>18</v>
      </c>
      <c r="I2642" s="16" t="str">
        <f>VLOOKUP(F2642,[1]完整分类结果!$E:$G,3,0)</f>
        <v>普通机械制造业</v>
      </c>
      <c r="J2642" s="16">
        <f>VLOOKUP(I2642,[2]行业排放因子!$A:$B,2,0)</f>
        <v>9.6615781889079599</v>
      </c>
      <c r="K2642" s="9" t="s">
        <v>756</v>
      </c>
    </row>
    <row r="2643" spans="1:11" ht="12.5" customHeight="1" x14ac:dyDescent="0.25">
      <c r="A2643" s="5" t="s">
        <v>9922</v>
      </c>
      <c r="B2643" s="6" t="s">
        <v>7578</v>
      </c>
      <c r="C2643" s="6" t="s">
        <v>9834</v>
      </c>
      <c r="D2643" s="6" t="s">
        <v>9877</v>
      </c>
      <c r="E2643" s="6" t="s">
        <v>9923</v>
      </c>
      <c r="F2643" s="6" t="s">
        <v>9924</v>
      </c>
      <c r="G2643" s="9" t="s">
        <v>9921</v>
      </c>
      <c r="H2643" s="9" t="s">
        <v>18</v>
      </c>
      <c r="I2643" s="16" t="str">
        <f>VLOOKUP(F2643,[1]完整分类结果!$E:$G,3,0)</f>
        <v>普通机械制造业</v>
      </c>
      <c r="J2643" s="16">
        <f>VLOOKUP(I2643,[2]行业排放因子!$A:$B,2,0)</f>
        <v>9.6615781889079599</v>
      </c>
      <c r="K2643" s="9" t="s">
        <v>756</v>
      </c>
    </row>
    <row r="2644" spans="1:11" ht="12.5" customHeight="1" x14ac:dyDescent="0.25">
      <c r="A2644" s="5" t="s">
        <v>9925</v>
      </c>
      <c r="B2644" s="6" t="s">
        <v>7578</v>
      </c>
      <c r="C2644" s="6" t="s">
        <v>9834</v>
      </c>
      <c r="D2644" s="6" t="s">
        <v>9877</v>
      </c>
      <c r="E2644" s="6" t="s">
        <v>9926</v>
      </c>
      <c r="F2644" s="6" t="s">
        <v>9927</v>
      </c>
      <c r="G2644" s="9" t="s">
        <v>9921</v>
      </c>
      <c r="H2644" s="9" t="s">
        <v>18</v>
      </c>
      <c r="I2644" s="16" t="str">
        <f>VLOOKUP(F2644,[1]完整分类结果!$E:$G,3,0)</f>
        <v>普通机械制造业</v>
      </c>
      <c r="J2644" s="16">
        <f>VLOOKUP(I2644,[2]行业排放因子!$A:$B,2,0)</f>
        <v>9.6615781889079599</v>
      </c>
      <c r="K2644" s="9" t="s">
        <v>756</v>
      </c>
    </row>
    <row r="2645" spans="1:11" ht="12.5" customHeight="1" x14ac:dyDescent="0.25">
      <c r="A2645" s="5" t="s">
        <v>9928</v>
      </c>
      <c r="B2645" s="6" t="s">
        <v>7578</v>
      </c>
      <c r="C2645" s="6" t="s">
        <v>9834</v>
      </c>
      <c r="D2645" s="6" t="s">
        <v>9877</v>
      </c>
      <c r="E2645" s="6" t="s">
        <v>9929</v>
      </c>
      <c r="F2645" s="6" t="s">
        <v>9930</v>
      </c>
      <c r="G2645" s="9" t="s">
        <v>9921</v>
      </c>
      <c r="H2645" s="9" t="s">
        <v>18</v>
      </c>
      <c r="I2645" s="16" t="str">
        <f>VLOOKUP(F2645,[1]完整分类结果!$E:$G,3,0)</f>
        <v>普通机械制造业</v>
      </c>
      <c r="J2645" s="16">
        <f>VLOOKUP(I2645,[2]行业排放因子!$A:$B,2,0)</f>
        <v>9.6615781889079599</v>
      </c>
      <c r="K2645" s="9" t="s">
        <v>756</v>
      </c>
    </row>
    <row r="2646" spans="1:11" ht="12.5" customHeight="1" x14ac:dyDescent="0.25">
      <c r="A2646" s="5" t="s">
        <v>9931</v>
      </c>
      <c r="B2646" s="6" t="s">
        <v>7578</v>
      </c>
      <c r="C2646" s="6" t="s">
        <v>9834</v>
      </c>
      <c r="D2646" s="6" t="s">
        <v>9877</v>
      </c>
      <c r="E2646" s="6" t="s">
        <v>9932</v>
      </c>
      <c r="F2646" s="6" t="s">
        <v>9933</v>
      </c>
      <c r="G2646" s="9" t="s">
        <v>9934</v>
      </c>
      <c r="H2646" s="9" t="s">
        <v>18</v>
      </c>
      <c r="I2646" s="16" t="str">
        <f>VLOOKUP(F2646,[1]完整分类结果!$E:$G,3,0)</f>
        <v>普通机械制造业</v>
      </c>
      <c r="J2646" s="16">
        <f>VLOOKUP(I2646,[2]行业排放因子!$A:$B,2,0)</f>
        <v>9.6615781889079599</v>
      </c>
      <c r="K2646" s="9" t="s">
        <v>756</v>
      </c>
    </row>
    <row r="2647" spans="1:11" ht="12.5" customHeight="1" x14ac:dyDescent="0.25">
      <c r="A2647" s="5" t="s">
        <v>9935</v>
      </c>
      <c r="B2647" s="6" t="s">
        <v>7578</v>
      </c>
      <c r="C2647" s="6" t="s">
        <v>9834</v>
      </c>
      <c r="D2647" s="6" t="s">
        <v>9877</v>
      </c>
      <c r="E2647" s="6" t="s">
        <v>9936</v>
      </c>
      <c r="F2647" s="6" t="s">
        <v>9937</v>
      </c>
      <c r="G2647" s="9" t="s">
        <v>9938</v>
      </c>
      <c r="H2647" s="9" t="s">
        <v>18</v>
      </c>
      <c r="I2647" s="16" t="str">
        <f>VLOOKUP(F2647,[1]完整分类结果!$E:$G,3,0)</f>
        <v>普通机械制造业</v>
      </c>
      <c r="J2647" s="16">
        <f>VLOOKUP(I2647,[2]行业排放因子!$A:$B,2,0)</f>
        <v>9.6615781889079599</v>
      </c>
      <c r="K2647" s="9" t="s">
        <v>756</v>
      </c>
    </row>
    <row r="2648" spans="1:11" ht="12.5" customHeight="1" x14ac:dyDescent="0.25">
      <c r="A2648" s="5" t="s">
        <v>9939</v>
      </c>
      <c r="B2648" s="6" t="s">
        <v>7578</v>
      </c>
      <c r="C2648" s="6" t="s">
        <v>9834</v>
      </c>
      <c r="D2648" s="6" t="s">
        <v>9834</v>
      </c>
      <c r="E2648" s="6" t="s">
        <v>9940</v>
      </c>
      <c r="F2648" s="6" t="s">
        <v>9941</v>
      </c>
      <c r="G2648" s="9" t="s">
        <v>9942</v>
      </c>
      <c r="H2648" s="9" t="s">
        <v>18</v>
      </c>
      <c r="I2648" s="16" t="str">
        <f>VLOOKUP(F2648,[1]完整分类结果!$E:$G,3,0)</f>
        <v>普通机械制造业</v>
      </c>
      <c r="J2648" s="16">
        <f>VLOOKUP(I2648,[2]行业排放因子!$A:$B,2,0)</f>
        <v>9.6615781889079599</v>
      </c>
      <c r="K2648" s="9" t="s">
        <v>756</v>
      </c>
    </row>
    <row r="2649" spans="1:11" ht="12.5" customHeight="1" x14ac:dyDescent="0.25">
      <c r="A2649" s="5" t="s">
        <v>9943</v>
      </c>
      <c r="B2649" s="6" t="s">
        <v>7578</v>
      </c>
      <c r="C2649" s="6" t="s">
        <v>9834</v>
      </c>
      <c r="D2649" s="6" t="s">
        <v>9834</v>
      </c>
      <c r="E2649" s="6" t="s">
        <v>9944</v>
      </c>
      <c r="F2649" s="6" t="s">
        <v>9945</v>
      </c>
      <c r="G2649" s="9" t="s">
        <v>9946</v>
      </c>
      <c r="H2649" s="9" t="s">
        <v>18</v>
      </c>
      <c r="I2649" s="16" t="str">
        <f>VLOOKUP(F2649,[1]完整分类结果!$E:$G,3,0)</f>
        <v>普通机械制造业</v>
      </c>
      <c r="J2649" s="16">
        <f>VLOOKUP(I2649,[2]行业排放因子!$A:$B,2,0)</f>
        <v>9.6615781889079599</v>
      </c>
      <c r="K2649" s="9" t="s">
        <v>756</v>
      </c>
    </row>
    <row r="2650" spans="1:11" ht="12.5" customHeight="1" x14ac:dyDescent="0.25">
      <c r="A2650" s="5" t="s">
        <v>9947</v>
      </c>
      <c r="B2650" s="6" t="s">
        <v>7578</v>
      </c>
      <c r="C2650" s="6" t="s">
        <v>9834</v>
      </c>
      <c r="D2650" s="6" t="s">
        <v>9834</v>
      </c>
      <c r="E2650" s="6" t="s">
        <v>9948</v>
      </c>
      <c r="F2650" s="6" t="s">
        <v>9949</v>
      </c>
      <c r="G2650" s="9" t="s">
        <v>9950</v>
      </c>
      <c r="H2650" s="9" t="s">
        <v>18</v>
      </c>
      <c r="I2650" s="16" t="str">
        <f>VLOOKUP(F2650,[1]完整分类结果!$E:$G,3,0)</f>
        <v>普通机械制造业</v>
      </c>
      <c r="J2650" s="16">
        <f>VLOOKUP(I2650,[2]行业排放因子!$A:$B,2,0)</f>
        <v>9.6615781889079599</v>
      </c>
      <c r="K2650" s="9" t="s">
        <v>756</v>
      </c>
    </row>
    <row r="2651" spans="1:11" ht="12.5" customHeight="1" x14ac:dyDescent="0.25">
      <c r="A2651" s="5" t="s">
        <v>9951</v>
      </c>
      <c r="B2651" s="6" t="s">
        <v>7578</v>
      </c>
      <c r="C2651" s="6" t="s">
        <v>9834</v>
      </c>
      <c r="D2651" s="6" t="s">
        <v>9877</v>
      </c>
      <c r="E2651" s="6" t="s">
        <v>9952</v>
      </c>
      <c r="F2651" s="6" t="s">
        <v>9953</v>
      </c>
      <c r="G2651" s="9" t="s">
        <v>9954</v>
      </c>
      <c r="H2651" s="9" t="s">
        <v>18</v>
      </c>
      <c r="I2651" s="16" t="str">
        <f>VLOOKUP(F2651,[1]完整分类结果!$E:$G,3,0)</f>
        <v>普通机械制造业</v>
      </c>
      <c r="J2651" s="16">
        <f>VLOOKUP(I2651,[2]行业排放因子!$A:$B,2,0)</f>
        <v>9.6615781889079599</v>
      </c>
      <c r="K2651" s="9" t="s">
        <v>756</v>
      </c>
    </row>
    <row r="2652" spans="1:11" ht="12.5" customHeight="1" x14ac:dyDescent="0.25">
      <c r="A2652" s="5" t="s">
        <v>9955</v>
      </c>
      <c r="B2652" s="6" t="s">
        <v>7578</v>
      </c>
      <c r="C2652" s="6" t="s">
        <v>9834</v>
      </c>
      <c r="D2652" s="6" t="s">
        <v>9834</v>
      </c>
      <c r="E2652" s="6" t="s">
        <v>9956</v>
      </c>
      <c r="F2652" s="6" t="s">
        <v>9957</v>
      </c>
      <c r="G2652" s="9" t="s">
        <v>9958</v>
      </c>
      <c r="H2652" s="9" t="s">
        <v>18</v>
      </c>
      <c r="I2652" s="16" t="str">
        <f>VLOOKUP(F2652,[1]完整分类结果!$E:$G,3,0)</f>
        <v>普通机械制造业</v>
      </c>
      <c r="J2652" s="16">
        <f>VLOOKUP(I2652,[2]行业排放因子!$A:$B,2,0)</f>
        <v>9.6615781889079599</v>
      </c>
      <c r="K2652" s="9" t="s">
        <v>756</v>
      </c>
    </row>
    <row r="2653" spans="1:11" ht="12.5" customHeight="1" x14ac:dyDescent="0.25">
      <c r="A2653" s="5" t="s">
        <v>9959</v>
      </c>
      <c r="B2653" s="6" t="s">
        <v>7578</v>
      </c>
      <c r="C2653" s="6" t="s">
        <v>9834</v>
      </c>
      <c r="D2653" s="6" t="s">
        <v>9834</v>
      </c>
      <c r="E2653" s="6" t="s">
        <v>9960</v>
      </c>
      <c r="F2653" s="6" t="s">
        <v>9961</v>
      </c>
      <c r="G2653" s="9" t="s">
        <v>9962</v>
      </c>
      <c r="H2653" s="9" t="s">
        <v>18</v>
      </c>
      <c r="I2653" s="16" t="str">
        <f>VLOOKUP(F2653,[1]完整分类结果!$E:$G,3,0)</f>
        <v>普通机械制造业</v>
      </c>
      <c r="J2653" s="16">
        <f>VLOOKUP(I2653,[2]行业排放因子!$A:$B,2,0)</f>
        <v>9.6615781889079599</v>
      </c>
      <c r="K2653" s="9" t="s">
        <v>756</v>
      </c>
    </row>
    <row r="2654" spans="1:11" ht="12.5" customHeight="1" x14ac:dyDescent="0.25">
      <c r="A2654" s="5" t="s">
        <v>9963</v>
      </c>
      <c r="B2654" s="6" t="s">
        <v>7578</v>
      </c>
      <c r="C2654" s="6" t="s">
        <v>9834</v>
      </c>
      <c r="D2654" s="6" t="s">
        <v>9834</v>
      </c>
      <c r="E2654" s="6" t="s">
        <v>9964</v>
      </c>
      <c r="F2654" s="6" t="s">
        <v>9965</v>
      </c>
      <c r="G2654" s="9" t="s">
        <v>9966</v>
      </c>
      <c r="H2654" s="9" t="s">
        <v>18</v>
      </c>
      <c r="I2654" s="16" t="str">
        <f>VLOOKUP(F2654,[1]完整分类结果!$E:$G,3,0)</f>
        <v>普通机械制造业</v>
      </c>
      <c r="J2654" s="16">
        <f>VLOOKUP(I2654,[2]行业排放因子!$A:$B,2,0)</f>
        <v>9.6615781889079599</v>
      </c>
      <c r="K2654" s="9" t="s">
        <v>756</v>
      </c>
    </row>
    <row r="2655" spans="1:11" ht="12.5" customHeight="1" x14ac:dyDescent="0.25">
      <c r="A2655" s="5" t="s">
        <v>9967</v>
      </c>
      <c r="B2655" s="6" t="s">
        <v>7578</v>
      </c>
      <c r="C2655" s="6" t="s">
        <v>9834</v>
      </c>
      <c r="D2655" s="6" t="s">
        <v>9834</v>
      </c>
      <c r="E2655" s="6" t="s">
        <v>9968</v>
      </c>
      <c r="F2655" s="6" t="s">
        <v>9969</v>
      </c>
      <c r="G2655" s="9" t="s">
        <v>9970</v>
      </c>
      <c r="H2655" s="9" t="s">
        <v>18</v>
      </c>
      <c r="I2655" s="16" t="str">
        <f>VLOOKUP(F2655,[1]完整分类结果!$E:$G,3,0)</f>
        <v>普通机械制造业</v>
      </c>
      <c r="J2655" s="16">
        <f>VLOOKUP(I2655,[2]行业排放因子!$A:$B,2,0)</f>
        <v>9.6615781889079599</v>
      </c>
      <c r="K2655" s="9" t="s">
        <v>756</v>
      </c>
    </row>
    <row r="2656" spans="1:11" ht="12.5" customHeight="1" x14ac:dyDescent="0.25">
      <c r="A2656" s="5" t="s">
        <v>9971</v>
      </c>
      <c r="B2656" s="6" t="s">
        <v>7578</v>
      </c>
      <c r="C2656" s="6" t="s">
        <v>9834</v>
      </c>
      <c r="D2656" s="6" t="s">
        <v>9834</v>
      </c>
      <c r="E2656" s="6" t="s">
        <v>9972</v>
      </c>
      <c r="F2656" s="6" t="s">
        <v>9973</v>
      </c>
      <c r="G2656" s="9" t="s">
        <v>9970</v>
      </c>
      <c r="H2656" s="9" t="s">
        <v>18</v>
      </c>
      <c r="I2656" s="16" t="str">
        <f>VLOOKUP(F2656,[1]完整分类结果!$E:$G,3,0)</f>
        <v>普通机械制造业</v>
      </c>
      <c r="J2656" s="16">
        <f>VLOOKUP(I2656,[2]行业排放因子!$A:$B,2,0)</f>
        <v>9.6615781889079599</v>
      </c>
      <c r="K2656" s="9" t="s">
        <v>756</v>
      </c>
    </row>
    <row r="2657" spans="1:11" ht="12.5" customHeight="1" x14ac:dyDescent="0.25">
      <c r="A2657" s="5" t="s">
        <v>9974</v>
      </c>
      <c r="B2657" s="6" t="s">
        <v>7578</v>
      </c>
      <c r="C2657" s="6" t="s">
        <v>9834</v>
      </c>
      <c r="D2657" s="6" t="s">
        <v>9834</v>
      </c>
      <c r="E2657" s="6" t="s">
        <v>9975</v>
      </c>
      <c r="F2657" s="6" t="s">
        <v>9976</v>
      </c>
      <c r="G2657" s="9" t="s">
        <v>9977</v>
      </c>
      <c r="H2657" s="9" t="s">
        <v>18</v>
      </c>
      <c r="I2657" s="16" t="str">
        <f>VLOOKUP(F2657,[1]完整分类结果!$E:$G,3,0)</f>
        <v>普通机械制造业</v>
      </c>
      <c r="J2657" s="16">
        <f>VLOOKUP(I2657,[2]行业排放因子!$A:$B,2,0)</f>
        <v>9.6615781889079599</v>
      </c>
      <c r="K2657" s="9" t="s">
        <v>756</v>
      </c>
    </row>
    <row r="2658" spans="1:11" ht="12.5" customHeight="1" x14ac:dyDescent="0.25">
      <c r="A2658" s="5" t="s">
        <v>9978</v>
      </c>
      <c r="B2658" s="6" t="s">
        <v>7578</v>
      </c>
      <c r="C2658" s="6" t="s">
        <v>9834</v>
      </c>
      <c r="D2658" s="6" t="s">
        <v>9834</v>
      </c>
      <c r="E2658" s="6" t="s">
        <v>9979</v>
      </c>
      <c r="F2658" s="6" t="s">
        <v>9980</v>
      </c>
      <c r="G2658" s="9" t="s">
        <v>9981</v>
      </c>
      <c r="H2658" s="9" t="s">
        <v>18</v>
      </c>
      <c r="I2658" s="16" t="str">
        <f>VLOOKUP(F2658,[1]完整分类结果!$E:$G,3,0)</f>
        <v>普通机械制造业</v>
      </c>
      <c r="J2658" s="16">
        <f>VLOOKUP(I2658,[2]行业排放因子!$A:$B,2,0)</f>
        <v>9.6615781889079599</v>
      </c>
      <c r="K2658" s="9" t="s">
        <v>756</v>
      </c>
    </row>
    <row r="2659" spans="1:11" ht="12.5" customHeight="1" x14ac:dyDescent="0.25">
      <c r="A2659" s="5" t="s">
        <v>9982</v>
      </c>
      <c r="B2659" s="6" t="s">
        <v>7578</v>
      </c>
      <c r="C2659" s="6" t="s">
        <v>9834</v>
      </c>
      <c r="D2659" s="6" t="s">
        <v>9834</v>
      </c>
      <c r="E2659" s="6" t="s">
        <v>9983</v>
      </c>
      <c r="F2659" s="6" t="s">
        <v>9984</v>
      </c>
      <c r="G2659" s="9" t="s">
        <v>9985</v>
      </c>
      <c r="H2659" s="9" t="s">
        <v>18</v>
      </c>
      <c r="I2659" s="16" t="str">
        <f>VLOOKUP(F2659,[1]完整分类结果!$E:$G,3,0)</f>
        <v>普通机械制造业</v>
      </c>
      <c r="J2659" s="16">
        <f>VLOOKUP(I2659,[2]行业排放因子!$A:$B,2,0)</f>
        <v>9.6615781889079599</v>
      </c>
      <c r="K2659" s="9" t="s">
        <v>756</v>
      </c>
    </row>
    <row r="2660" spans="1:11" ht="12.5" customHeight="1" x14ac:dyDescent="0.25">
      <c r="A2660" s="5" t="s">
        <v>9986</v>
      </c>
      <c r="B2660" s="6" t="s">
        <v>7578</v>
      </c>
      <c r="C2660" s="6" t="s">
        <v>9834</v>
      </c>
      <c r="D2660" s="6" t="s">
        <v>9834</v>
      </c>
      <c r="E2660" s="6" t="s">
        <v>9987</v>
      </c>
      <c r="F2660" s="6" t="s">
        <v>9988</v>
      </c>
      <c r="G2660" s="9" t="s">
        <v>9989</v>
      </c>
      <c r="H2660" s="9" t="s">
        <v>18</v>
      </c>
      <c r="I2660" s="16" t="str">
        <f>VLOOKUP(F2660,[1]完整分类结果!$E:$G,3,0)</f>
        <v>普通机械制造业</v>
      </c>
      <c r="J2660" s="16">
        <f>VLOOKUP(I2660,[2]行业排放因子!$A:$B,2,0)</f>
        <v>9.6615781889079599</v>
      </c>
      <c r="K2660" s="9" t="s">
        <v>756</v>
      </c>
    </row>
    <row r="2661" spans="1:11" ht="12.5" customHeight="1" x14ac:dyDescent="0.25">
      <c r="A2661" s="5" t="s">
        <v>9990</v>
      </c>
      <c r="B2661" s="6" t="s">
        <v>7578</v>
      </c>
      <c r="C2661" s="6" t="s">
        <v>9834</v>
      </c>
      <c r="D2661" s="6" t="s">
        <v>9834</v>
      </c>
      <c r="E2661" s="6" t="s">
        <v>9991</v>
      </c>
      <c r="F2661" s="6" t="s">
        <v>9992</v>
      </c>
      <c r="G2661" s="9" t="s">
        <v>9993</v>
      </c>
      <c r="H2661" s="9" t="s">
        <v>18</v>
      </c>
      <c r="I2661" s="16" t="str">
        <f>VLOOKUP(F2661,[1]完整分类结果!$E:$G,3,0)</f>
        <v>普通机械制造业</v>
      </c>
      <c r="J2661" s="16">
        <f>VLOOKUP(I2661,[2]行业排放因子!$A:$B,2,0)</f>
        <v>9.6615781889079599</v>
      </c>
      <c r="K2661" s="9" t="s">
        <v>756</v>
      </c>
    </row>
    <row r="2662" spans="1:11" ht="12.5" customHeight="1" x14ac:dyDescent="0.25">
      <c r="A2662" s="5" t="s">
        <v>9994</v>
      </c>
      <c r="B2662" s="6" t="s">
        <v>7578</v>
      </c>
      <c r="C2662" s="6" t="s">
        <v>9834</v>
      </c>
      <c r="D2662" s="6" t="s">
        <v>9834</v>
      </c>
      <c r="E2662" s="6" t="s">
        <v>9995</v>
      </c>
      <c r="F2662" s="6" t="s">
        <v>9996</v>
      </c>
      <c r="G2662" s="9" t="s">
        <v>9997</v>
      </c>
      <c r="H2662" s="9" t="s">
        <v>18</v>
      </c>
      <c r="I2662" s="16" t="str">
        <f>VLOOKUP(F2662,[1]完整分类结果!$E:$G,3,0)</f>
        <v>普通机械制造业</v>
      </c>
      <c r="J2662" s="16">
        <f>VLOOKUP(I2662,[2]行业排放因子!$A:$B,2,0)</f>
        <v>9.6615781889079599</v>
      </c>
      <c r="K2662" s="9" t="s">
        <v>756</v>
      </c>
    </row>
    <row r="2663" spans="1:11" ht="12.5" customHeight="1" x14ac:dyDescent="0.25">
      <c r="A2663" s="5" t="s">
        <v>9998</v>
      </c>
      <c r="B2663" s="6" t="s">
        <v>7578</v>
      </c>
      <c r="C2663" s="6" t="s">
        <v>9834</v>
      </c>
      <c r="D2663" s="6" t="s">
        <v>9834</v>
      </c>
      <c r="E2663" s="6" t="s">
        <v>9999</v>
      </c>
      <c r="F2663" s="6" t="s">
        <v>10000</v>
      </c>
      <c r="G2663" s="9" t="s">
        <v>10001</v>
      </c>
      <c r="H2663" s="9" t="s">
        <v>18</v>
      </c>
      <c r="I2663" s="16" t="str">
        <f>VLOOKUP(F2663,[1]完整分类结果!$E:$G,3,0)</f>
        <v>普通机械制造业</v>
      </c>
      <c r="J2663" s="16">
        <f>VLOOKUP(I2663,[2]行业排放因子!$A:$B,2,0)</f>
        <v>9.6615781889079599</v>
      </c>
      <c r="K2663" s="9" t="s">
        <v>756</v>
      </c>
    </row>
    <row r="2664" spans="1:11" ht="12.5" customHeight="1" x14ac:dyDescent="0.25">
      <c r="A2664" s="5" t="s">
        <v>10002</v>
      </c>
      <c r="B2664" s="6" t="s">
        <v>7578</v>
      </c>
      <c r="C2664" s="6" t="s">
        <v>9834</v>
      </c>
      <c r="D2664" s="6" t="s">
        <v>9834</v>
      </c>
      <c r="E2664" s="6" t="s">
        <v>10003</v>
      </c>
      <c r="F2664" s="6" t="s">
        <v>10004</v>
      </c>
      <c r="G2664" s="9" t="s">
        <v>10005</v>
      </c>
      <c r="H2664" s="9" t="s">
        <v>18</v>
      </c>
      <c r="I2664" s="16" t="str">
        <f>VLOOKUP(F2664,[1]完整分类结果!$E:$G,3,0)</f>
        <v>普通机械制造业</v>
      </c>
      <c r="J2664" s="16">
        <f>VLOOKUP(I2664,[2]行业排放因子!$A:$B,2,0)</f>
        <v>9.6615781889079599</v>
      </c>
      <c r="K2664" s="9" t="s">
        <v>756</v>
      </c>
    </row>
    <row r="2665" spans="1:11" ht="12.5" customHeight="1" x14ac:dyDescent="0.25">
      <c r="A2665" s="5" t="s">
        <v>10006</v>
      </c>
      <c r="B2665" s="6" t="s">
        <v>7578</v>
      </c>
      <c r="C2665" s="6" t="s">
        <v>9834</v>
      </c>
      <c r="D2665" s="6" t="s">
        <v>9834</v>
      </c>
      <c r="E2665" s="6" t="s">
        <v>10007</v>
      </c>
      <c r="F2665" s="6" t="s">
        <v>10008</v>
      </c>
      <c r="G2665" s="9" t="s">
        <v>10009</v>
      </c>
      <c r="H2665" s="9" t="s">
        <v>18</v>
      </c>
      <c r="I2665" s="16" t="str">
        <f>VLOOKUP(F2665,[1]完整分类结果!$E:$G,3,0)</f>
        <v>普通机械制造业</v>
      </c>
      <c r="J2665" s="16">
        <f>VLOOKUP(I2665,[2]行业排放因子!$A:$B,2,0)</f>
        <v>9.6615781889079599</v>
      </c>
      <c r="K2665" s="9" t="s">
        <v>756</v>
      </c>
    </row>
    <row r="2666" spans="1:11" ht="12.5" customHeight="1" x14ac:dyDescent="0.25">
      <c r="A2666" s="5" t="s">
        <v>10010</v>
      </c>
      <c r="B2666" s="6" t="s">
        <v>7578</v>
      </c>
      <c r="C2666" s="6" t="s">
        <v>9834</v>
      </c>
      <c r="D2666" s="6" t="s">
        <v>9834</v>
      </c>
      <c r="E2666" s="6" t="s">
        <v>10011</v>
      </c>
      <c r="F2666" s="6" t="s">
        <v>10012</v>
      </c>
      <c r="G2666" s="9" t="s">
        <v>10013</v>
      </c>
      <c r="H2666" s="9" t="s">
        <v>18</v>
      </c>
      <c r="I2666" s="16" t="str">
        <f>VLOOKUP(F2666,[1]完整分类结果!$E:$G,3,0)</f>
        <v>普通机械制造业</v>
      </c>
      <c r="J2666" s="16">
        <f>VLOOKUP(I2666,[2]行业排放因子!$A:$B,2,0)</f>
        <v>9.6615781889079599</v>
      </c>
      <c r="K2666" s="9" t="s">
        <v>756</v>
      </c>
    </row>
    <row r="2667" spans="1:11" ht="12.5" customHeight="1" x14ac:dyDescent="0.25">
      <c r="A2667" s="5" t="s">
        <v>10014</v>
      </c>
      <c r="B2667" s="6" t="s">
        <v>7578</v>
      </c>
      <c r="C2667" s="6" t="s">
        <v>9834</v>
      </c>
      <c r="D2667" s="6" t="s">
        <v>9834</v>
      </c>
      <c r="E2667" s="6" t="s">
        <v>10015</v>
      </c>
      <c r="F2667" s="6" t="s">
        <v>10016</v>
      </c>
      <c r="G2667" s="9" t="s">
        <v>10017</v>
      </c>
      <c r="H2667" s="9" t="s">
        <v>18</v>
      </c>
      <c r="I2667" s="16" t="str">
        <f>VLOOKUP(F2667,[1]完整分类结果!$E:$G,3,0)</f>
        <v>普通机械制造业</v>
      </c>
      <c r="J2667" s="16">
        <f>VLOOKUP(I2667,[2]行业排放因子!$A:$B,2,0)</f>
        <v>9.6615781889079599</v>
      </c>
      <c r="K2667" s="9" t="s">
        <v>756</v>
      </c>
    </row>
    <row r="2668" spans="1:11" ht="12.5" customHeight="1" x14ac:dyDescent="0.25">
      <c r="A2668" s="5" t="s">
        <v>10018</v>
      </c>
      <c r="B2668" s="6" t="s">
        <v>7578</v>
      </c>
      <c r="C2668" s="6" t="s">
        <v>9834</v>
      </c>
      <c r="D2668" s="6" t="s">
        <v>9834</v>
      </c>
      <c r="E2668" s="6" t="s">
        <v>10019</v>
      </c>
      <c r="F2668" s="6" t="s">
        <v>10020</v>
      </c>
      <c r="G2668" s="9" t="s">
        <v>10021</v>
      </c>
      <c r="H2668" s="9" t="s">
        <v>18</v>
      </c>
      <c r="I2668" s="16" t="str">
        <f>VLOOKUP(F2668,[1]完整分类结果!$E:$G,3,0)</f>
        <v>普通机械制造业</v>
      </c>
      <c r="J2668" s="16">
        <f>VLOOKUP(I2668,[2]行业排放因子!$A:$B,2,0)</f>
        <v>9.6615781889079599</v>
      </c>
      <c r="K2668" s="9" t="s">
        <v>756</v>
      </c>
    </row>
    <row r="2669" spans="1:11" ht="12.5" customHeight="1" x14ac:dyDescent="0.25">
      <c r="A2669" s="5" t="s">
        <v>10022</v>
      </c>
      <c r="B2669" s="6" t="s">
        <v>7578</v>
      </c>
      <c r="C2669" s="6" t="s">
        <v>9834</v>
      </c>
      <c r="D2669" s="6" t="s">
        <v>9834</v>
      </c>
      <c r="E2669" s="6" t="s">
        <v>10023</v>
      </c>
      <c r="F2669" s="6" t="s">
        <v>10024</v>
      </c>
      <c r="G2669" s="9" t="s">
        <v>10025</v>
      </c>
      <c r="H2669" s="9" t="s">
        <v>18</v>
      </c>
      <c r="I2669" s="16" t="str">
        <f>VLOOKUP(F2669,[1]完整分类结果!$E:$G,3,0)</f>
        <v>普通机械制造业</v>
      </c>
      <c r="J2669" s="16">
        <f>VLOOKUP(I2669,[2]行业排放因子!$A:$B,2,0)</f>
        <v>9.6615781889079599</v>
      </c>
      <c r="K2669" s="9" t="s">
        <v>756</v>
      </c>
    </row>
    <row r="2670" spans="1:11" ht="12.5" customHeight="1" x14ac:dyDescent="0.25">
      <c r="A2670" s="5" t="s">
        <v>10026</v>
      </c>
      <c r="B2670" s="6" t="s">
        <v>7578</v>
      </c>
      <c r="C2670" s="6" t="s">
        <v>9834</v>
      </c>
      <c r="D2670" s="6" t="s">
        <v>9834</v>
      </c>
      <c r="E2670" s="6" t="s">
        <v>10027</v>
      </c>
      <c r="F2670" s="6" t="s">
        <v>10028</v>
      </c>
      <c r="G2670" s="9" t="s">
        <v>10029</v>
      </c>
      <c r="H2670" s="9" t="s">
        <v>18</v>
      </c>
      <c r="I2670" s="16" t="str">
        <f>VLOOKUP(F2670,[1]完整分类结果!$E:$G,3,0)</f>
        <v>普通机械制造业</v>
      </c>
      <c r="J2670" s="16">
        <f>VLOOKUP(I2670,[2]行业排放因子!$A:$B,2,0)</f>
        <v>9.6615781889079599</v>
      </c>
      <c r="K2670" s="9" t="s">
        <v>756</v>
      </c>
    </row>
    <row r="2671" spans="1:11" ht="12.5" customHeight="1" x14ac:dyDescent="0.25">
      <c r="A2671" s="5" t="s">
        <v>10030</v>
      </c>
      <c r="B2671" s="6" t="s">
        <v>7578</v>
      </c>
      <c r="C2671" s="6" t="s">
        <v>9834</v>
      </c>
      <c r="D2671" s="6" t="s">
        <v>9834</v>
      </c>
      <c r="E2671" s="6" t="s">
        <v>10031</v>
      </c>
      <c r="F2671" s="6" t="s">
        <v>10032</v>
      </c>
      <c r="G2671" s="9" t="s">
        <v>10033</v>
      </c>
      <c r="H2671" s="9" t="s">
        <v>18</v>
      </c>
      <c r="I2671" s="16" t="str">
        <f>VLOOKUP(F2671,[1]完整分类结果!$E:$G,3,0)</f>
        <v>普通机械制造业</v>
      </c>
      <c r="J2671" s="16">
        <f>VLOOKUP(I2671,[2]行业排放因子!$A:$B,2,0)</f>
        <v>9.6615781889079599</v>
      </c>
      <c r="K2671" s="9" t="s">
        <v>756</v>
      </c>
    </row>
    <row r="2672" spans="1:11" ht="12.5" customHeight="1" x14ac:dyDescent="0.25">
      <c r="A2672" s="5" t="s">
        <v>10034</v>
      </c>
      <c r="B2672" s="6" t="s">
        <v>7578</v>
      </c>
      <c r="C2672" s="6" t="s">
        <v>9834</v>
      </c>
      <c r="D2672" s="6" t="s">
        <v>9877</v>
      </c>
      <c r="E2672" s="6" t="s">
        <v>10035</v>
      </c>
      <c r="F2672" s="6" t="s">
        <v>10036</v>
      </c>
      <c r="G2672" s="9"/>
      <c r="H2672" s="9" t="s">
        <v>18</v>
      </c>
      <c r="I2672" s="16" t="str">
        <f>VLOOKUP(F2672,[1]完整分类结果!$E:$G,3,0)</f>
        <v>普通机械制造业</v>
      </c>
      <c r="J2672" s="16">
        <f>VLOOKUP(I2672,[2]行业排放因子!$A:$B,2,0)</f>
        <v>9.6615781889079599</v>
      </c>
      <c r="K2672" s="9" t="s">
        <v>756</v>
      </c>
    </row>
    <row r="2673" spans="1:11" ht="12.5" customHeight="1" x14ac:dyDescent="0.25">
      <c r="A2673" s="5" t="s">
        <v>10037</v>
      </c>
      <c r="B2673" s="6" t="s">
        <v>7578</v>
      </c>
      <c r="C2673" s="6" t="s">
        <v>9834</v>
      </c>
      <c r="D2673" s="6" t="s">
        <v>9877</v>
      </c>
      <c r="E2673" s="6" t="s">
        <v>10038</v>
      </c>
      <c r="F2673" s="6" t="s">
        <v>10039</v>
      </c>
      <c r="G2673" s="9"/>
      <c r="H2673" s="9" t="s">
        <v>18</v>
      </c>
      <c r="I2673" s="16" t="str">
        <f>VLOOKUP(F2673,[1]完整分类结果!$E:$G,3,0)</f>
        <v>普通机械制造业</v>
      </c>
      <c r="J2673" s="16">
        <f>VLOOKUP(I2673,[2]行业排放因子!$A:$B,2,0)</f>
        <v>9.6615781889079599</v>
      </c>
      <c r="K2673" s="9" t="s">
        <v>756</v>
      </c>
    </row>
    <row r="2674" spans="1:11" ht="12.5" customHeight="1" x14ac:dyDescent="0.25">
      <c r="A2674" s="5" t="s">
        <v>10040</v>
      </c>
      <c r="B2674" s="6" t="s">
        <v>7578</v>
      </c>
      <c r="C2674" s="6" t="s">
        <v>9834</v>
      </c>
      <c r="D2674" s="6" t="s">
        <v>9877</v>
      </c>
      <c r="E2674" s="6" t="s">
        <v>10041</v>
      </c>
      <c r="F2674" s="6" t="s">
        <v>10042</v>
      </c>
      <c r="G2674" s="9"/>
      <c r="H2674" s="9" t="s">
        <v>18</v>
      </c>
      <c r="I2674" s="16" t="str">
        <f>VLOOKUP(F2674,[1]完整分类结果!$E:$G,3,0)</f>
        <v>普通机械制造业</v>
      </c>
      <c r="J2674" s="16">
        <f>VLOOKUP(I2674,[2]行业排放因子!$A:$B,2,0)</f>
        <v>9.6615781889079599</v>
      </c>
      <c r="K2674" s="9" t="s">
        <v>756</v>
      </c>
    </row>
    <row r="2675" spans="1:11" ht="12.5" customHeight="1" x14ac:dyDescent="0.25">
      <c r="A2675" s="5" t="s">
        <v>10043</v>
      </c>
      <c r="B2675" s="6" t="s">
        <v>7578</v>
      </c>
      <c r="C2675" s="6" t="s">
        <v>9834</v>
      </c>
      <c r="D2675" s="6" t="s">
        <v>9877</v>
      </c>
      <c r="E2675" s="6" t="s">
        <v>10044</v>
      </c>
      <c r="F2675" s="6" t="s">
        <v>10045</v>
      </c>
      <c r="G2675" s="9" t="s">
        <v>10046</v>
      </c>
      <c r="H2675" s="9" t="s">
        <v>18</v>
      </c>
      <c r="I2675" s="16" t="str">
        <f>VLOOKUP(F2675,[1]完整分类结果!$E:$G,3,0)</f>
        <v>普通机械制造业</v>
      </c>
      <c r="J2675" s="16">
        <f>VLOOKUP(I2675,[2]行业排放因子!$A:$B,2,0)</f>
        <v>9.6615781889079599</v>
      </c>
      <c r="K2675" s="9" t="s">
        <v>756</v>
      </c>
    </row>
    <row r="2676" spans="1:11" ht="12.5" customHeight="1" x14ac:dyDescent="0.25">
      <c r="A2676" s="5" t="s">
        <v>10047</v>
      </c>
      <c r="B2676" s="6" t="s">
        <v>7578</v>
      </c>
      <c r="C2676" s="6" t="s">
        <v>9834</v>
      </c>
      <c r="D2676" s="6" t="s">
        <v>9877</v>
      </c>
      <c r="E2676" s="6" t="s">
        <v>10048</v>
      </c>
      <c r="F2676" s="6" t="s">
        <v>10049</v>
      </c>
      <c r="G2676" s="9" t="s">
        <v>10046</v>
      </c>
      <c r="H2676" s="9" t="s">
        <v>18</v>
      </c>
      <c r="I2676" s="16" t="str">
        <f>VLOOKUP(F2676,[1]完整分类结果!$E:$G,3,0)</f>
        <v>普通机械制造业</v>
      </c>
      <c r="J2676" s="16">
        <f>VLOOKUP(I2676,[2]行业排放因子!$A:$B,2,0)</f>
        <v>9.6615781889079599</v>
      </c>
      <c r="K2676" s="9" t="s">
        <v>756</v>
      </c>
    </row>
    <row r="2677" spans="1:11" ht="12.5" customHeight="1" x14ac:dyDescent="0.25">
      <c r="A2677" s="5" t="s">
        <v>10050</v>
      </c>
      <c r="B2677" s="6" t="s">
        <v>7578</v>
      </c>
      <c r="C2677" s="6" t="s">
        <v>9834</v>
      </c>
      <c r="D2677" s="6" t="s">
        <v>9834</v>
      </c>
      <c r="E2677" s="6" t="s">
        <v>10051</v>
      </c>
      <c r="F2677" s="6" t="s">
        <v>10052</v>
      </c>
      <c r="G2677" s="9" t="s">
        <v>10053</v>
      </c>
      <c r="H2677" s="9" t="s">
        <v>18</v>
      </c>
      <c r="I2677" s="16" t="str">
        <f>VLOOKUP(F2677,[1]完整分类结果!$E:$G,3,0)</f>
        <v>普通机械制造业</v>
      </c>
      <c r="J2677" s="16">
        <f>VLOOKUP(I2677,[2]行业排放因子!$A:$B,2,0)</f>
        <v>9.6615781889079599</v>
      </c>
      <c r="K2677" s="9" t="s">
        <v>756</v>
      </c>
    </row>
    <row r="2678" spans="1:11" ht="12.5" customHeight="1" x14ac:dyDescent="0.25">
      <c r="A2678" s="5" t="s">
        <v>10054</v>
      </c>
      <c r="B2678" s="6" t="s">
        <v>7578</v>
      </c>
      <c r="C2678" s="6" t="s">
        <v>9834</v>
      </c>
      <c r="D2678" s="6" t="s">
        <v>9834</v>
      </c>
      <c r="E2678" s="6" t="s">
        <v>10055</v>
      </c>
      <c r="F2678" s="6" t="s">
        <v>10056</v>
      </c>
      <c r="G2678" s="9" t="s">
        <v>10057</v>
      </c>
      <c r="H2678" s="9" t="s">
        <v>18</v>
      </c>
      <c r="I2678" s="16" t="str">
        <f>VLOOKUP(F2678,[1]完整分类结果!$E:$G,3,0)</f>
        <v>普通机械制造业</v>
      </c>
      <c r="J2678" s="16">
        <f>VLOOKUP(I2678,[2]行业排放因子!$A:$B,2,0)</f>
        <v>9.6615781889079599</v>
      </c>
      <c r="K2678" s="9" t="s">
        <v>756</v>
      </c>
    </row>
    <row r="2679" spans="1:11" ht="12.5" customHeight="1" x14ac:dyDescent="0.25">
      <c r="A2679" s="5" t="s">
        <v>10058</v>
      </c>
      <c r="B2679" s="6" t="s">
        <v>7578</v>
      </c>
      <c r="C2679" s="6" t="s">
        <v>9834</v>
      </c>
      <c r="D2679" s="6" t="s">
        <v>9834</v>
      </c>
      <c r="E2679" s="6" t="s">
        <v>10059</v>
      </c>
      <c r="F2679" s="6" t="s">
        <v>10060</v>
      </c>
      <c r="G2679" s="9" t="s">
        <v>10061</v>
      </c>
      <c r="H2679" s="9" t="s">
        <v>18</v>
      </c>
      <c r="I2679" s="16" t="str">
        <f>VLOOKUP(F2679,[1]完整分类结果!$E:$G,3,0)</f>
        <v>普通机械制造业</v>
      </c>
      <c r="J2679" s="16">
        <f>VLOOKUP(I2679,[2]行业排放因子!$A:$B,2,0)</f>
        <v>9.6615781889079599</v>
      </c>
      <c r="K2679" s="9" t="s">
        <v>756</v>
      </c>
    </row>
    <row r="2680" spans="1:11" ht="12.5" customHeight="1" x14ac:dyDescent="0.25">
      <c r="A2680" s="5" t="s">
        <v>10062</v>
      </c>
      <c r="B2680" s="6" t="s">
        <v>7578</v>
      </c>
      <c r="C2680" s="6" t="s">
        <v>9834</v>
      </c>
      <c r="D2680" s="6" t="s">
        <v>9834</v>
      </c>
      <c r="E2680" s="6" t="s">
        <v>10063</v>
      </c>
      <c r="F2680" s="6" t="s">
        <v>10064</v>
      </c>
      <c r="G2680" s="9" t="s">
        <v>10065</v>
      </c>
      <c r="H2680" s="9" t="s">
        <v>18</v>
      </c>
      <c r="I2680" s="16" t="str">
        <f>VLOOKUP(F2680,[1]完整分类结果!$E:$G,3,0)</f>
        <v>普通机械制造业</v>
      </c>
      <c r="J2680" s="16">
        <f>VLOOKUP(I2680,[2]行业排放因子!$A:$B,2,0)</f>
        <v>9.6615781889079599</v>
      </c>
      <c r="K2680" s="9" t="s">
        <v>756</v>
      </c>
    </row>
    <row r="2681" spans="1:11" ht="12.5" customHeight="1" x14ac:dyDescent="0.25">
      <c r="A2681" s="5" t="s">
        <v>10066</v>
      </c>
      <c r="B2681" s="6" t="s">
        <v>7578</v>
      </c>
      <c r="C2681" s="6" t="s">
        <v>9834</v>
      </c>
      <c r="D2681" s="6" t="s">
        <v>9834</v>
      </c>
      <c r="E2681" s="6" t="s">
        <v>10067</v>
      </c>
      <c r="F2681" s="6" t="s">
        <v>10068</v>
      </c>
      <c r="G2681" s="9"/>
      <c r="H2681" s="9" t="s">
        <v>18</v>
      </c>
      <c r="I2681" s="16" t="str">
        <f>VLOOKUP(F2681,[1]完整分类结果!$E:$G,3,0)</f>
        <v>普通机械制造业</v>
      </c>
      <c r="J2681" s="16">
        <f>VLOOKUP(I2681,[2]行业排放因子!$A:$B,2,0)</f>
        <v>9.6615781889079599</v>
      </c>
      <c r="K2681" s="9" t="s">
        <v>756</v>
      </c>
    </row>
    <row r="2682" spans="1:11" ht="12.5" customHeight="1" x14ac:dyDescent="0.25">
      <c r="A2682" s="5" t="s">
        <v>10069</v>
      </c>
      <c r="B2682" s="6" t="s">
        <v>7578</v>
      </c>
      <c r="C2682" s="6" t="s">
        <v>9834</v>
      </c>
      <c r="D2682" s="6" t="s">
        <v>9877</v>
      </c>
      <c r="E2682" s="6" t="s">
        <v>10070</v>
      </c>
      <c r="F2682" s="6" t="s">
        <v>10071</v>
      </c>
      <c r="G2682" s="9" t="s">
        <v>10072</v>
      </c>
      <c r="H2682" s="9" t="s">
        <v>18</v>
      </c>
      <c r="I2682" s="16" t="str">
        <f>VLOOKUP(F2682,[1]完整分类结果!$E:$G,3,0)</f>
        <v>普通机械制造业</v>
      </c>
      <c r="J2682" s="16">
        <f>VLOOKUP(I2682,[2]行业排放因子!$A:$B,2,0)</f>
        <v>9.6615781889079599</v>
      </c>
      <c r="K2682" s="9" t="s">
        <v>756</v>
      </c>
    </row>
    <row r="2683" spans="1:11" ht="12.5" customHeight="1" x14ac:dyDescent="0.25">
      <c r="A2683" s="5" t="s">
        <v>10073</v>
      </c>
      <c r="B2683" s="6" t="s">
        <v>7578</v>
      </c>
      <c r="C2683" s="6" t="s">
        <v>9834</v>
      </c>
      <c r="D2683" s="6" t="s">
        <v>9834</v>
      </c>
      <c r="E2683" s="6" t="s">
        <v>10074</v>
      </c>
      <c r="F2683" s="6" t="s">
        <v>10075</v>
      </c>
      <c r="G2683" s="9" t="s">
        <v>10076</v>
      </c>
      <c r="H2683" s="9" t="s">
        <v>18</v>
      </c>
      <c r="I2683" s="16" t="str">
        <f>VLOOKUP(F2683,[1]完整分类结果!$E:$G,3,0)</f>
        <v>普通机械制造业</v>
      </c>
      <c r="J2683" s="16">
        <f>VLOOKUP(I2683,[2]行业排放因子!$A:$B,2,0)</f>
        <v>9.6615781889079599</v>
      </c>
      <c r="K2683" s="9" t="s">
        <v>756</v>
      </c>
    </row>
    <row r="2684" spans="1:11" ht="12.5" customHeight="1" x14ac:dyDescent="0.25">
      <c r="A2684" s="5" t="s">
        <v>10077</v>
      </c>
      <c r="B2684" s="6" t="s">
        <v>7578</v>
      </c>
      <c r="C2684" s="6" t="s">
        <v>9834</v>
      </c>
      <c r="D2684" s="6" t="s">
        <v>9834</v>
      </c>
      <c r="E2684" s="6" t="s">
        <v>10078</v>
      </c>
      <c r="F2684" s="6" t="s">
        <v>10079</v>
      </c>
      <c r="G2684" s="9" t="s">
        <v>10080</v>
      </c>
      <c r="H2684" s="9" t="s">
        <v>18</v>
      </c>
      <c r="I2684" s="16" t="str">
        <f>VLOOKUP(F2684,[1]完整分类结果!$E:$G,3,0)</f>
        <v>普通机械制造业</v>
      </c>
      <c r="J2684" s="16">
        <f>VLOOKUP(I2684,[2]行业排放因子!$A:$B,2,0)</f>
        <v>9.6615781889079599</v>
      </c>
      <c r="K2684" s="9" t="s">
        <v>756</v>
      </c>
    </row>
    <row r="2685" spans="1:11" ht="12.5" customHeight="1" x14ac:dyDescent="0.25">
      <c r="A2685" s="5" t="s">
        <v>10081</v>
      </c>
      <c r="B2685" s="6" t="s">
        <v>7578</v>
      </c>
      <c r="C2685" s="6" t="s">
        <v>9834</v>
      </c>
      <c r="D2685" s="6" t="s">
        <v>9834</v>
      </c>
      <c r="E2685" s="6" t="s">
        <v>10082</v>
      </c>
      <c r="F2685" s="6" t="s">
        <v>10083</v>
      </c>
      <c r="G2685" s="9" t="s">
        <v>10084</v>
      </c>
      <c r="H2685" s="9" t="s">
        <v>18</v>
      </c>
      <c r="I2685" s="16" t="str">
        <f>VLOOKUP(F2685,[1]完整分类结果!$E:$G,3,0)</f>
        <v>普通机械制造业</v>
      </c>
      <c r="J2685" s="16">
        <f>VLOOKUP(I2685,[2]行业排放因子!$A:$B,2,0)</f>
        <v>9.6615781889079599</v>
      </c>
      <c r="K2685" s="9" t="s">
        <v>756</v>
      </c>
    </row>
    <row r="2686" spans="1:11" ht="12.5" customHeight="1" x14ac:dyDescent="0.25">
      <c r="A2686" s="5" t="s">
        <v>10085</v>
      </c>
      <c r="B2686" s="6" t="s">
        <v>7578</v>
      </c>
      <c r="C2686" s="6" t="s">
        <v>9834</v>
      </c>
      <c r="D2686" s="6" t="s">
        <v>9834</v>
      </c>
      <c r="E2686" s="6" t="s">
        <v>10086</v>
      </c>
      <c r="F2686" s="6" t="s">
        <v>10087</v>
      </c>
      <c r="G2686" s="9" t="s">
        <v>10088</v>
      </c>
      <c r="H2686" s="9" t="s">
        <v>18</v>
      </c>
      <c r="I2686" s="16" t="str">
        <f>VLOOKUP(F2686,[1]完整分类结果!$E:$G,3,0)</f>
        <v>普通机械制造业</v>
      </c>
      <c r="J2686" s="16">
        <f>VLOOKUP(I2686,[2]行业排放因子!$A:$B,2,0)</f>
        <v>9.6615781889079599</v>
      </c>
      <c r="K2686" s="9" t="s">
        <v>756</v>
      </c>
    </row>
    <row r="2687" spans="1:11" ht="12.5" customHeight="1" x14ac:dyDescent="0.25">
      <c r="A2687" s="5" t="s">
        <v>10089</v>
      </c>
      <c r="B2687" s="6" t="s">
        <v>7578</v>
      </c>
      <c r="C2687" s="6" t="s">
        <v>9834</v>
      </c>
      <c r="D2687" s="6" t="s">
        <v>9834</v>
      </c>
      <c r="E2687" s="6" t="s">
        <v>10090</v>
      </c>
      <c r="F2687" s="6" t="s">
        <v>10091</v>
      </c>
      <c r="G2687" s="9" t="s">
        <v>10092</v>
      </c>
      <c r="H2687" s="9" t="s">
        <v>18</v>
      </c>
      <c r="I2687" s="16" t="str">
        <f>VLOOKUP(F2687,[1]完整分类结果!$E:$G,3,0)</f>
        <v>普通机械制造业</v>
      </c>
      <c r="J2687" s="16">
        <f>VLOOKUP(I2687,[2]行业排放因子!$A:$B,2,0)</f>
        <v>9.6615781889079599</v>
      </c>
      <c r="K2687" s="9" t="s">
        <v>756</v>
      </c>
    </row>
    <row r="2688" spans="1:11" ht="12.5" customHeight="1" x14ac:dyDescent="0.25">
      <c r="A2688" s="5" t="s">
        <v>10093</v>
      </c>
      <c r="B2688" s="6" t="s">
        <v>7578</v>
      </c>
      <c r="C2688" s="6" t="s">
        <v>9834</v>
      </c>
      <c r="D2688" s="6" t="s">
        <v>9834</v>
      </c>
      <c r="E2688" s="6" t="s">
        <v>10094</v>
      </c>
      <c r="F2688" s="6" t="s">
        <v>10095</v>
      </c>
      <c r="G2688" s="9" t="s">
        <v>10096</v>
      </c>
      <c r="H2688" s="9" t="s">
        <v>18</v>
      </c>
      <c r="I2688" s="16" t="str">
        <f>VLOOKUP(F2688,[1]完整分类结果!$E:$G,3,0)</f>
        <v>普通机械制造业</v>
      </c>
      <c r="J2688" s="16">
        <f>VLOOKUP(I2688,[2]行业排放因子!$A:$B,2,0)</f>
        <v>9.6615781889079599</v>
      </c>
      <c r="K2688" s="9" t="s">
        <v>756</v>
      </c>
    </row>
    <row r="2689" spans="1:11" ht="12.5" customHeight="1" x14ac:dyDescent="0.25">
      <c r="A2689" s="5" t="s">
        <v>10097</v>
      </c>
      <c r="B2689" s="6" t="s">
        <v>7578</v>
      </c>
      <c r="C2689" s="6" t="s">
        <v>9834</v>
      </c>
      <c r="D2689" s="6" t="s">
        <v>9834</v>
      </c>
      <c r="E2689" s="6" t="s">
        <v>10098</v>
      </c>
      <c r="F2689" s="6" t="s">
        <v>10099</v>
      </c>
      <c r="G2689" s="9" t="s">
        <v>10100</v>
      </c>
      <c r="H2689" s="9" t="s">
        <v>18</v>
      </c>
      <c r="I2689" s="16" t="str">
        <f>VLOOKUP(F2689,[1]完整分类结果!$E:$G,3,0)</f>
        <v>普通机械制造业</v>
      </c>
      <c r="J2689" s="16">
        <f>VLOOKUP(I2689,[2]行业排放因子!$A:$B,2,0)</f>
        <v>9.6615781889079599</v>
      </c>
      <c r="K2689" s="9" t="s">
        <v>756</v>
      </c>
    </row>
    <row r="2690" spans="1:11" ht="12.5" customHeight="1" x14ac:dyDescent="0.25">
      <c r="A2690" s="5" t="s">
        <v>10101</v>
      </c>
      <c r="B2690" s="6" t="s">
        <v>7578</v>
      </c>
      <c r="C2690" s="6" t="s">
        <v>9834</v>
      </c>
      <c r="D2690" s="6" t="s">
        <v>9834</v>
      </c>
      <c r="E2690" s="6" t="s">
        <v>10102</v>
      </c>
      <c r="F2690" s="6" t="s">
        <v>10103</v>
      </c>
      <c r="G2690" s="9" t="s">
        <v>10104</v>
      </c>
      <c r="H2690" s="9" t="s">
        <v>18</v>
      </c>
      <c r="I2690" s="16" t="str">
        <f>VLOOKUP(F2690,[1]完整分类结果!$E:$G,3,0)</f>
        <v>普通机械制造业</v>
      </c>
      <c r="J2690" s="16">
        <f>VLOOKUP(I2690,[2]行业排放因子!$A:$B,2,0)</f>
        <v>9.6615781889079599</v>
      </c>
      <c r="K2690" s="9" t="s">
        <v>756</v>
      </c>
    </row>
    <row r="2691" spans="1:11" ht="12.5" customHeight="1" x14ac:dyDescent="0.25">
      <c r="A2691" s="5" t="s">
        <v>10105</v>
      </c>
      <c r="B2691" s="6" t="s">
        <v>7578</v>
      </c>
      <c r="C2691" s="6" t="s">
        <v>9834</v>
      </c>
      <c r="D2691" s="6" t="s">
        <v>9834</v>
      </c>
      <c r="E2691" s="6" t="s">
        <v>10106</v>
      </c>
      <c r="F2691" s="6" t="s">
        <v>10107</v>
      </c>
      <c r="G2691" s="9" t="s">
        <v>10108</v>
      </c>
      <c r="H2691" s="9" t="s">
        <v>18</v>
      </c>
      <c r="I2691" s="16" t="str">
        <f>VLOOKUP(F2691,[1]完整分类结果!$E:$G,3,0)</f>
        <v>普通机械制造业</v>
      </c>
      <c r="J2691" s="16">
        <f>VLOOKUP(I2691,[2]行业排放因子!$A:$B,2,0)</f>
        <v>9.6615781889079599</v>
      </c>
      <c r="K2691" s="9" t="s">
        <v>756</v>
      </c>
    </row>
    <row r="2692" spans="1:11" ht="12.5" customHeight="1" x14ac:dyDescent="0.25">
      <c r="A2692" s="5" t="s">
        <v>10109</v>
      </c>
      <c r="B2692" s="6" t="s">
        <v>7578</v>
      </c>
      <c r="C2692" s="6" t="s">
        <v>9834</v>
      </c>
      <c r="D2692" s="6" t="s">
        <v>9834</v>
      </c>
      <c r="E2692" s="6" t="s">
        <v>10110</v>
      </c>
      <c r="F2692" s="6" t="s">
        <v>10111</v>
      </c>
      <c r="G2692" s="9" t="s">
        <v>10112</v>
      </c>
      <c r="H2692" s="9" t="s">
        <v>18</v>
      </c>
      <c r="I2692" s="16" t="str">
        <f>VLOOKUP(F2692,[1]完整分类结果!$E:$G,3,0)</f>
        <v>普通机械制造业</v>
      </c>
      <c r="J2692" s="16">
        <f>VLOOKUP(I2692,[2]行业排放因子!$A:$B,2,0)</f>
        <v>9.6615781889079599</v>
      </c>
      <c r="K2692" s="9" t="s">
        <v>756</v>
      </c>
    </row>
    <row r="2693" spans="1:11" ht="12.5" customHeight="1" x14ac:dyDescent="0.25">
      <c r="A2693" s="5" t="s">
        <v>10113</v>
      </c>
      <c r="B2693" s="6" t="s">
        <v>7578</v>
      </c>
      <c r="C2693" s="6" t="s">
        <v>9834</v>
      </c>
      <c r="D2693" s="6" t="s">
        <v>9834</v>
      </c>
      <c r="E2693" s="6" t="s">
        <v>10114</v>
      </c>
      <c r="F2693" s="6" t="s">
        <v>10115</v>
      </c>
      <c r="G2693" s="9" t="s">
        <v>10116</v>
      </c>
      <c r="H2693" s="9" t="s">
        <v>18</v>
      </c>
      <c r="I2693" s="16" t="str">
        <f>VLOOKUP(F2693,[1]完整分类结果!$E:$G,3,0)</f>
        <v>普通机械制造业</v>
      </c>
      <c r="J2693" s="16">
        <f>VLOOKUP(I2693,[2]行业排放因子!$A:$B,2,0)</f>
        <v>9.6615781889079599</v>
      </c>
      <c r="K2693" s="9" t="s">
        <v>756</v>
      </c>
    </row>
    <row r="2694" spans="1:11" ht="12.5" customHeight="1" x14ac:dyDescent="0.25">
      <c r="A2694" s="5" t="s">
        <v>10117</v>
      </c>
      <c r="B2694" s="6" t="s">
        <v>7578</v>
      </c>
      <c r="C2694" s="6" t="s">
        <v>9834</v>
      </c>
      <c r="D2694" s="6" t="s">
        <v>9834</v>
      </c>
      <c r="E2694" s="6" t="s">
        <v>10118</v>
      </c>
      <c r="F2694" s="6" t="s">
        <v>10119</v>
      </c>
      <c r="G2694" s="9" t="s">
        <v>10120</v>
      </c>
      <c r="H2694" s="9" t="s">
        <v>18</v>
      </c>
      <c r="I2694" s="16" t="str">
        <f>VLOOKUP(F2694,[1]完整分类结果!$E:$G,3,0)</f>
        <v>普通机械制造业</v>
      </c>
      <c r="J2694" s="16">
        <f>VLOOKUP(I2694,[2]行业排放因子!$A:$B,2,0)</f>
        <v>9.6615781889079599</v>
      </c>
      <c r="K2694" s="9" t="s">
        <v>756</v>
      </c>
    </row>
    <row r="2695" spans="1:11" ht="12.5" customHeight="1" x14ac:dyDescent="0.25">
      <c r="A2695" s="5" t="s">
        <v>10121</v>
      </c>
      <c r="B2695" s="6" t="s">
        <v>7578</v>
      </c>
      <c r="C2695" s="6" t="s">
        <v>9834</v>
      </c>
      <c r="D2695" s="6" t="s">
        <v>9834</v>
      </c>
      <c r="E2695" s="6" t="s">
        <v>10122</v>
      </c>
      <c r="F2695" s="6" t="s">
        <v>10123</v>
      </c>
      <c r="G2695" s="9" t="s">
        <v>10124</v>
      </c>
      <c r="H2695" s="9" t="s">
        <v>18</v>
      </c>
      <c r="I2695" s="16" t="str">
        <f>VLOOKUP(F2695,[1]完整分类结果!$E:$G,3,0)</f>
        <v>普通机械制造业</v>
      </c>
      <c r="J2695" s="16">
        <f>VLOOKUP(I2695,[2]行业排放因子!$A:$B,2,0)</f>
        <v>9.6615781889079599</v>
      </c>
      <c r="K2695" s="9" t="s">
        <v>756</v>
      </c>
    </row>
    <row r="2696" spans="1:11" ht="12.5" customHeight="1" x14ac:dyDescent="0.25">
      <c r="A2696" s="5" t="s">
        <v>10125</v>
      </c>
      <c r="B2696" s="6" t="s">
        <v>7578</v>
      </c>
      <c r="C2696" s="6" t="s">
        <v>9834</v>
      </c>
      <c r="D2696" s="6" t="s">
        <v>9834</v>
      </c>
      <c r="E2696" s="6" t="s">
        <v>10126</v>
      </c>
      <c r="F2696" s="6" t="s">
        <v>10127</v>
      </c>
      <c r="G2696" s="9" t="s">
        <v>10128</v>
      </c>
      <c r="H2696" s="9" t="s">
        <v>18</v>
      </c>
      <c r="I2696" s="16" t="str">
        <f>VLOOKUP(F2696,[1]完整分类结果!$E:$G,3,0)</f>
        <v>普通机械制造业</v>
      </c>
      <c r="J2696" s="16">
        <f>VLOOKUP(I2696,[2]行业排放因子!$A:$B,2,0)</f>
        <v>9.6615781889079599</v>
      </c>
      <c r="K2696" s="9" t="s">
        <v>756</v>
      </c>
    </row>
    <row r="2697" spans="1:11" ht="12.5" customHeight="1" x14ac:dyDescent="0.25">
      <c r="A2697" s="5" t="s">
        <v>10129</v>
      </c>
      <c r="B2697" s="6" t="s">
        <v>7578</v>
      </c>
      <c r="C2697" s="6" t="s">
        <v>9834</v>
      </c>
      <c r="D2697" s="6" t="s">
        <v>9834</v>
      </c>
      <c r="E2697" s="6" t="s">
        <v>10130</v>
      </c>
      <c r="F2697" s="6" t="s">
        <v>10131</v>
      </c>
      <c r="G2697" s="9" t="s">
        <v>10132</v>
      </c>
      <c r="H2697" s="9" t="s">
        <v>18</v>
      </c>
      <c r="I2697" s="16" t="str">
        <f>VLOOKUP(F2697,[1]完整分类结果!$E:$G,3,0)</f>
        <v>普通机械制造业</v>
      </c>
      <c r="J2697" s="16">
        <f>VLOOKUP(I2697,[2]行业排放因子!$A:$B,2,0)</f>
        <v>9.6615781889079599</v>
      </c>
      <c r="K2697" s="9" t="s">
        <v>756</v>
      </c>
    </row>
    <row r="2698" spans="1:11" ht="12.5" customHeight="1" x14ac:dyDescent="0.25">
      <c r="A2698" s="5" t="s">
        <v>10133</v>
      </c>
      <c r="B2698" s="6" t="s">
        <v>7578</v>
      </c>
      <c r="C2698" s="6" t="s">
        <v>9834</v>
      </c>
      <c r="D2698" s="6" t="s">
        <v>9834</v>
      </c>
      <c r="E2698" s="6" t="s">
        <v>10134</v>
      </c>
      <c r="F2698" s="6" t="s">
        <v>10135</v>
      </c>
      <c r="G2698" s="9" t="s">
        <v>10136</v>
      </c>
      <c r="H2698" s="9" t="s">
        <v>18</v>
      </c>
      <c r="I2698" s="16" t="str">
        <f>VLOOKUP(F2698,[1]完整分类结果!$E:$G,3,0)</f>
        <v>普通机械制造业</v>
      </c>
      <c r="J2698" s="16">
        <f>VLOOKUP(I2698,[2]行业排放因子!$A:$B,2,0)</f>
        <v>9.6615781889079599</v>
      </c>
      <c r="K2698" s="9" t="s">
        <v>756</v>
      </c>
    </row>
    <row r="2699" spans="1:11" ht="12.5" customHeight="1" x14ac:dyDescent="0.25">
      <c r="A2699" s="5" t="s">
        <v>10137</v>
      </c>
      <c r="B2699" s="6" t="s">
        <v>7578</v>
      </c>
      <c r="C2699" s="6" t="s">
        <v>9834</v>
      </c>
      <c r="D2699" s="6" t="s">
        <v>9834</v>
      </c>
      <c r="E2699" s="6" t="s">
        <v>10138</v>
      </c>
      <c r="F2699" s="6" t="s">
        <v>10139</v>
      </c>
      <c r="G2699" s="9" t="s">
        <v>10140</v>
      </c>
      <c r="H2699" s="9" t="s">
        <v>18</v>
      </c>
      <c r="I2699" s="16" t="str">
        <f>VLOOKUP(F2699,[1]完整分类结果!$E:$G,3,0)</f>
        <v>普通机械制造业</v>
      </c>
      <c r="J2699" s="16">
        <f>VLOOKUP(I2699,[2]行业排放因子!$A:$B,2,0)</f>
        <v>9.6615781889079599</v>
      </c>
      <c r="K2699" s="9" t="s">
        <v>756</v>
      </c>
    </row>
    <row r="2700" spans="1:11" ht="12.5" customHeight="1" x14ac:dyDescent="0.25">
      <c r="A2700" s="5" t="s">
        <v>10141</v>
      </c>
      <c r="B2700" s="6" t="s">
        <v>7578</v>
      </c>
      <c r="C2700" s="6" t="s">
        <v>9834</v>
      </c>
      <c r="D2700" s="6" t="s">
        <v>9834</v>
      </c>
      <c r="E2700" s="6" t="s">
        <v>10142</v>
      </c>
      <c r="F2700" s="6" t="s">
        <v>10143</v>
      </c>
      <c r="G2700" s="9" t="s">
        <v>10144</v>
      </c>
      <c r="H2700" s="9" t="s">
        <v>18</v>
      </c>
      <c r="I2700" s="16" t="str">
        <f>VLOOKUP(F2700,[1]完整分类结果!$E:$G,3,0)</f>
        <v>普通机械制造业</v>
      </c>
      <c r="J2700" s="16">
        <f>VLOOKUP(I2700,[2]行业排放因子!$A:$B,2,0)</f>
        <v>9.6615781889079599</v>
      </c>
      <c r="K2700" s="9" t="s">
        <v>756</v>
      </c>
    </row>
    <row r="2701" spans="1:11" ht="12.5" customHeight="1" x14ac:dyDescent="0.25">
      <c r="A2701" s="5" t="s">
        <v>10145</v>
      </c>
      <c r="B2701" s="6" t="s">
        <v>7578</v>
      </c>
      <c r="C2701" s="6" t="s">
        <v>9834</v>
      </c>
      <c r="D2701" s="6" t="s">
        <v>9834</v>
      </c>
      <c r="E2701" s="6" t="s">
        <v>10146</v>
      </c>
      <c r="F2701" s="6" t="s">
        <v>10147</v>
      </c>
      <c r="G2701" s="9" t="s">
        <v>10148</v>
      </c>
      <c r="H2701" s="9" t="s">
        <v>18</v>
      </c>
      <c r="I2701" s="16" t="str">
        <f>VLOOKUP(F2701,[1]完整分类结果!$E:$G,3,0)</f>
        <v>普通机械制造业</v>
      </c>
      <c r="J2701" s="16">
        <f>VLOOKUP(I2701,[2]行业排放因子!$A:$B,2,0)</f>
        <v>9.6615781889079599</v>
      </c>
      <c r="K2701" s="9" t="s">
        <v>756</v>
      </c>
    </row>
    <row r="2702" spans="1:11" ht="12.5" customHeight="1" x14ac:dyDescent="0.25">
      <c r="A2702" s="5" t="s">
        <v>10149</v>
      </c>
      <c r="B2702" s="6" t="s">
        <v>7578</v>
      </c>
      <c r="C2702" s="6" t="s">
        <v>9834</v>
      </c>
      <c r="D2702" s="6" t="s">
        <v>9834</v>
      </c>
      <c r="E2702" s="6" t="s">
        <v>10150</v>
      </c>
      <c r="F2702" s="6" t="s">
        <v>10151</v>
      </c>
      <c r="G2702" s="9" t="s">
        <v>10152</v>
      </c>
      <c r="H2702" s="9" t="s">
        <v>18</v>
      </c>
      <c r="I2702" s="16" t="str">
        <f>VLOOKUP(F2702,[1]完整分类结果!$E:$G,3,0)</f>
        <v>普通机械制造业</v>
      </c>
      <c r="J2702" s="16">
        <f>VLOOKUP(I2702,[2]行业排放因子!$A:$B,2,0)</f>
        <v>9.6615781889079599</v>
      </c>
      <c r="K2702" s="9" t="s">
        <v>756</v>
      </c>
    </row>
    <row r="2703" spans="1:11" ht="12.5" customHeight="1" x14ac:dyDescent="0.25">
      <c r="A2703" s="5" t="s">
        <v>10153</v>
      </c>
      <c r="B2703" s="6" t="s">
        <v>7578</v>
      </c>
      <c r="C2703" s="6" t="s">
        <v>9834</v>
      </c>
      <c r="D2703" s="6" t="s">
        <v>9834</v>
      </c>
      <c r="E2703" s="6" t="s">
        <v>10154</v>
      </c>
      <c r="F2703" s="6" t="s">
        <v>10155</v>
      </c>
      <c r="G2703" s="9" t="s">
        <v>10156</v>
      </c>
      <c r="H2703" s="9" t="s">
        <v>18</v>
      </c>
      <c r="I2703" s="16" t="str">
        <f>VLOOKUP(F2703,[1]完整分类结果!$E:$G,3,0)</f>
        <v>普通机械制造业</v>
      </c>
      <c r="J2703" s="16">
        <f>VLOOKUP(I2703,[2]行业排放因子!$A:$B,2,0)</f>
        <v>9.6615781889079599</v>
      </c>
      <c r="K2703" s="9" t="s">
        <v>756</v>
      </c>
    </row>
    <row r="2704" spans="1:11" ht="12.5" customHeight="1" x14ac:dyDescent="0.25">
      <c r="A2704" s="5" t="s">
        <v>10157</v>
      </c>
      <c r="B2704" s="6" t="s">
        <v>7578</v>
      </c>
      <c r="C2704" s="6" t="s">
        <v>9834</v>
      </c>
      <c r="D2704" s="6" t="s">
        <v>9834</v>
      </c>
      <c r="E2704" s="6" t="s">
        <v>10158</v>
      </c>
      <c r="F2704" s="6" t="s">
        <v>10159</v>
      </c>
      <c r="G2704" s="9" t="s">
        <v>10160</v>
      </c>
      <c r="H2704" s="9" t="s">
        <v>18</v>
      </c>
      <c r="I2704" s="16" t="str">
        <f>VLOOKUP(F2704,[1]完整分类结果!$E:$G,3,0)</f>
        <v>普通机械制造业</v>
      </c>
      <c r="J2704" s="16">
        <f>VLOOKUP(I2704,[2]行业排放因子!$A:$B,2,0)</f>
        <v>9.6615781889079599</v>
      </c>
      <c r="K2704" s="9" t="s">
        <v>756</v>
      </c>
    </row>
    <row r="2705" spans="1:11" ht="12.5" customHeight="1" x14ac:dyDescent="0.25">
      <c r="A2705" s="5" t="s">
        <v>10161</v>
      </c>
      <c r="B2705" s="6" t="s">
        <v>7578</v>
      </c>
      <c r="C2705" s="6" t="s">
        <v>9834</v>
      </c>
      <c r="D2705" s="6" t="s">
        <v>9834</v>
      </c>
      <c r="E2705" s="6" t="s">
        <v>10162</v>
      </c>
      <c r="F2705" s="6" t="s">
        <v>10163</v>
      </c>
      <c r="G2705" s="9" t="s">
        <v>10164</v>
      </c>
      <c r="H2705" s="9" t="s">
        <v>18</v>
      </c>
      <c r="I2705" s="16" t="str">
        <f>VLOOKUP(F2705,[1]完整分类结果!$E:$G,3,0)</f>
        <v>普通机械制造业</v>
      </c>
      <c r="J2705" s="16">
        <f>VLOOKUP(I2705,[2]行业排放因子!$A:$B,2,0)</f>
        <v>9.6615781889079599</v>
      </c>
      <c r="K2705" s="9" t="s">
        <v>756</v>
      </c>
    </row>
    <row r="2706" spans="1:11" ht="12.5" customHeight="1" x14ac:dyDescent="0.25">
      <c r="A2706" s="5" t="s">
        <v>10165</v>
      </c>
      <c r="B2706" s="6" t="s">
        <v>7578</v>
      </c>
      <c r="C2706" s="6" t="s">
        <v>9834</v>
      </c>
      <c r="D2706" s="6" t="s">
        <v>9834</v>
      </c>
      <c r="E2706" s="6" t="s">
        <v>10166</v>
      </c>
      <c r="F2706" s="6" t="s">
        <v>10167</v>
      </c>
      <c r="G2706" s="9" t="s">
        <v>10168</v>
      </c>
      <c r="H2706" s="9" t="s">
        <v>18</v>
      </c>
      <c r="I2706" s="16" t="str">
        <f>VLOOKUP(F2706,[1]完整分类结果!$E:$G,3,0)</f>
        <v>普通机械制造业</v>
      </c>
      <c r="J2706" s="16">
        <f>VLOOKUP(I2706,[2]行业排放因子!$A:$B,2,0)</f>
        <v>9.6615781889079599</v>
      </c>
      <c r="K2706" s="9" t="s">
        <v>756</v>
      </c>
    </row>
    <row r="2707" spans="1:11" ht="12.5" customHeight="1" x14ac:dyDescent="0.25">
      <c r="A2707" s="5" t="s">
        <v>10169</v>
      </c>
      <c r="B2707" s="6" t="s">
        <v>7578</v>
      </c>
      <c r="C2707" s="6" t="s">
        <v>9834</v>
      </c>
      <c r="D2707" s="6" t="s">
        <v>9834</v>
      </c>
      <c r="E2707" s="6" t="s">
        <v>10170</v>
      </c>
      <c r="F2707" s="6" t="s">
        <v>10171</v>
      </c>
      <c r="G2707" s="9" t="s">
        <v>10172</v>
      </c>
      <c r="H2707" s="9" t="s">
        <v>18</v>
      </c>
      <c r="I2707" s="16" t="str">
        <f>VLOOKUP(F2707,[1]完整分类结果!$E:$G,3,0)</f>
        <v>普通机械制造业</v>
      </c>
      <c r="J2707" s="16">
        <f>VLOOKUP(I2707,[2]行业排放因子!$A:$B,2,0)</f>
        <v>9.6615781889079599</v>
      </c>
      <c r="K2707" s="9" t="s">
        <v>756</v>
      </c>
    </row>
    <row r="2708" spans="1:11" ht="12.5" customHeight="1" x14ac:dyDescent="0.25">
      <c r="A2708" s="5" t="s">
        <v>10173</v>
      </c>
      <c r="B2708" s="6" t="s">
        <v>7578</v>
      </c>
      <c r="C2708" s="6" t="s">
        <v>9834</v>
      </c>
      <c r="D2708" s="6" t="s">
        <v>9834</v>
      </c>
      <c r="E2708" s="6" t="s">
        <v>10174</v>
      </c>
      <c r="F2708" s="6" t="s">
        <v>10175</v>
      </c>
      <c r="G2708" s="9" t="s">
        <v>10176</v>
      </c>
      <c r="H2708" s="9" t="s">
        <v>18</v>
      </c>
      <c r="I2708" s="16" t="str">
        <f>VLOOKUP(F2708,[1]完整分类结果!$E:$G,3,0)</f>
        <v>普通机械制造业</v>
      </c>
      <c r="J2708" s="16">
        <f>VLOOKUP(I2708,[2]行业排放因子!$A:$B,2,0)</f>
        <v>9.6615781889079599</v>
      </c>
      <c r="K2708" s="9" t="s">
        <v>756</v>
      </c>
    </row>
    <row r="2709" spans="1:11" ht="12.5" customHeight="1" x14ac:dyDescent="0.25">
      <c r="A2709" s="5" t="s">
        <v>10177</v>
      </c>
      <c r="B2709" s="6" t="s">
        <v>7578</v>
      </c>
      <c r="C2709" s="6" t="s">
        <v>9834</v>
      </c>
      <c r="D2709" s="6" t="s">
        <v>9834</v>
      </c>
      <c r="E2709" s="6" t="s">
        <v>10178</v>
      </c>
      <c r="F2709" s="6" t="s">
        <v>10179</v>
      </c>
      <c r="G2709" s="9" t="s">
        <v>10180</v>
      </c>
      <c r="H2709" s="9" t="s">
        <v>18</v>
      </c>
      <c r="I2709" s="16" t="str">
        <f>VLOOKUP(F2709,[1]完整分类结果!$E:$G,3,0)</f>
        <v>普通机械制造业</v>
      </c>
      <c r="J2709" s="16">
        <f>VLOOKUP(I2709,[2]行业排放因子!$A:$B,2,0)</f>
        <v>9.6615781889079599</v>
      </c>
      <c r="K2709" s="9" t="s">
        <v>756</v>
      </c>
    </row>
    <row r="2710" spans="1:11" ht="12.5" customHeight="1" x14ac:dyDescent="0.25">
      <c r="A2710" s="5" t="s">
        <v>10181</v>
      </c>
      <c r="B2710" s="6" t="s">
        <v>7578</v>
      </c>
      <c r="C2710" s="6" t="s">
        <v>9834</v>
      </c>
      <c r="D2710" s="6" t="s">
        <v>9834</v>
      </c>
      <c r="E2710" s="6" t="s">
        <v>10182</v>
      </c>
      <c r="F2710" s="6" t="s">
        <v>10183</v>
      </c>
      <c r="G2710" s="9" t="s">
        <v>10184</v>
      </c>
      <c r="H2710" s="9" t="s">
        <v>18</v>
      </c>
      <c r="I2710" s="16" t="str">
        <f>VLOOKUP(F2710,[1]完整分类结果!$E:$G,3,0)</f>
        <v>普通机械制造业</v>
      </c>
      <c r="J2710" s="16">
        <f>VLOOKUP(I2710,[2]行业排放因子!$A:$B,2,0)</f>
        <v>9.6615781889079599</v>
      </c>
      <c r="K2710" s="9" t="s">
        <v>756</v>
      </c>
    </row>
    <row r="2711" spans="1:11" ht="12.5" customHeight="1" x14ac:dyDescent="0.25">
      <c r="A2711" s="5" t="s">
        <v>10185</v>
      </c>
      <c r="B2711" s="6" t="s">
        <v>7578</v>
      </c>
      <c r="C2711" s="6" t="s">
        <v>9834</v>
      </c>
      <c r="D2711" s="6" t="s">
        <v>9834</v>
      </c>
      <c r="E2711" s="6" t="s">
        <v>10186</v>
      </c>
      <c r="F2711" s="6" t="s">
        <v>10187</v>
      </c>
      <c r="G2711" s="9" t="s">
        <v>10188</v>
      </c>
      <c r="H2711" s="9" t="s">
        <v>18</v>
      </c>
      <c r="I2711" s="16" t="str">
        <f>VLOOKUP(F2711,[1]完整分类结果!$E:$G,3,0)</f>
        <v>普通机械制造业</v>
      </c>
      <c r="J2711" s="16">
        <f>VLOOKUP(I2711,[2]行业排放因子!$A:$B,2,0)</f>
        <v>9.6615781889079599</v>
      </c>
      <c r="K2711" s="9" t="s">
        <v>756</v>
      </c>
    </row>
    <row r="2712" spans="1:11" ht="12.5" customHeight="1" x14ac:dyDescent="0.25">
      <c r="A2712" s="5" t="s">
        <v>10189</v>
      </c>
      <c r="B2712" s="6" t="s">
        <v>7578</v>
      </c>
      <c r="C2712" s="6" t="s">
        <v>9834</v>
      </c>
      <c r="D2712" s="6" t="s">
        <v>9834</v>
      </c>
      <c r="E2712" s="6" t="s">
        <v>10190</v>
      </c>
      <c r="F2712" s="6" t="s">
        <v>10191</v>
      </c>
      <c r="G2712" s="9" t="s">
        <v>10192</v>
      </c>
      <c r="H2712" s="9" t="s">
        <v>18</v>
      </c>
      <c r="I2712" s="16" t="str">
        <f>VLOOKUP(F2712,[1]完整分类结果!$E:$G,3,0)</f>
        <v>普通机械制造业</v>
      </c>
      <c r="J2712" s="16">
        <f>VLOOKUP(I2712,[2]行业排放因子!$A:$B,2,0)</f>
        <v>9.6615781889079599</v>
      </c>
      <c r="K2712" s="9" t="s">
        <v>756</v>
      </c>
    </row>
    <row r="2713" spans="1:11" ht="12.5" customHeight="1" x14ac:dyDescent="0.25">
      <c r="A2713" s="5" t="s">
        <v>10193</v>
      </c>
      <c r="B2713" s="6" t="s">
        <v>7578</v>
      </c>
      <c r="C2713" s="6" t="s">
        <v>9834</v>
      </c>
      <c r="D2713" s="6" t="s">
        <v>9834</v>
      </c>
      <c r="E2713" s="6" t="s">
        <v>10194</v>
      </c>
      <c r="F2713" s="6" t="s">
        <v>10195</v>
      </c>
      <c r="G2713" s="9" t="s">
        <v>10196</v>
      </c>
      <c r="H2713" s="9" t="s">
        <v>18</v>
      </c>
      <c r="I2713" s="16" t="str">
        <f>VLOOKUP(F2713,[1]完整分类结果!$E:$G,3,0)</f>
        <v>普通机械制造业</v>
      </c>
      <c r="J2713" s="16">
        <f>VLOOKUP(I2713,[2]行业排放因子!$A:$B,2,0)</f>
        <v>9.6615781889079599</v>
      </c>
      <c r="K2713" s="9" t="s">
        <v>756</v>
      </c>
    </row>
    <row r="2714" spans="1:11" ht="12.5" customHeight="1" x14ac:dyDescent="0.25">
      <c r="A2714" s="5" t="s">
        <v>10197</v>
      </c>
      <c r="B2714" s="6" t="s">
        <v>7578</v>
      </c>
      <c r="C2714" s="6" t="s">
        <v>9834</v>
      </c>
      <c r="D2714" s="6" t="s">
        <v>9834</v>
      </c>
      <c r="E2714" s="6" t="s">
        <v>10198</v>
      </c>
      <c r="F2714" s="6" t="s">
        <v>10199</v>
      </c>
      <c r="G2714" s="9"/>
      <c r="H2714" s="9" t="s">
        <v>18</v>
      </c>
      <c r="I2714" s="16" t="str">
        <f>VLOOKUP(F2714,[1]完整分类结果!$E:$G,3,0)</f>
        <v>普通机械制造业</v>
      </c>
      <c r="J2714" s="16">
        <f>VLOOKUP(I2714,[2]行业排放因子!$A:$B,2,0)</f>
        <v>9.6615781889079599</v>
      </c>
      <c r="K2714" s="9" t="s">
        <v>756</v>
      </c>
    </row>
    <row r="2715" spans="1:11" ht="12.5" customHeight="1" x14ac:dyDescent="0.25">
      <c r="A2715" s="5" t="s">
        <v>10200</v>
      </c>
      <c r="B2715" s="6" t="s">
        <v>7578</v>
      </c>
      <c r="C2715" s="6" t="s">
        <v>9834</v>
      </c>
      <c r="D2715" s="6" t="s">
        <v>9834</v>
      </c>
      <c r="E2715" s="6" t="s">
        <v>10201</v>
      </c>
      <c r="F2715" s="6" t="s">
        <v>10202</v>
      </c>
      <c r="G2715" s="9" t="s">
        <v>10203</v>
      </c>
      <c r="H2715" s="9" t="s">
        <v>18</v>
      </c>
      <c r="I2715" s="16" t="str">
        <f>VLOOKUP(F2715,[1]完整分类结果!$E:$G,3,0)</f>
        <v>普通机械制造业</v>
      </c>
      <c r="J2715" s="16">
        <f>VLOOKUP(I2715,[2]行业排放因子!$A:$B,2,0)</f>
        <v>9.6615781889079599</v>
      </c>
      <c r="K2715" s="9" t="s">
        <v>756</v>
      </c>
    </row>
    <row r="2716" spans="1:11" ht="12.5" customHeight="1" x14ac:dyDescent="0.25">
      <c r="A2716" s="5" t="s">
        <v>10204</v>
      </c>
      <c r="B2716" s="6" t="s">
        <v>7578</v>
      </c>
      <c r="C2716" s="6" t="s">
        <v>9834</v>
      </c>
      <c r="D2716" s="6" t="s">
        <v>9834</v>
      </c>
      <c r="E2716" s="6" t="s">
        <v>10205</v>
      </c>
      <c r="F2716" s="6" t="s">
        <v>10206</v>
      </c>
      <c r="G2716" s="9" t="s">
        <v>10207</v>
      </c>
      <c r="H2716" s="9" t="s">
        <v>18</v>
      </c>
      <c r="I2716" s="16" t="str">
        <f>VLOOKUP(F2716,[1]完整分类结果!$E:$G,3,0)</f>
        <v>普通机械制造业</v>
      </c>
      <c r="J2716" s="16">
        <f>VLOOKUP(I2716,[2]行业排放因子!$A:$B,2,0)</f>
        <v>9.6615781889079599</v>
      </c>
      <c r="K2716" s="9" t="s">
        <v>756</v>
      </c>
    </row>
    <row r="2717" spans="1:11" ht="12.5" customHeight="1" x14ac:dyDescent="0.25">
      <c r="A2717" s="5" t="s">
        <v>10208</v>
      </c>
      <c r="B2717" s="6" t="s">
        <v>7578</v>
      </c>
      <c r="C2717" s="6" t="s">
        <v>9834</v>
      </c>
      <c r="D2717" s="6" t="s">
        <v>9834</v>
      </c>
      <c r="E2717" s="6" t="s">
        <v>10209</v>
      </c>
      <c r="F2717" s="6" t="s">
        <v>10210</v>
      </c>
      <c r="G2717" s="9" t="s">
        <v>10211</v>
      </c>
      <c r="H2717" s="9" t="s">
        <v>18</v>
      </c>
      <c r="I2717" s="16" t="str">
        <f>VLOOKUP(F2717,[1]完整分类结果!$E:$G,3,0)</f>
        <v>普通机械制造业</v>
      </c>
      <c r="J2717" s="16">
        <f>VLOOKUP(I2717,[2]行业排放因子!$A:$B,2,0)</f>
        <v>9.6615781889079599</v>
      </c>
      <c r="K2717" s="9" t="s">
        <v>756</v>
      </c>
    </row>
    <row r="2718" spans="1:11" ht="12.5" customHeight="1" x14ac:dyDescent="0.25">
      <c r="A2718" s="5" t="s">
        <v>10212</v>
      </c>
      <c r="B2718" s="6" t="s">
        <v>7578</v>
      </c>
      <c r="C2718" s="6" t="s">
        <v>9834</v>
      </c>
      <c r="D2718" s="6" t="s">
        <v>9834</v>
      </c>
      <c r="E2718" s="6" t="s">
        <v>10213</v>
      </c>
      <c r="F2718" s="6" t="s">
        <v>10214</v>
      </c>
      <c r="G2718" s="9" t="s">
        <v>10215</v>
      </c>
      <c r="H2718" s="9" t="s">
        <v>18</v>
      </c>
      <c r="I2718" s="16" t="str">
        <f>VLOOKUP(F2718,[1]完整分类结果!$E:$G,3,0)</f>
        <v>普通机械制造业</v>
      </c>
      <c r="J2718" s="16">
        <f>VLOOKUP(I2718,[2]行业排放因子!$A:$B,2,0)</f>
        <v>9.6615781889079599</v>
      </c>
      <c r="K2718" s="9" t="s">
        <v>756</v>
      </c>
    </row>
    <row r="2719" spans="1:11" ht="12.5" customHeight="1" x14ac:dyDescent="0.25">
      <c r="A2719" s="5" t="s">
        <v>10216</v>
      </c>
      <c r="B2719" s="6" t="s">
        <v>7578</v>
      </c>
      <c r="C2719" s="6" t="s">
        <v>9834</v>
      </c>
      <c r="D2719" s="6" t="s">
        <v>9834</v>
      </c>
      <c r="E2719" s="6" t="s">
        <v>10217</v>
      </c>
      <c r="F2719" s="6" t="s">
        <v>10218</v>
      </c>
      <c r="G2719" s="9" t="s">
        <v>10219</v>
      </c>
      <c r="H2719" s="9" t="s">
        <v>18</v>
      </c>
      <c r="I2719" s="16" t="str">
        <f>VLOOKUP(F2719,[1]完整分类结果!$E:$G,3,0)</f>
        <v>普通机械制造业</v>
      </c>
      <c r="J2719" s="16">
        <f>VLOOKUP(I2719,[2]行业排放因子!$A:$B,2,0)</f>
        <v>9.6615781889079599</v>
      </c>
      <c r="K2719" s="9" t="s">
        <v>756</v>
      </c>
    </row>
    <row r="2720" spans="1:11" ht="12.5" customHeight="1" x14ac:dyDescent="0.25">
      <c r="A2720" s="5" t="s">
        <v>10220</v>
      </c>
      <c r="B2720" s="6" t="s">
        <v>7578</v>
      </c>
      <c r="C2720" s="6" t="s">
        <v>9834</v>
      </c>
      <c r="D2720" s="6" t="s">
        <v>9834</v>
      </c>
      <c r="E2720" s="6" t="s">
        <v>10221</v>
      </c>
      <c r="F2720" s="6" t="s">
        <v>10222</v>
      </c>
      <c r="G2720" s="9" t="s">
        <v>10223</v>
      </c>
      <c r="H2720" s="9" t="s">
        <v>18</v>
      </c>
      <c r="I2720" s="16" t="str">
        <f>VLOOKUP(F2720,[1]完整分类结果!$E:$G,3,0)</f>
        <v>普通机械制造业</v>
      </c>
      <c r="J2720" s="16">
        <f>VLOOKUP(I2720,[2]行业排放因子!$A:$B,2,0)</f>
        <v>9.6615781889079599</v>
      </c>
      <c r="K2720" s="9" t="s">
        <v>756</v>
      </c>
    </row>
    <row r="2721" spans="1:11" ht="12.5" customHeight="1" x14ac:dyDescent="0.25">
      <c r="A2721" s="5" t="s">
        <v>10224</v>
      </c>
      <c r="B2721" s="6" t="s">
        <v>7578</v>
      </c>
      <c r="C2721" s="6" t="s">
        <v>9834</v>
      </c>
      <c r="D2721" s="6" t="s">
        <v>9834</v>
      </c>
      <c r="E2721" s="6" t="s">
        <v>10225</v>
      </c>
      <c r="F2721" s="6" t="s">
        <v>10226</v>
      </c>
      <c r="G2721" s="9" t="s">
        <v>10227</v>
      </c>
      <c r="H2721" s="9" t="s">
        <v>18</v>
      </c>
      <c r="I2721" s="16" t="str">
        <f>VLOOKUP(F2721,[1]完整分类结果!$E:$G,3,0)</f>
        <v>普通机械制造业</v>
      </c>
      <c r="J2721" s="16">
        <f>VLOOKUP(I2721,[2]行业排放因子!$A:$B,2,0)</f>
        <v>9.6615781889079599</v>
      </c>
      <c r="K2721" s="9" t="s">
        <v>756</v>
      </c>
    </row>
    <row r="2722" spans="1:11" ht="12.5" customHeight="1" x14ac:dyDescent="0.25">
      <c r="A2722" s="5" t="s">
        <v>10228</v>
      </c>
      <c r="B2722" s="6" t="s">
        <v>7578</v>
      </c>
      <c r="C2722" s="6" t="s">
        <v>9834</v>
      </c>
      <c r="D2722" s="6" t="s">
        <v>9834</v>
      </c>
      <c r="E2722" s="6" t="s">
        <v>10229</v>
      </c>
      <c r="F2722" s="6" t="s">
        <v>10230</v>
      </c>
      <c r="G2722" s="9" t="s">
        <v>10231</v>
      </c>
      <c r="H2722" s="9" t="s">
        <v>18</v>
      </c>
      <c r="I2722" s="16" t="str">
        <f>VLOOKUP(F2722,[1]完整分类结果!$E:$G,3,0)</f>
        <v>普通机械制造业</v>
      </c>
      <c r="J2722" s="16">
        <f>VLOOKUP(I2722,[2]行业排放因子!$A:$B,2,0)</f>
        <v>9.6615781889079599</v>
      </c>
      <c r="K2722" s="9" t="s">
        <v>756</v>
      </c>
    </row>
    <row r="2723" spans="1:11" ht="12.5" customHeight="1" x14ac:dyDescent="0.25">
      <c r="A2723" s="5" t="s">
        <v>10232</v>
      </c>
      <c r="B2723" s="6" t="s">
        <v>7578</v>
      </c>
      <c r="C2723" s="6" t="s">
        <v>9834</v>
      </c>
      <c r="D2723" s="6" t="s">
        <v>9834</v>
      </c>
      <c r="E2723" s="6" t="s">
        <v>10233</v>
      </c>
      <c r="F2723" s="6" t="s">
        <v>10234</v>
      </c>
      <c r="G2723" s="9" t="s">
        <v>10235</v>
      </c>
      <c r="H2723" s="9" t="s">
        <v>18</v>
      </c>
      <c r="I2723" s="16" t="str">
        <f>VLOOKUP(F2723,[1]完整分类结果!$E:$G,3,0)</f>
        <v>普通机械制造业</v>
      </c>
      <c r="J2723" s="16">
        <f>VLOOKUP(I2723,[2]行业排放因子!$A:$B,2,0)</f>
        <v>9.6615781889079599</v>
      </c>
      <c r="K2723" s="9" t="s">
        <v>756</v>
      </c>
    </row>
    <row r="2724" spans="1:11" ht="12.5" customHeight="1" x14ac:dyDescent="0.25">
      <c r="A2724" s="5" t="s">
        <v>10236</v>
      </c>
      <c r="B2724" s="6" t="s">
        <v>7578</v>
      </c>
      <c r="C2724" s="6" t="s">
        <v>9834</v>
      </c>
      <c r="D2724" s="6" t="s">
        <v>9834</v>
      </c>
      <c r="E2724" s="6" t="s">
        <v>10237</v>
      </c>
      <c r="F2724" s="6" t="s">
        <v>10238</v>
      </c>
      <c r="G2724" s="9" t="s">
        <v>10239</v>
      </c>
      <c r="H2724" s="9" t="s">
        <v>18</v>
      </c>
      <c r="I2724" s="16" t="str">
        <f>VLOOKUP(F2724,[1]完整分类结果!$E:$G,3,0)</f>
        <v>普通机械制造业</v>
      </c>
      <c r="J2724" s="16">
        <f>VLOOKUP(I2724,[2]行业排放因子!$A:$B,2,0)</f>
        <v>9.6615781889079599</v>
      </c>
      <c r="K2724" s="9" t="s">
        <v>756</v>
      </c>
    </row>
    <row r="2725" spans="1:11" ht="12.5" customHeight="1" x14ac:dyDescent="0.25">
      <c r="A2725" s="5" t="s">
        <v>10240</v>
      </c>
      <c r="B2725" s="6" t="s">
        <v>7578</v>
      </c>
      <c r="C2725" s="6" t="s">
        <v>10241</v>
      </c>
      <c r="D2725" s="6" t="s">
        <v>10242</v>
      </c>
      <c r="E2725" s="6" t="s">
        <v>10243</v>
      </c>
      <c r="F2725" s="6" t="s">
        <v>10244</v>
      </c>
      <c r="G2725" s="9" t="s">
        <v>10245</v>
      </c>
      <c r="H2725" s="9" t="s">
        <v>18</v>
      </c>
      <c r="I2725" s="16" t="str">
        <f>VLOOKUP(F2725,[1]完整分类结果!$E:$G,3,0)</f>
        <v>电气机械及器材制造业</v>
      </c>
      <c r="J2725" s="16">
        <f>VLOOKUP(I2725,[2]行业排放因子!$A:$B,2,0)</f>
        <v>2.8631259995277101</v>
      </c>
      <c r="K2725" s="9" t="s">
        <v>756</v>
      </c>
    </row>
    <row r="2726" spans="1:11" ht="12.5" customHeight="1" x14ac:dyDescent="0.25">
      <c r="A2726" s="5" t="s">
        <v>10246</v>
      </c>
      <c r="B2726" s="6" t="s">
        <v>7578</v>
      </c>
      <c r="C2726" s="6" t="s">
        <v>10241</v>
      </c>
      <c r="D2726" s="6" t="s">
        <v>10242</v>
      </c>
      <c r="E2726" s="6" t="s">
        <v>10247</v>
      </c>
      <c r="F2726" s="6" t="s">
        <v>10248</v>
      </c>
      <c r="G2726" s="9" t="s">
        <v>10249</v>
      </c>
      <c r="H2726" s="9" t="s">
        <v>18</v>
      </c>
      <c r="I2726" s="16" t="str">
        <f>VLOOKUP(F2726,[1]完整分类结果!$E:$G,3,0)</f>
        <v>电气机械及器材制造业</v>
      </c>
      <c r="J2726" s="16">
        <f>VLOOKUP(I2726,[2]行业排放因子!$A:$B,2,0)</f>
        <v>2.8631259995277101</v>
      </c>
      <c r="K2726" s="9" t="s">
        <v>756</v>
      </c>
    </row>
    <row r="2727" spans="1:11" ht="12.5" customHeight="1" x14ac:dyDescent="0.25">
      <c r="A2727" s="5" t="s">
        <v>10250</v>
      </c>
      <c r="B2727" s="6" t="s">
        <v>7578</v>
      </c>
      <c r="C2727" s="6" t="s">
        <v>10241</v>
      </c>
      <c r="D2727" s="6" t="s">
        <v>10251</v>
      </c>
      <c r="E2727" s="6" t="s">
        <v>10252</v>
      </c>
      <c r="F2727" s="6" t="s">
        <v>10251</v>
      </c>
      <c r="G2727" s="9" t="s">
        <v>10253</v>
      </c>
      <c r="H2727" s="9" t="s">
        <v>18</v>
      </c>
      <c r="I2727" s="16" t="str">
        <f>VLOOKUP(F2727,[1]完整分类结果!$E:$G,3,0)</f>
        <v>电气机械及器材制造业</v>
      </c>
      <c r="J2727" s="16">
        <f>VLOOKUP(I2727,[2]行业排放因子!$A:$B,2,0)</f>
        <v>2.8631259995277101</v>
      </c>
      <c r="K2727" s="9" t="s">
        <v>756</v>
      </c>
    </row>
    <row r="2728" spans="1:11" ht="12.5" customHeight="1" x14ac:dyDescent="0.25">
      <c r="A2728" s="5" t="s">
        <v>10254</v>
      </c>
      <c r="B2728" s="6" t="s">
        <v>7578</v>
      </c>
      <c r="C2728" s="6" t="s">
        <v>10241</v>
      </c>
      <c r="D2728" s="6" t="s">
        <v>10251</v>
      </c>
      <c r="E2728" s="6" t="s">
        <v>10255</v>
      </c>
      <c r="F2728" s="6" t="s">
        <v>10256</v>
      </c>
      <c r="G2728" s="9" t="s">
        <v>10257</v>
      </c>
      <c r="H2728" s="9" t="s">
        <v>18</v>
      </c>
      <c r="I2728" s="16" t="str">
        <f>VLOOKUP(F2728,[1]完整分类结果!$E:$G,3,0)</f>
        <v>电气机械及器材制造业</v>
      </c>
      <c r="J2728" s="16">
        <f>VLOOKUP(I2728,[2]行业排放因子!$A:$B,2,0)</f>
        <v>2.8631259995277101</v>
      </c>
      <c r="K2728" s="9" t="s">
        <v>756</v>
      </c>
    </row>
    <row r="2729" spans="1:11" ht="12.5" customHeight="1" x14ac:dyDescent="0.25">
      <c r="A2729" s="5" t="s">
        <v>10258</v>
      </c>
      <c r="B2729" s="6" t="s">
        <v>7578</v>
      </c>
      <c r="C2729" s="6" t="s">
        <v>10241</v>
      </c>
      <c r="D2729" s="6" t="s">
        <v>10251</v>
      </c>
      <c r="E2729" s="6" t="s">
        <v>10259</v>
      </c>
      <c r="F2729" s="6" t="s">
        <v>10260</v>
      </c>
      <c r="G2729" s="9" t="s">
        <v>10261</v>
      </c>
      <c r="H2729" s="9" t="s">
        <v>18</v>
      </c>
      <c r="I2729" s="16" t="str">
        <f>VLOOKUP(F2729,[1]完整分类结果!$E:$G,3,0)</f>
        <v>电气机械及器材制造业</v>
      </c>
      <c r="J2729" s="16">
        <f>VLOOKUP(I2729,[2]行业排放因子!$A:$B,2,0)</f>
        <v>2.8631259995277101</v>
      </c>
      <c r="K2729" s="9" t="s">
        <v>756</v>
      </c>
    </row>
    <row r="2730" spans="1:11" ht="12.5" customHeight="1" x14ac:dyDescent="0.25">
      <c r="A2730" s="5" t="s">
        <v>10262</v>
      </c>
      <c r="B2730" s="6" t="s">
        <v>7578</v>
      </c>
      <c r="C2730" s="6" t="s">
        <v>10241</v>
      </c>
      <c r="D2730" s="6" t="s">
        <v>10251</v>
      </c>
      <c r="E2730" s="6" t="s">
        <v>10263</v>
      </c>
      <c r="F2730" s="6" t="s">
        <v>10264</v>
      </c>
      <c r="G2730" s="9" t="s">
        <v>10265</v>
      </c>
      <c r="H2730" s="9" t="s">
        <v>18</v>
      </c>
      <c r="I2730" s="16" t="str">
        <f>VLOOKUP(F2730,[1]完整分类结果!$E:$G,3,0)</f>
        <v>电气机械及器材制造业</v>
      </c>
      <c r="J2730" s="16">
        <f>VLOOKUP(I2730,[2]行业排放因子!$A:$B,2,0)</f>
        <v>2.8631259995277101</v>
      </c>
      <c r="K2730" s="9" t="s">
        <v>756</v>
      </c>
    </row>
    <row r="2731" spans="1:11" ht="12.5" customHeight="1" x14ac:dyDescent="0.25">
      <c r="A2731" s="5" t="s">
        <v>10266</v>
      </c>
      <c r="B2731" s="6" t="s">
        <v>7578</v>
      </c>
      <c r="C2731" s="6" t="s">
        <v>10241</v>
      </c>
      <c r="D2731" s="6" t="s">
        <v>10267</v>
      </c>
      <c r="E2731" s="6" t="s">
        <v>10268</v>
      </c>
      <c r="F2731" s="6" t="s">
        <v>10269</v>
      </c>
      <c r="G2731" s="9" t="s">
        <v>10270</v>
      </c>
      <c r="H2731" s="9" t="s">
        <v>18</v>
      </c>
      <c r="I2731" s="16" t="str">
        <f>VLOOKUP(F2731,[1]完整分类结果!$E:$G,3,0)</f>
        <v>普通机械制造业</v>
      </c>
      <c r="J2731" s="16">
        <f>VLOOKUP(I2731,[2]行业排放因子!$A:$B,2,0)</f>
        <v>9.6615781889079599</v>
      </c>
      <c r="K2731" s="9" t="s">
        <v>756</v>
      </c>
    </row>
    <row r="2732" spans="1:11" ht="12.5" customHeight="1" x14ac:dyDescent="0.25">
      <c r="A2732" s="5" t="s">
        <v>10271</v>
      </c>
      <c r="B2732" s="6" t="s">
        <v>7578</v>
      </c>
      <c r="C2732" s="6" t="s">
        <v>10241</v>
      </c>
      <c r="D2732" s="6" t="s">
        <v>10267</v>
      </c>
      <c r="E2732" s="6" t="s">
        <v>10272</v>
      </c>
      <c r="F2732" s="6" t="s">
        <v>10273</v>
      </c>
      <c r="G2732" s="9" t="s">
        <v>10274</v>
      </c>
      <c r="H2732" s="9" t="s">
        <v>18</v>
      </c>
      <c r="I2732" s="16" t="str">
        <f>VLOOKUP(F2732,[1]完整分类结果!$E:$G,3,0)</f>
        <v>普通机械制造业</v>
      </c>
      <c r="J2732" s="16">
        <f>VLOOKUP(I2732,[2]行业排放因子!$A:$B,2,0)</f>
        <v>9.6615781889079599</v>
      </c>
      <c r="K2732" s="9" t="s">
        <v>756</v>
      </c>
    </row>
    <row r="2733" spans="1:11" ht="12.5" customHeight="1" x14ac:dyDescent="0.25">
      <c r="A2733" s="5" t="s">
        <v>10275</v>
      </c>
      <c r="B2733" s="6" t="s">
        <v>7578</v>
      </c>
      <c r="C2733" s="6" t="s">
        <v>10241</v>
      </c>
      <c r="D2733" s="6" t="s">
        <v>10267</v>
      </c>
      <c r="E2733" s="6" t="s">
        <v>10276</v>
      </c>
      <c r="F2733" s="6" t="s">
        <v>10277</v>
      </c>
      <c r="G2733" s="9" t="s">
        <v>10278</v>
      </c>
      <c r="H2733" s="9" t="s">
        <v>18</v>
      </c>
      <c r="I2733" s="16" t="str">
        <f>VLOOKUP(F2733,[1]完整分类结果!$E:$G,3,0)</f>
        <v>普通机械制造业</v>
      </c>
      <c r="J2733" s="16">
        <f>VLOOKUP(I2733,[2]行业排放因子!$A:$B,2,0)</f>
        <v>9.6615781889079599</v>
      </c>
      <c r="K2733" s="9" t="s">
        <v>756</v>
      </c>
    </row>
    <row r="2734" spans="1:11" ht="12.5" customHeight="1" x14ac:dyDescent="0.25">
      <c r="A2734" s="5" t="s">
        <v>10279</v>
      </c>
      <c r="B2734" s="6" t="s">
        <v>7578</v>
      </c>
      <c r="C2734" s="6" t="s">
        <v>10241</v>
      </c>
      <c r="D2734" s="6" t="s">
        <v>10267</v>
      </c>
      <c r="E2734" s="6" t="s">
        <v>10280</v>
      </c>
      <c r="F2734" s="6" t="s">
        <v>10281</v>
      </c>
      <c r="G2734" s="9" t="s">
        <v>10282</v>
      </c>
      <c r="H2734" s="9" t="s">
        <v>18</v>
      </c>
      <c r="I2734" s="16" t="str">
        <f>VLOOKUP(F2734,[1]完整分类结果!$E:$G,3,0)</f>
        <v>普通机械制造业</v>
      </c>
      <c r="J2734" s="16">
        <f>VLOOKUP(I2734,[2]行业排放因子!$A:$B,2,0)</f>
        <v>9.6615781889079599</v>
      </c>
      <c r="K2734" s="9" t="s">
        <v>756</v>
      </c>
    </row>
    <row r="2735" spans="1:11" ht="12.5" customHeight="1" x14ac:dyDescent="0.25">
      <c r="A2735" s="5" t="s">
        <v>10283</v>
      </c>
      <c r="B2735" s="6" t="s">
        <v>7578</v>
      </c>
      <c r="C2735" s="6" t="s">
        <v>10241</v>
      </c>
      <c r="D2735" s="6" t="s">
        <v>10267</v>
      </c>
      <c r="E2735" s="6" t="s">
        <v>10284</v>
      </c>
      <c r="F2735" s="6" t="s">
        <v>10285</v>
      </c>
      <c r="G2735" s="9" t="s">
        <v>10286</v>
      </c>
      <c r="H2735" s="9" t="s">
        <v>18</v>
      </c>
      <c r="I2735" s="16" t="str">
        <f>VLOOKUP(F2735,[1]完整分类结果!$E:$G,3,0)</f>
        <v>普通机械制造业</v>
      </c>
      <c r="J2735" s="16">
        <f>VLOOKUP(I2735,[2]行业排放因子!$A:$B,2,0)</f>
        <v>9.6615781889079599</v>
      </c>
      <c r="K2735" s="9" t="s">
        <v>756</v>
      </c>
    </row>
    <row r="2736" spans="1:11" ht="12.5" customHeight="1" x14ac:dyDescent="0.25">
      <c r="A2736" s="5" t="s">
        <v>10287</v>
      </c>
      <c r="B2736" s="6" t="s">
        <v>7578</v>
      </c>
      <c r="C2736" s="6" t="s">
        <v>10241</v>
      </c>
      <c r="D2736" s="6" t="s">
        <v>10267</v>
      </c>
      <c r="E2736" s="6" t="s">
        <v>10288</v>
      </c>
      <c r="F2736" s="6" t="s">
        <v>10289</v>
      </c>
      <c r="G2736" s="9" t="s">
        <v>10290</v>
      </c>
      <c r="H2736" s="9" t="s">
        <v>18</v>
      </c>
      <c r="I2736" s="16" t="str">
        <f>VLOOKUP(F2736,[1]完整分类结果!$E:$G,3,0)</f>
        <v>普通机械制造业</v>
      </c>
      <c r="J2736" s="16">
        <f>VLOOKUP(I2736,[2]行业排放因子!$A:$B,2,0)</f>
        <v>9.6615781889079599</v>
      </c>
      <c r="K2736" s="9" t="s">
        <v>756</v>
      </c>
    </row>
    <row r="2737" spans="1:11" ht="12.5" customHeight="1" x14ac:dyDescent="0.25">
      <c r="A2737" s="5" t="s">
        <v>10291</v>
      </c>
      <c r="B2737" s="6" t="s">
        <v>7578</v>
      </c>
      <c r="C2737" s="6" t="s">
        <v>10241</v>
      </c>
      <c r="D2737" s="6" t="s">
        <v>10267</v>
      </c>
      <c r="E2737" s="6" t="s">
        <v>10292</v>
      </c>
      <c r="F2737" s="6" t="s">
        <v>10293</v>
      </c>
      <c r="G2737" s="9" t="s">
        <v>10294</v>
      </c>
      <c r="H2737" s="9" t="s">
        <v>18</v>
      </c>
      <c r="I2737" s="16" t="str">
        <f>VLOOKUP(F2737,[1]完整分类结果!$E:$G,3,0)</f>
        <v>普通机械制造业</v>
      </c>
      <c r="J2737" s="16">
        <f>VLOOKUP(I2737,[2]行业排放因子!$A:$B,2,0)</f>
        <v>9.6615781889079599</v>
      </c>
      <c r="K2737" s="9" t="s">
        <v>756</v>
      </c>
    </row>
    <row r="2738" spans="1:11" ht="12.5" customHeight="1" x14ac:dyDescent="0.25">
      <c r="A2738" s="5" t="s">
        <v>10295</v>
      </c>
      <c r="B2738" s="6" t="s">
        <v>7578</v>
      </c>
      <c r="C2738" s="6" t="s">
        <v>10241</v>
      </c>
      <c r="D2738" s="6" t="s">
        <v>10267</v>
      </c>
      <c r="E2738" s="6" t="s">
        <v>10296</v>
      </c>
      <c r="F2738" s="6" t="s">
        <v>10297</v>
      </c>
      <c r="G2738" s="9" t="s">
        <v>10298</v>
      </c>
      <c r="H2738" s="9" t="s">
        <v>18</v>
      </c>
      <c r="I2738" s="16" t="str">
        <f>VLOOKUP(F2738,[1]完整分类结果!$E:$G,3,0)</f>
        <v>普通机械制造业</v>
      </c>
      <c r="J2738" s="16">
        <f>VLOOKUP(I2738,[2]行业排放因子!$A:$B,2,0)</f>
        <v>9.6615781889079599</v>
      </c>
      <c r="K2738" s="9" t="s">
        <v>756</v>
      </c>
    </row>
    <row r="2739" spans="1:11" ht="12.5" customHeight="1" x14ac:dyDescent="0.25">
      <c r="A2739" s="5" t="s">
        <v>10299</v>
      </c>
      <c r="B2739" s="6" t="s">
        <v>7578</v>
      </c>
      <c r="C2739" s="6" t="s">
        <v>10241</v>
      </c>
      <c r="D2739" s="6" t="s">
        <v>10300</v>
      </c>
      <c r="E2739" s="6" t="s">
        <v>10301</v>
      </c>
      <c r="F2739" s="6" t="s">
        <v>10302</v>
      </c>
      <c r="G2739" s="9" t="s">
        <v>10303</v>
      </c>
      <c r="H2739" s="9" t="s">
        <v>18</v>
      </c>
      <c r="I2739" s="16" t="str">
        <f>VLOOKUP(F2739,[1]完整分类结果!$E:$G,3,0)</f>
        <v>电气机械及器材制造业</v>
      </c>
      <c r="J2739" s="16">
        <f>VLOOKUP(I2739,[2]行业排放因子!$A:$B,2,0)</f>
        <v>2.8631259995277101</v>
      </c>
      <c r="K2739" s="9" t="s">
        <v>756</v>
      </c>
    </row>
    <row r="2740" spans="1:11" ht="12.5" customHeight="1" x14ac:dyDescent="0.25">
      <c r="A2740" s="5" t="s">
        <v>10304</v>
      </c>
      <c r="B2740" s="6" t="s">
        <v>7578</v>
      </c>
      <c r="C2740" s="6" t="s">
        <v>10241</v>
      </c>
      <c r="D2740" s="6" t="s">
        <v>10300</v>
      </c>
      <c r="E2740" s="6" t="s">
        <v>10305</v>
      </c>
      <c r="F2740" s="6" t="s">
        <v>10306</v>
      </c>
      <c r="G2740" s="9" t="s">
        <v>10307</v>
      </c>
      <c r="H2740" s="9" t="s">
        <v>18</v>
      </c>
      <c r="I2740" s="16" t="str">
        <f>VLOOKUP(F2740,[1]完整分类结果!$E:$G,3,0)</f>
        <v>电气机械及器材制造业</v>
      </c>
      <c r="J2740" s="16">
        <f>VLOOKUP(I2740,[2]行业排放因子!$A:$B,2,0)</f>
        <v>2.8631259995277101</v>
      </c>
      <c r="K2740" s="9" t="s">
        <v>756</v>
      </c>
    </row>
    <row r="2741" spans="1:11" ht="12.5" customHeight="1" x14ac:dyDescent="0.25">
      <c r="A2741" s="5" t="s">
        <v>10308</v>
      </c>
      <c r="B2741" s="6" t="s">
        <v>7578</v>
      </c>
      <c r="C2741" s="6" t="s">
        <v>10241</v>
      </c>
      <c r="D2741" s="6" t="s">
        <v>10300</v>
      </c>
      <c r="E2741" s="6" t="s">
        <v>10309</v>
      </c>
      <c r="F2741" s="6" t="s">
        <v>10310</v>
      </c>
      <c r="G2741" s="9" t="s">
        <v>10311</v>
      </c>
      <c r="H2741" s="9" t="s">
        <v>18</v>
      </c>
      <c r="I2741" s="16" t="str">
        <f>VLOOKUP(F2741,[1]完整分类结果!$E:$G,3,0)</f>
        <v>电气机械及器材制造业</v>
      </c>
      <c r="J2741" s="16">
        <f>VLOOKUP(I2741,[2]行业排放因子!$A:$B,2,0)</f>
        <v>2.8631259995277101</v>
      </c>
      <c r="K2741" s="9" t="s">
        <v>756</v>
      </c>
    </row>
    <row r="2742" spans="1:11" ht="12.5" customHeight="1" x14ac:dyDescent="0.25">
      <c r="A2742" s="5" t="s">
        <v>10312</v>
      </c>
      <c r="B2742" s="6" t="s">
        <v>7578</v>
      </c>
      <c r="C2742" s="6" t="s">
        <v>10241</v>
      </c>
      <c r="D2742" s="6" t="s">
        <v>10300</v>
      </c>
      <c r="E2742" s="6" t="s">
        <v>10313</v>
      </c>
      <c r="F2742" s="6" t="s">
        <v>10314</v>
      </c>
      <c r="G2742" s="9" t="s">
        <v>10315</v>
      </c>
      <c r="H2742" s="9" t="s">
        <v>18</v>
      </c>
      <c r="I2742" s="16" t="str">
        <f>VLOOKUP(F2742,[1]完整分类结果!$E:$G,3,0)</f>
        <v>电气机械及器材制造业</v>
      </c>
      <c r="J2742" s="16">
        <f>VLOOKUP(I2742,[2]行业排放因子!$A:$B,2,0)</f>
        <v>2.8631259995277101</v>
      </c>
      <c r="K2742" s="9" t="s">
        <v>756</v>
      </c>
    </row>
    <row r="2743" spans="1:11" ht="12.5" customHeight="1" x14ac:dyDescent="0.25">
      <c r="A2743" s="5" t="s">
        <v>10316</v>
      </c>
      <c r="B2743" s="6" t="s">
        <v>7578</v>
      </c>
      <c r="C2743" s="6" t="s">
        <v>10241</v>
      </c>
      <c r="D2743" s="6" t="s">
        <v>10300</v>
      </c>
      <c r="E2743" s="6" t="s">
        <v>10317</v>
      </c>
      <c r="F2743" s="6" t="s">
        <v>10318</v>
      </c>
      <c r="G2743" s="9" t="s">
        <v>10319</v>
      </c>
      <c r="H2743" s="9" t="s">
        <v>18</v>
      </c>
      <c r="I2743" s="16" t="str">
        <f>VLOOKUP(F2743,[1]完整分类结果!$E:$G,3,0)</f>
        <v>电气机械及器材制造业</v>
      </c>
      <c r="J2743" s="16">
        <f>VLOOKUP(I2743,[2]行业排放因子!$A:$B,2,0)</f>
        <v>2.8631259995277101</v>
      </c>
      <c r="K2743" s="9" t="s">
        <v>756</v>
      </c>
    </row>
    <row r="2744" spans="1:11" ht="12.5" customHeight="1" x14ac:dyDescent="0.25">
      <c r="A2744" s="5" t="s">
        <v>10320</v>
      </c>
      <c r="B2744" s="6" t="s">
        <v>7578</v>
      </c>
      <c r="C2744" s="6" t="s">
        <v>10241</v>
      </c>
      <c r="D2744" s="6" t="s">
        <v>10300</v>
      </c>
      <c r="E2744" s="6" t="s">
        <v>10321</v>
      </c>
      <c r="F2744" s="6" t="s">
        <v>10322</v>
      </c>
      <c r="G2744" s="9" t="s">
        <v>10323</v>
      </c>
      <c r="H2744" s="9" t="s">
        <v>18</v>
      </c>
      <c r="I2744" s="16" t="str">
        <f>VLOOKUP(F2744,[1]完整分类结果!$E:$G,3,0)</f>
        <v>电气机械及器材制造业</v>
      </c>
      <c r="J2744" s="16">
        <f>VLOOKUP(I2744,[2]行业排放因子!$A:$B,2,0)</f>
        <v>2.8631259995277101</v>
      </c>
      <c r="K2744" s="9" t="s">
        <v>756</v>
      </c>
    </row>
    <row r="2745" spans="1:11" ht="12.5" customHeight="1" x14ac:dyDescent="0.25">
      <c r="A2745" s="5" t="s">
        <v>10324</v>
      </c>
      <c r="B2745" s="6" t="s">
        <v>7578</v>
      </c>
      <c r="C2745" s="6" t="s">
        <v>10241</v>
      </c>
      <c r="D2745" s="6" t="s">
        <v>10325</v>
      </c>
      <c r="E2745" s="6" t="s">
        <v>10326</v>
      </c>
      <c r="F2745" s="6" t="s">
        <v>10325</v>
      </c>
      <c r="G2745" s="9" t="s">
        <v>10327</v>
      </c>
      <c r="H2745" s="9" t="s">
        <v>18</v>
      </c>
      <c r="I2745" s="16" t="str">
        <f>VLOOKUP(F2745,[1]完整分类结果!$E:$G,3,0)</f>
        <v>普通机械制造业</v>
      </c>
      <c r="J2745" s="16">
        <f>VLOOKUP(I2745,[2]行业排放因子!$A:$B,2,0)</f>
        <v>9.6615781889079599</v>
      </c>
      <c r="K2745" s="9" t="s">
        <v>756</v>
      </c>
    </row>
    <row r="2746" spans="1:11" ht="12.5" customHeight="1" x14ac:dyDescent="0.25">
      <c r="A2746" s="5" t="s">
        <v>10328</v>
      </c>
      <c r="B2746" s="6" t="s">
        <v>7578</v>
      </c>
      <c r="C2746" s="6" t="s">
        <v>10241</v>
      </c>
      <c r="D2746" s="6" t="s">
        <v>10325</v>
      </c>
      <c r="E2746" s="6" t="s">
        <v>10329</v>
      </c>
      <c r="F2746" s="6" t="s">
        <v>10330</v>
      </c>
      <c r="G2746" s="9" t="s">
        <v>10331</v>
      </c>
      <c r="H2746" s="9" t="s">
        <v>18</v>
      </c>
      <c r="I2746" s="16" t="str">
        <f>VLOOKUP(F2746,[1]完整分类结果!$E:$G,3,0)</f>
        <v>普通机械制造业</v>
      </c>
      <c r="J2746" s="16">
        <f>VLOOKUP(I2746,[2]行业排放因子!$A:$B,2,0)</f>
        <v>9.6615781889079599</v>
      </c>
      <c r="K2746" s="9" t="s">
        <v>756</v>
      </c>
    </row>
    <row r="2747" spans="1:11" ht="12.5" customHeight="1" x14ac:dyDescent="0.25">
      <c r="A2747" s="5" t="s">
        <v>10332</v>
      </c>
      <c r="B2747" s="6" t="s">
        <v>7578</v>
      </c>
      <c r="C2747" s="6" t="s">
        <v>10241</v>
      </c>
      <c r="D2747" s="6" t="s">
        <v>10325</v>
      </c>
      <c r="E2747" s="6" t="s">
        <v>10333</v>
      </c>
      <c r="F2747" s="6" t="s">
        <v>10334</v>
      </c>
      <c r="G2747" s="9" t="s">
        <v>10335</v>
      </c>
      <c r="H2747" s="9" t="s">
        <v>18</v>
      </c>
      <c r="I2747" s="16" t="str">
        <f>VLOOKUP(F2747,[1]完整分类结果!$E:$G,3,0)</f>
        <v>普通机械制造业</v>
      </c>
      <c r="J2747" s="16">
        <f>VLOOKUP(I2747,[2]行业排放因子!$A:$B,2,0)</f>
        <v>9.6615781889079599</v>
      </c>
      <c r="K2747" s="9" t="s">
        <v>756</v>
      </c>
    </row>
    <row r="2748" spans="1:11" ht="12.5" customHeight="1" x14ac:dyDescent="0.25">
      <c r="A2748" s="5" t="s">
        <v>10336</v>
      </c>
      <c r="B2748" s="6" t="s">
        <v>7578</v>
      </c>
      <c r="C2748" s="6" t="s">
        <v>10241</v>
      </c>
      <c r="D2748" s="6" t="s">
        <v>10337</v>
      </c>
      <c r="E2748" s="6" t="s">
        <v>10338</v>
      </c>
      <c r="F2748" s="6" t="s">
        <v>10339</v>
      </c>
      <c r="G2748" s="9"/>
      <c r="H2748" s="9" t="s">
        <v>18</v>
      </c>
      <c r="I2748" s="16" t="str">
        <f>VLOOKUP(F2748,[1]完整分类结果!$E:$G,3,0)</f>
        <v>普通机械制造业</v>
      </c>
      <c r="J2748" s="16">
        <f>VLOOKUP(I2748,[2]行业排放因子!$A:$B,2,0)</f>
        <v>9.6615781889079599</v>
      </c>
      <c r="K2748" s="9" t="s">
        <v>756</v>
      </c>
    </row>
    <row r="2749" spans="1:11" ht="12.5" customHeight="1" x14ac:dyDescent="0.25">
      <c r="A2749" s="5" t="s">
        <v>10340</v>
      </c>
      <c r="B2749" s="6" t="s">
        <v>7578</v>
      </c>
      <c r="C2749" s="6" t="s">
        <v>10241</v>
      </c>
      <c r="D2749" s="6" t="s">
        <v>10337</v>
      </c>
      <c r="E2749" s="6" t="s">
        <v>10341</v>
      </c>
      <c r="F2749" s="6" t="s">
        <v>10342</v>
      </c>
      <c r="G2749" s="9"/>
      <c r="H2749" s="9" t="s">
        <v>18</v>
      </c>
      <c r="I2749" s="16" t="str">
        <f>VLOOKUP(F2749,[1]完整分类结果!$E:$G,3,0)</f>
        <v>普通机械制造业</v>
      </c>
      <c r="J2749" s="16">
        <f>VLOOKUP(I2749,[2]行业排放因子!$A:$B,2,0)</f>
        <v>9.6615781889079599</v>
      </c>
      <c r="K2749" s="9" t="s">
        <v>756</v>
      </c>
    </row>
    <row r="2750" spans="1:11" ht="12.5" customHeight="1" x14ac:dyDescent="0.25">
      <c r="A2750" s="5" t="s">
        <v>10343</v>
      </c>
      <c r="B2750" s="6" t="s">
        <v>7578</v>
      </c>
      <c r="C2750" s="6" t="s">
        <v>10241</v>
      </c>
      <c r="D2750" s="6" t="s">
        <v>10337</v>
      </c>
      <c r="E2750" s="6" t="s">
        <v>10344</v>
      </c>
      <c r="F2750" s="6" t="s">
        <v>10345</v>
      </c>
      <c r="G2750" s="9"/>
      <c r="H2750" s="9" t="s">
        <v>18</v>
      </c>
      <c r="I2750" s="16" t="str">
        <f>VLOOKUP(F2750,[1]完整分类结果!$E:$G,3,0)</f>
        <v>普通机械制造业</v>
      </c>
      <c r="J2750" s="16">
        <f>VLOOKUP(I2750,[2]行业排放因子!$A:$B,2,0)</f>
        <v>9.6615781889079599</v>
      </c>
      <c r="K2750" s="9" t="s">
        <v>756</v>
      </c>
    </row>
    <row r="2751" spans="1:11" ht="12.5" customHeight="1" x14ac:dyDescent="0.25">
      <c r="A2751" s="5" t="s">
        <v>10346</v>
      </c>
      <c r="B2751" s="6" t="s">
        <v>7578</v>
      </c>
      <c r="C2751" s="6" t="s">
        <v>10241</v>
      </c>
      <c r="D2751" s="6" t="s">
        <v>10337</v>
      </c>
      <c r="E2751" s="6" t="s">
        <v>10347</v>
      </c>
      <c r="F2751" s="6" t="s">
        <v>10348</v>
      </c>
      <c r="G2751" s="9"/>
      <c r="H2751" s="9" t="s">
        <v>18</v>
      </c>
      <c r="I2751" s="16" t="str">
        <f>VLOOKUP(F2751,[1]完整分类结果!$E:$G,3,0)</f>
        <v>普通机械制造业</v>
      </c>
      <c r="J2751" s="16">
        <f>VLOOKUP(I2751,[2]行业排放因子!$A:$B,2,0)</f>
        <v>9.6615781889079599</v>
      </c>
      <c r="K2751" s="9" t="s">
        <v>756</v>
      </c>
    </row>
    <row r="2752" spans="1:11" ht="12.5" customHeight="1" x14ac:dyDescent="0.25">
      <c r="A2752" s="5" t="s">
        <v>10349</v>
      </c>
      <c r="B2752" s="6" t="s">
        <v>7578</v>
      </c>
      <c r="C2752" s="6" t="s">
        <v>10241</v>
      </c>
      <c r="D2752" s="6" t="s">
        <v>10337</v>
      </c>
      <c r="E2752" s="6" t="s">
        <v>10350</v>
      </c>
      <c r="F2752" s="6" t="s">
        <v>10351</v>
      </c>
      <c r="G2752" s="9"/>
      <c r="H2752" s="9" t="s">
        <v>18</v>
      </c>
      <c r="I2752" s="16" t="str">
        <f>VLOOKUP(F2752,[1]完整分类结果!$E:$G,3,0)</f>
        <v>普通机械制造业</v>
      </c>
      <c r="J2752" s="16">
        <f>VLOOKUP(I2752,[2]行业排放因子!$A:$B,2,0)</f>
        <v>9.6615781889079599</v>
      </c>
      <c r="K2752" s="9" t="s">
        <v>756</v>
      </c>
    </row>
    <row r="2753" spans="1:11" ht="12.5" customHeight="1" x14ac:dyDescent="0.25">
      <c r="A2753" s="5" t="s">
        <v>10352</v>
      </c>
      <c r="B2753" s="6" t="s">
        <v>7578</v>
      </c>
      <c r="C2753" s="6" t="s">
        <v>10241</v>
      </c>
      <c r="D2753" s="6" t="s">
        <v>10353</v>
      </c>
      <c r="E2753" s="6" t="s">
        <v>10354</v>
      </c>
      <c r="F2753" s="6" t="s">
        <v>10355</v>
      </c>
      <c r="G2753" s="9" t="s">
        <v>10356</v>
      </c>
      <c r="H2753" s="9" t="s">
        <v>18</v>
      </c>
      <c r="I2753" s="16" t="str">
        <f>VLOOKUP(F2753,[1]完整分类结果!$E:$G,3,0)</f>
        <v>普通机械制造业</v>
      </c>
      <c r="J2753" s="16">
        <f>VLOOKUP(I2753,[2]行业排放因子!$A:$B,2,0)</f>
        <v>9.6615781889079599</v>
      </c>
      <c r="K2753" s="9" t="s">
        <v>756</v>
      </c>
    </row>
    <row r="2754" spans="1:11" ht="12.5" customHeight="1" x14ac:dyDescent="0.25">
      <c r="A2754" s="5" t="s">
        <v>10357</v>
      </c>
      <c r="B2754" s="6" t="s">
        <v>7578</v>
      </c>
      <c r="C2754" s="6" t="s">
        <v>10241</v>
      </c>
      <c r="D2754" s="6" t="s">
        <v>10353</v>
      </c>
      <c r="E2754" s="6" t="s">
        <v>10358</v>
      </c>
      <c r="F2754" s="6" t="s">
        <v>10359</v>
      </c>
      <c r="G2754" s="9" t="s">
        <v>10360</v>
      </c>
      <c r="H2754" s="9" t="s">
        <v>18</v>
      </c>
      <c r="I2754" s="16" t="str">
        <f>VLOOKUP(F2754,[1]完整分类结果!$E:$G,3,0)</f>
        <v>普通机械制造业</v>
      </c>
      <c r="J2754" s="16">
        <f>VLOOKUP(I2754,[2]行业排放因子!$A:$B,2,0)</f>
        <v>9.6615781889079599</v>
      </c>
      <c r="K2754" s="9" t="s">
        <v>756</v>
      </c>
    </row>
    <row r="2755" spans="1:11" ht="12.5" customHeight="1" x14ac:dyDescent="0.25">
      <c r="A2755" s="5" t="s">
        <v>10361</v>
      </c>
      <c r="B2755" s="6" t="s">
        <v>7578</v>
      </c>
      <c r="C2755" s="6" t="s">
        <v>10241</v>
      </c>
      <c r="D2755" s="6" t="s">
        <v>10353</v>
      </c>
      <c r="E2755" s="6" t="s">
        <v>10362</v>
      </c>
      <c r="F2755" s="6" t="s">
        <v>10363</v>
      </c>
      <c r="G2755" s="9" t="s">
        <v>10364</v>
      </c>
      <c r="H2755" s="9" t="s">
        <v>18</v>
      </c>
      <c r="I2755" s="16" t="str">
        <f>VLOOKUP(F2755,[1]完整分类结果!$E:$G,3,0)</f>
        <v>普通机械制造业</v>
      </c>
      <c r="J2755" s="16">
        <f>VLOOKUP(I2755,[2]行业排放因子!$A:$B,2,0)</f>
        <v>9.6615781889079599</v>
      </c>
      <c r="K2755" s="9" t="s">
        <v>756</v>
      </c>
    </row>
    <row r="2756" spans="1:11" ht="12.5" customHeight="1" x14ac:dyDescent="0.25">
      <c r="A2756" s="5" t="s">
        <v>10365</v>
      </c>
      <c r="B2756" s="6" t="s">
        <v>7578</v>
      </c>
      <c r="C2756" s="6" t="s">
        <v>10241</v>
      </c>
      <c r="D2756" s="6" t="s">
        <v>10353</v>
      </c>
      <c r="E2756" s="6" t="s">
        <v>10366</v>
      </c>
      <c r="F2756" s="6" t="s">
        <v>10367</v>
      </c>
      <c r="G2756" s="9" t="s">
        <v>10368</v>
      </c>
      <c r="H2756" s="9" t="s">
        <v>18</v>
      </c>
      <c r="I2756" s="16" t="str">
        <f>VLOOKUP(F2756,[1]完整分类结果!$E:$G,3,0)</f>
        <v>普通机械制造业</v>
      </c>
      <c r="J2756" s="16">
        <f>VLOOKUP(I2756,[2]行业排放因子!$A:$B,2,0)</f>
        <v>9.6615781889079599</v>
      </c>
      <c r="K2756" s="9" t="s">
        <v>756</v>
      </c>
    </row>
    <row r="2757" spans="1:11" ht="12.5" customHeight="1" x14ac:dyDescent="0.25">
      <c r="A2757" s="5" t="s">
        <v>10369</v>
      </c>
      <c r="B2757" s="6" t="s">
        <v>7578</v>
      </c>
      <c r="C2757" s="6" t="s">
        <v>10241</v>
      </c>
      <c r="D2757" s="6" t="s">
        <v>10370</v>
      </c>
      <c r="E2757" s="6" t="s">
        <v>10371</v>
      </c>
      <c r="F2757" s="6" t="s">
        <v>10372</v>
      </c>
      <c r="G2757" s="9" t="s">
        <v>10373</v>
      </c>
      <c r="H2757" s="9" t="s">
        <v>18</v>
      </c>
      <c r="I2757" s="16" t="str">
        <f>VLOOKUP(F2757,[1]完整分类结果!$E:$G,3,0)</f>
        <v>普通机械制造业</v>
      </c>
      <c r="J2757" s="16">
        <f>VLOOKUP(I2757,[2]行业排放因子!$A:$B,2,0)</f>
        <v>9.6615781889079599</v>
      </c>
      <c r="K2757" s="9" t="s">
        <v>756</v>
      </c>
    </row>
    <row r="2758" spans="1:11" ht="12.5" customHeight="1" x14ac:dyDescent="0.25">
      <c r="A2758" s="5" t="s">
        <v>10374</v>
      </c>
      <c r="B2758" s="6" t="s">
        <v>7578</v>
      </c>
      <c r="C2758" s="6" t="s">
        <v>10241</v>
      </c>
      <c r="D2758" s="6" t="s">
        <v>10370</v>
      </c>
      <c r="E2758" s="6" t="s">
        <v>10375</v>
      </c>
      <c r="F2758" s="6" t="s">
        <v>10376</v>
      </c>
      <c r="G2758" s="9" t="s">
        <v>10377</v>
      </c>
      <c r="H2758" s="9" t="s">
        <v>18</v>
      </c>
      <c r="I2758" s="16" t="str">
        <f>VLOOKUP(F2758,[1]完整分类结果!$E:$G,3,0)</f>
        <v>普通机械制造业</v>
      </c>
      <c r="J2758" s="16">
        <f>VLOOKUP(I2758,[2]行业排放因子!$A:$B,2,0)</f>
        <v>9.6615781889079599</v>
      </c>
      <c r="K2758" s="9" t="s">
        <v>756</v>
      </c>
    </row>
    <row r="2759" spans="1:11" ht="12.5" customHeight="1" x14ac:dyDescent="0.25">
      <c r="A2759" s="5" t="s">
        <v>10378</v>
      </c>
      <c r="B2759" s="6" t="s">
        <v>7578</v>
      </c>
      <c r="C2759" s="6" t="s">
        <v>10241</v>
      </c>
      <c r="D2759" s="6" t="s">
        <v>10370</v>
      </c>
      <c r="E2759" s="6" t="s">
        <v>10379</v>
      </c>
      <c r="F2759" s="6" t="s">
        <v>10380</v>
      </c>
      <c r="G2759" s="9" t="s">
        <v>10381</v>
      </c>
      <c r="H2759" s="9" t="s">
        <v>18</v>
      </c>
      <c r="I2759" s="16" t="str">
        <f>VLOOKUP(F2759,[1]完整分类结果!$E:$G,3,0)</f>
        <v>普通机械制造业</v>
      </c>
      <c r="J2759" s="16">
        <f>VLOOKUP(I2759,[2]行业排放因子!$A:$B,2,0)</f>
        <v>9.6615781889079599</v>
      </c>
      <c r="K2759" s="9" t="s">
        <v>756</v>
      </c>
    </row>
    <row r="2760" spans="1:11" ht="12.5" customHeight="1" x14ac:dyDescent="0.25">
      <c r="A2760" s="5" t="s">
        <v>10382</v>
      </c>
      <c r="B2760" s="6" t="s">
        <v>7578</v>
      </c>
      <c r="C2760" s="6" t="s">
        <v>10241</v>
      </c>
      <c r="D2760" s="6" t="s">
        <v>10370</v>
      </c>
      <c r="E2760" s="6" t="s">
        <v>10383</v>
      </c>
      <c r="F2760" s="6" t="s">
        <v>10384</v>
      </c>
      <c r="G2760" s="9" t="s">
        <v>10385</v>
      </c>
      <c r="H2760" s="9" t="s">
        <v>18</v>
      </c>
      <c r="I2760" s="16" t="str">
        <f>VLOOKUP(F2760,[1]完整分类结果!$E:$G,3,0)</f>
        <v>普通机械制造业</v>
      </c>
      <c r="J2760" s="16">
        <f>VLOOKUP(I2760,[2]行业排放因子!$A:$B,2,0)</f>
        <v>9.6615781889079599</v>
      </c>
      <c r="K2760" s="9" t="s">
        <v>756</v>
      </c>
    </row>
    <row r="2761" spans="1:11" ht="12.5" customHeight="1" x14ac:dyDescent="0.25">
      <c r="A2761" s="5" t="s">
        <v>10386</v>
      </c>
      <c r="B2761" s="6" t="s">
        <v>7578</v>
      </c>
      <c r="C2761" s="6" t="s">
        <v>10241</v>
      </c>
      <c r="D2761" s="6" t="s">
        <v>10370</v>
      </c>
      <c r="E2761" s="6" t="s">
        <v>10387</v>
      </c>
      <c r="F2761" s="6" t="s">
        <v>10388</v>
      </c>
      <c r="G2761" s="9" t="s">
        <v>10389</v>
      </c>
      <c r="H2761" s="9" t="s">
        <v>18</v>
      </c>
      <c r="I2761" s="16" t="str">
        <f>VLOOKUP(F2761,[1]完整分类结果!$E:$G,3,0)</f>
        <v>普通机械制造业</v>
      </c>
      <c r="J2761" s="16">
        <f>VLOOKUP(I2761,[2]行业排放因子!$A:$B,2,0)</f>
        <v>9.6615781889079599</v>
      </c>
      <c r="K2761" s="9" t="s">
        <v>756</v>
      </c>
    </row>
    <row r="2762" spans="1:11" ht="12.5" customHeight="1" x14ac:dyDescent="0.25">
      <c r="A2762" s="5" t="s">
        <v>10390</v>
      </c>
      <c r="B2762" s="6" t="s">
        <v>7578</v>
      </c>
      <c r="C2762" s="6" t="s">
        <v>10241</v>
      </c>
      <c r="D2762" s="6" t="s">
        <v>10370</v>
      </c>
      <c r="E2762" s="6" t="s">
        <v>10391</v>
      </c>
      <c r="F2762" s="6" t="s">
        <v>10392</v>
      </c>
      <c r="G2762" s="9" t="s">
        <v>10393</v>
      </c>
      <c r="H2762" s="9" t="s">
        <v>18</v>
      </c>
      <c r="I2762" s="16" t="str">
        <f>VLOOKUP(F2762,[1]完整分类结果!$E:$G,3,0)</f>
        <v>普通机械制造业</v>
      </c>
      <c r="J2762" s="16">
        <f>VLOOKUP(I2762,[2]行业排放因子!$A:$B,2,0)</f>
        <v>9.6615781889079599</v>
      </c>
      <c r="K2762" s="9" t="s">
        <v>756</v>
      </c>
    </row>
    <row r="2763" spans="1:11" ht="12.5" customHeight="1" x14ac:dyDescent="0.25">
      <c r="A2763" s="5" t="s">
        <v>10394</v>
      </c>
      <c r="B2763" s="6" t="s">
        <v>7578</v>
      </c>
      <c r="C2763" s="6" t="s">
        <v>10241</v>
      </c>
      <c r="D2763" s="6" t="s">
        <v>10395</v>
      </c>
      <c r="E2763" s="6" t="s">
        <v>10396</v>
      </c>
      <c r="F2763" s="6" t="s">
        <v>10397</v>
      </c>
      <c r="G2763" s="9" t="s">
        <v>10398</v>
      </c>
      <c r="H2763" s="9" t="s">
        <v>18</v>
      </c>
      <c r="I2763" s="16" t="str">
        <f>VLOOKUP(F2763,[1]完整分类结果!$E:$G,3,0)</f>
        <v>电气机械及器材制造业</v>
      </c>
      <c r="J2763" s="16">
        <f>VLOOKUP(I2763,[2]行业排放因子!$A:$B,2,0)</f>
        <v>2.8631259995277101</v>
      </c>
      <c r="K2763" s="9" t="s">
        <v>756</v>
      </c>
    </row>
    <row r="2764" spans="1:11" ht="12.5" customHeight="1" x14ac:dyDescent="0.25">
      <c r="A2764" s="5" t="s">
        <v>10399</v>
      </c>
      <c r="B2764" s="6" t="s">
        <v>7578</v>
      </c>
      <c r="C2764" s="6" t="s">
        <v>10241</v>
      </c>
      <c r="D2764" s="6" t="s">
        <v>10395</v>
      </c>
      <c r="E2764" s="6" t="s">
        <v>10400</v>
      </c>
      <c r="F2764" s="6" t="s">
        <v>10401</v>
      </c>
      <c r="G2764" s="9" t="s">
        <v>10402</v>
      </c>
      <c r="H2764" s="9" t="s">
        <v>18</v>
      </c>
      <c r="I2764" s="16" t="str">
        <f>VLOOKUP(F2764,[1]完整分类结果!$E:$G,3,0)</f>
        <v>电气机械及器材制造业</v>
      </c>
      <c r="J2764" s="16">
        <f>VLOOKUP(I2764,[2]行业排放因子!$A:$B,2,0)</f>
        <v>2.8631259995277101</v>
      </c>
      <c r="K2764" s="9" t="s">
        <v>756</v>
      </c>
    </row>
    <row r="2765" spans="1:11" ht="12.5" customHeight="1" x14ac:dyDescent="0.25">
      <c r="A2765" s="5" t="s">
        <v>10403</v>
      </c>
      <c r="B2765" s="6" t="s">
        <v>7578</v>
      </c>
      <c r="C2765" s="6" t="s">
        <v>10241</v>
      </c>
      <c r="D2765" s="6" t="s">
        <v>10395</v>
      </c>
      <c r="E2765" s="6" t="s">
        <v>10404</v>
      </c>
      <c r="F2765" s="6" t="s">
        <v>10405</v>
      </c>
      <c r="G2765" s="9" t="s">
        <v>10406</v>
      </c>
      <c r="H2765" s="9" t="s">
        <v>18</v>
      </c>
      <c r="I2765" s="16" t="str">
        <f>VLOOKUP(F2765,[1]完整分类结果!$E:$G,3,0)</f>
        <v>电气机械及器材制造业</v>
      </c>
      <c r="J2765" s="16">
        <f>VLOOKUP(I2765,[2]行业排放因子!$A:$B,2,0)</f>
        <v>2.8631259995277101</v>
      </c>
      <c r="K2765" s="9" t="s">
        <v>756</v>
      </c>
    </row>
    <row r="2766" spans="1:11" ht="12.5" customHeight="1" x14ac:dyDescent="0.25">
      <c r="A2766" s="5" t="s">
        <v>10407</v>
      </c>
      <c r="B2766" s="6" t="s">
        <v>7578</v>
      </c>
      <c r="C2766" s="6" t="s">
        <v>10241</v>
      </c>
      <c r="D2766" s="6" t="s">
        <v>10395</v>
      </c>
      <c r="E2766" s="6" t="s">
        <v>10408</v>
      </c>
      <c r="F2766" s="6" t="s">
        <v>10409</v>
      </c>
      <c r="G2766" s="9" t="s">
        <v>10410</v>
      </c>
      <c r="H2766" s="9" t="s">
        <v>18</v>
      </c>
      <c r="I2766" s="16" t="str">
        <f>VLOOKUP(F2766,[1]完整分类结果!$E:$G,3,0)</f>
        <v>电气机械及器材制造业</v>
      </c>
      <c r="J2766" s="16">
        <f>VLOOKUP(I2766,[2]行业排放因子!$A:$B,2,0)</f>
        <v>2.8631259995277101</v>
      </c>
      <c r="K2766" s="9" t="s">
        <v>756</v>
      </c>
    </row>
    <row r="2767" spans="1:11" ht="12.5" customHeight="1" x14ac:dyDescent="0.25">
      <c r="A2767" s="5" t="s">
        <v>10411</v>
      </c>
      <c r="B2767" s="6" t="s">
        <v>7578</v>
      </c>
      <c r="C2767" s="6" t="s">
        <v>10241</v>
      </c>
      <c r="D2767" s="6" t="s">
        <v>10395</v>
      </c>
      <c r="E2767" s="6" t="s">
        <v>10412</v>
      </c>
      <c r="F2767" s="6" t="s">
        <v>10413</v>
      </c>
      <c r="G2767" s="9"/>
      <c r="H2767" s="9" t="s">
        <v>18</v>
      </c>
      <c r="I2767" s="16" t="str">
        <f>VLOOKUP(F2767,[1]完整分类结果!$E:$G,3,0)</f>
        <v>电气机械及器材制造业</v>
      </c>
      <c r="J2767" s="16">
        <f>VLOOKUP(I2767,[2]行业排放因子!$A:$B,2,0)</f>
        <v>2.8631259995277101</v>
      </c>
      <c r="K2767" s="9" t="s">
        <v>756</v>
      </c>
    </row>
    <row r="2768" spans="1:11" ht="12.5" customHeight="1" x14ac:dyDescent="0.25">
      <c r="A2768" s="5" t="s">
        <v>10414</v>
      </c>
      <c r="B2768" s="6" t="s">
        <v>7578</v>
      </c>
      <c r="C2768" s="6" t="s">
        <v>10241</v>
      </c>
      <c r="D2768" s="6" t="s">
        <v>10395</v>
      </c>
      <c r="E2768" s="6" t="s">
        <v>10415</v>
      </c>
      <c r="F2768" s="6" t="s">
        <v>10416</v>
      </c>
      <c r="G2768" s="9"/>
      <c r="H2768" s="9" t="s">
        <v>18</v>
      </c>
      <c r="I2768" s="16" t="str">
        <f>VLOOKUP(F2768,[1]完整分类结果!$E:$G,3,0)</f>
        <v>电气机械及器材制造业</v>
      </c>
      <c r="J2768" s="16">
        <f>VLOOKUP(I2768,[2]行业排放因子!$A:$B,2,0)</f>
        <v>2.8631259995277101</v>
      </c>
      <c r="K2768" s="9" t="s">
        <v>756</v>
      </c>
    </row>
    <row r="2769" spans="1:11" ht="12.5" customHeight="1" x14ac:dyDescent="0.25">
      <c r="A2769" s="5" t="s">
        <v>10417</v>
      </c>
      <c r="B2769" s="6" t="s">
        <v>7578</v>
      </c>
      <c r="C2769" s="6" t="s">
        <v>10241</v>
      </c>
      <c r="D2769" s="6" t="s">
        <v>10418</v>
      </c>
      <c r="E2769" s="6" t="s">
        <v>10419</v>
      </c>
      <c r="F2769" s="6" t="s">
        <v>10420</v>
      </c>
      <c r="G2769" s="9" t="s">
        <v>10421</v>
      </c>
      <c r="H2769" s="9" t="s">
        <v>18</v>
      </c>
      <c r="I2769" s="16" t="str">
        <f>VLOOKUP(F2769,[1]完整分类结果!$E:$G,3,0)</f>
        <v>普通机械制造业</v>
      </c>
      <c r="J2769" s="16">
        <f>VLOOKUP(I2769,[2]行业排放因子!$A:$B,2,0)</f>
        <v>9.6615781889079599</v>
      </c>
      <c r="K2769" s="9" t="s">
        <v>756</v>
      </c>
    </row>
    <row r="2770" spans="1:11" ht="12.5" customHeight="1" x14ac:dyDescent="0.25">
      <c r="A2770" s="5" t="s">
        <v>10422</v>
      </c>
      <c r="B2770" s="6" t="s">
        <v>7578</v>
      </c>
      <c r="C2770" s="6" t="s">
        <v>10241</v>
      </c>
      <c r="D2770" s="6" t="s">
        <v>10418</v>
      </c>
      <c r="E2770" s="6" t="s">
        <v>10423</v>
      </c>
      <c r="F2770" s="6" t="s">
        <v>10424</v>
      </c>
      <c r="G2770" s="9" t="s">
        <v>10425</v>
      </c>
      <c r="H2770" s="9" t="s">
        <v>18</v>
      </c>
      <c r="I2770" s="16" t="str">
        <f>VLOOKUP(F2770,[1]完整分类结果!$E:$G,3,0)</f>
        <v>普通机械制造业</v>
      </c>
      <c r="J2770" s="16">
        <f>VLOOKUP(I2770,[2]行业排放因子!$A:$B,2,0)</f>
        <v>9.6615781889079599</v>
      </c>
      <c r="K2770" s="9" t="s">
        <v>756</v>
      </c>
    </row>
    <row r="2771" spans="1:11" ht="12.5" customHeight="1" x14ac:dyDescent="0.25">
      <c r="A2771" s="5" t="s">
        <v>10426</v>
      </c>
      <c r="B2771" s="6" t="s">
        <v>7578</v>
      </c>
      <c r="C2771" s="6" t="s">
        <v>10241</v>
      </c>
      <c r="D2771" s="6" t="s">
        <v>10427</v>
      </c>
      <c r="E2771" s="6" t="s">
        <v>10428</v>
      </c>
      <c r="F2771" s="6" t="s">
        <v>10429</v>
      </c>
      <c r="G2771" s="9" t="s">
        <v>10430</v>
      </c>
      <c r="H2771" s="9" t="s">
        <v>18</v>
      </c>
      <c r="I2771" s="16" t="str">
        <f>VLOOKUP(F2771,[1]完整分类结果!$E:$G,3,0)</f>
        <v>普通机械制造业</v>
      </c>
      <c r="J2771" s="16">
        <f>VLOOKUP(I2771,[2]行业排放因子!$A:$B,2,0)</f>
        <v>9.6615781889079599</v>
      </c>
      <c r="K2771" s="9" t="s">
        <v>756</v>
      </c>
    </row>
    <row r="2772" spans="1:11" ht="12.5" customHeight="1" x14ac:dyDescent="0.25">
      <c r="A2772" s="5" t="s">
        <v>10431</v>
      </c>
      <c r="B2772" s="6" t="s">
        <v>7578</v>
      </c>
      <c r="C2772" s="6" t="s">
        <v>10241</v>
      </c>
      <c r="D2772" s="6" t="s">
        <v>10427</v>
      </c>
      <c r="E2772" s="6" t="s">
        <v>10432</v>
      </c>
      <c r="F2772" s="6" t="s">
        <v>10433</v>
      </c>
      <c r="G2772" s="9" t="s">
        <v>10434</v>
      </c>
      <c r="H2772" s="9" t="s">
        <v>18</v>
      </c>
      <c r="I2772" s="16" t="str">
        <f>VLOOKUP(F2772,[1]完整分类结果!$E:$G,3,0)</f>
        <v>普通机械制造业</v>
      </c>
      <c r="J2772" s="16">
        <f>VLOOKUP(I2772,[2]行业排放因子!$A:$B,2,0)</f>
        <v>9.6615781889079599</v>
      </c>
      <c r="K2772" s="9" t="s">
        <v>756</v>
      </c>
    </row>
    <row r="2773" spans="1:11" ht="12.5" customHeight="1" x14ac:dyDescent="0.25">
      <c r="A2773" s="5" t="s">
        <v>10435</v>
      </c>
      <c r="B2773" s="6" t="s">
        <v>7578</v>
      </c>
      <c r="C2773" s="6" t="s">
        <v>10241</v>
      </c>
      <c r="D2773" s="6" t="s">
        <v>10436</v>
      </c>
      <c r="E2773" s="6" t="s">
        <v>10437</v>
      </c>
      <c r="F2773" s="6" t="s">
        <v>10438</v>
      </c>
      <c r="G2773" s="9" t="s">
        <v>10439</v>
      </c>
      <c r="H2773" s="9" t="s">
        <v>18</v>
      </c>
      <c r="I2773" s="16" t="str">
        <f>VLOOKUP(F2773,[1]完整分类结果!$E:$G,3,0)</f>
        <v>普通机械制造业</v>
      </c>
      <c r="J2773" s="16">
        <f>VLOOKUP(I2773,[2]行业排放因子!$A:$B,2,0)</f>
        <v>9.6615781889079599</v>
      </c>
      <c r="K2773" s="9" t="s">
        <v>756</v>
      </c>
    </row>
    <row r="2774" spans="1:11" ht="12.5" customHeight="1" x14ac:dyDescent="0.25">
      <c r="A2774" s="5" t="s">
        <v>10440</v>
      </c>
      <c r="B2774" s="6" t="s">
        <v>7578</v>
      </c>
      <c r="C2774" s="6" t="s">
        <v>10241</v>
      </c>
      <c r="D2774" s="6" t="s">
        <v>10436</v>
      </c>
      <c r="E2774" s="6" t="s">
        <v>10441</v>
      </c>
      <c r="F2774" s="6" t="s">
        <v>10442</v>
      </c>
      <c r="G2774" s="9" t="s">
        <v>10443</v>
      </c>
      <c r="H2774" s="9" t="s">
        <v>18</v>
      </c>
      <c r="I2774" s="16" t="str">
        <f>VLOOKUP(F2774,[1]完整分类结果!$E:$G,3,0)</f>
        <v>普通机械制造业</v>
      </c>
      <c r="J2774" s="16">
        <f>VLOOKUP(I2774,[2]行业排放因子!$A:$B,2,0)</f>
        <v>9.6615781889079599</v>
      </c>
      <c r="K2774" s="9" t="s">
        <v>756</v>
      </c>
    </row>
    <row r="2775" spans="1:11" ht="12.5" customHeight="1" x14ac:dyDescent="0.25">
      <c r="A2775" s="5" t="s">
        <v>10444</v>
      </c>
      <c r="B2775" s="6" t="s">
        <v>7578</v>
      </c>
      <c r="C2775" s="6" t="s">
        <v>10241</v>
      </c>
      <c r="D2775" s="6" t="s">
        <v>10436</v>
      </c>
      <c r="E2775" s="6" t="s">
        <v>10445</v>
      </c>
      <c r="F2775" s="6" t="s">
        <v>10446</v>
      </c>
      <c r="G2775" s="9" t="s">
        <v>10447</v>
      </c>
      <c r="H2775" s="9" t="s">
        <v>18</v>
      </c>
      <c r="I2775" s="16" t="str">
        <f>VLOOKUP(F2775,[1]完整分类结果!$E:$G,3,0)</f>
        <v>普通机械制造业</v>
      </c>
      <c r="J2775" s="16">
        <f>VLOOKUP(I2775,[2]行业排放因子!$A:$B,2,0)</f>
        <v>9.6615781889079599</v>
      </c>
      <c r="K2775" s="9" t="s">
        <v>756</v>
      </c>
    </row>
    <row r="2776" spans="1:11" ht="12.5" customHeight="1" x14ac:dyDescent="0.25">
      <c r="A2776" s="5" t="s">
        <v>10448</v>
      </c>
      <c r="B2776" s="6" t="s">
        <v>7578</v>
      </c>
      <c r="C2776" s="6" t="s">
        <v>10241</v>
      </c>
      <c r="D2776" s="6" t="s">
        <v>10436</v>
      </c>
      <c r="E2776" s="6" t="s">
        <v>10449</v>
      </c>
      <c r="F2776" s="6" t="s">
        <v>10450</v>
      </c>
      <c r="G2776" s="9" t="s">
        <v>10451</v>
      </c>
      <c r="H2776" s="9" t="s">
        <v>18</v>
      </c>
      <c r="I2776" s="16" t="str">
        <f>VLOOKUP(F2776,[1]完整分类结果!$E:$G,3,0)</f>
        <v>普通机械制造业</v>
      </c>
      <c r="J2776" s="16">
        <f>VLOOKUP(I2776,[2]行业排放因子!$A:$B,2,0)</f>
        <v>9.6615781889079599</v>
      </c>
      <c r="K2776" s="9" t="s">
        <v>756</v>
      </c>
    </row>
    <row r="2777" spans="1:11" ht="12.5" customHeight="1" x14ac:dyDescent="0.25">
      <c r="A2777" s="5" t="s">
        <v>10452</v>
      </c>
      <c r="B2777" s="6" t="s">
        <v>7578</v>
      </c>
      <c r="C2777" s="6" t="s">
        <v>10241</v>
      </c>
      <c r="D2777" s="6" t="s">
        <v>10436</v>
      </c>
      <c r="E2777" s="6" t="s">
        <v>10453</v>
      </c>
      <c r="F2777" s="6" t="s">
        <v>10454</v>
      </c>
      <c r="G2777" s="9" t="s">
        <v>10455</v>
      </c>
      <c r="H2777" s="9" t="s">
        <v>18</v>
      </c>
      <c r="I2777" s="16" t="str">
        <f>VLOOKUP(F2777,[1]完整分类结果!$E:$G,3,0)</f>
        <v>普通机械制造业</v>
      </c>
      <c r="J2777" s="16">
        <f>VLOOKUP(I2777,[2]行业排放因子!$A:$B,2,0)</f>
        <v>9.6615781889079599</v>
      </c>
      <c r="K2777" s="9" t="s">
        <v>756</v>
      </c>
    </row>
    <row r="2778" spans="1:11" ht="12.5" customHeight="1" x14ac:dyDescent="0.25">
      <c r="A2778" s="5" t="s">
        <v>10456</v>
      </c>
      <c r="B2778" s="6" t="s">
        <v>7578</v>
      </c>
      <c r="C2778" s="6" t="s">
        <v>10241</v>
      </c>
      <c r="D2778" s="6" t="s">
        <v>10436</v>
      </c>
      <c r="E2778" s="6" t="s">
        <v>10457</v>
      </c>
      <c r="F2778" s="6" t="s">
        <v>10458</v>
      </c>
      <c r="G2778" s="9" t="s">
        <v>10459</v>
      </c>
      <c r="H2778" s="9" t="s">
        <v>18</v>
      </c>
      <c r="I2778" s="16" t="str">
        <f>VLOOKUP(F2778,[1]完整分类结果!$E:$G,3,0)</f>
        <v>普通机械制造业</v>
      </c>
      <c r="J2778" s="16">
        <f>VLOOKUP(I2778,[2]行业排放因子!$A:$B,2,0)</f>
        <v>9.6615781889079599</v>
      </c>
      <c r="K2778" s="9" t="s">
        <v>756</v>
      </c>
    </row>
    <row r="2779" spans="1:11" ht="12.5" customHeight="1" x14ac:dyDescent="0.25">
      <c r="A2779" s="5" t="s">
        <v>10460</v>
      </c>
      <c r="B2779" s="6" t="s">
        <v>7578</v>
      </c>
      <c r="C2779" s="6" t="s">
        <v>10241</v>
      </c>
      <c r="D2779" s="6" t="s">
        <v>10436</v>
      </c>
      <c r="E2779" s="6" t="s">
        <v>10461</v>
      </c>
      <c r="F2779" s="6" t="s">
        <v>10462</v>
      </c>
      <c r="G2779" s="9" t="s">
        <v>10463</v>
      </c>
      <c r="H2779" s="9" t="s">
        <v>18</v>
      </c>
      <c r="I2779" s="16" t="str">
        <f>VLOOKUP(F2779,[1]完整分类结果!$E:$G,3,0)</f>
        <v>普通机械制造业</v>
      </c>
      <c r="J2779" s="16">
        <f>VLOOKUP(I2779,[2]行业排放因子!$A:$B,2,0)</f>
        <v>9.6615781889079599</v>
      </c>
      <c r="K2779" s="9" t="s">
        <v>756</v>
      </c>
    </row>
    <row r="2780" spans="1:11" ht="12.5" customHeight="1" x14ac:dyDescent="0.25">
      <c r="A2780" s="5" t="s">
        <v>10464</v>
      </c>
      <c r="B2780" s="6" t="s">
        <v>7578</v>
      </c>
      <c r="C2780" s="6" t="s">
        <v>10241</v>
      </c>
      <c r="D2780" s="6" t="s">
        <v>10465</v>
      </c>
      <c r="E2780" s="6" t="s">
        <v>10466</v>
      </c>
      <c r="F2780" s="6" t="s">
        <v>10467</v>
      </c>
      <c r="G2780" s="9" t="s">
        <v>10468</v>
      </c>
      <c r="H2780" s="9" t="s">
        <v>18</v>
      </c>
      <c r="I2780" s="16" t="str">
        <f>VLOOKUP(F2780,[1]完整分类结果!$E:$G,3,0)</f>
        <v>普通机械制造业</v>
      </c>
      <c r="J2780" s="16">
        <f>VLOOKUP(I2780,[2]行业排放因子!$A:$B,2,0)</f>
        <v>9.6615781889079599</v>
      </c>
      <c r="K2780" s="9" t="s">
        <v>756</v>
      </c>
    </row>
    <row r="2781" spans="1:11" ht="12.5" customHeight="1" x14ac:dyDescent="0.25">
      <c r="A2781" s="5" t="s">
        <v>10469</v>
      </c>
      <c r="B2781" s="6" t="s">
        <v>7578</v>
      </c>
      <c r="C2781" s="6" t="s">
        <v>10241</v>
      </c>
      <c r="D2781" s="6" t="s">
        <v>10465</v>
      </c>
      <c r="E2781" s="6" t="s">
        <v>10470</v>
      </c>
      <c r="F2781" s="6" t="s">
        <v>10471</v>
      </c>
      <c r="G2781" s="9" t="s">
        <v>10472</v>
      </c>
      <c r="H2781" s="9" t="s">
        <v>18</v>
      </c>
      <c r="I2781" s="16" t="str">
        <f>VLOOKUP(F2781,[1]完整分类结果!$E:$G,3,0)</f>
        <v>普通机械制造业</v>
      </c>
      <c r="J2781" s="16">
        <f>VLOOKUP(I2781,[2]行业排放因子!$A:$B,2,0)</f>
        <v>9.6615781889079599</v>
      </c>
      <c r="K2781" s="9" t="s">
        <v>756</v>
      </c>
    </row>
    <row r="2782" spans="1:11" ht="12.5" customHeight="1" x14ac:dyDescent="0.25">
      <c r="A2782" s="5" t="s">
        <v>10473</v>
      </c>
      <c r="B2782" s="6" t="s">
        <v>7578</v>
      </c>
      <c r="C2782" s="6" t="s">
        <v>10241</v>
      </c>
      <c r="D2782" s="6" t="s">
        <v>10465</v>
      </c>
      <c r="E2782" s="6" t="s">
        <v>10474</v>
      </c>
      <c r="F2782" s="6" t="s">
        <v>10475</v>
      </c>
      <c r="G2782" s="9" t="s">
        <v>10476</v>
      </c>
      <c r="H2782" s="9" t="s">
        <v>18</v>
      </c>
      <c r="I2782" s="16" t="str">
        <f>VLOOKUP(F2782,[1]完整分类结果!$E:$G,3,0)</f>
        <v>普通机械制造业</v>
      </c>
      <c r="J2782" s="16">
        <f>VLOOKUP(I2782,[2]行业排放因子!$A:$B,2,0)</f>
        <v>9.6615781889079599</v>
      </c>
      <c r="K2782" s="9" t="s">
        <v>756</v>
      </c>
    </row>
    <row r="2783" spans="1:11" ht="12.5" customHeight="1" x14ac:dyDescent="0.25">
      <c r="A2783" s="5" t="s">
        <v>10477</v>
      </c>
      <c r="B2783" s="6" t="s">
        <v>7578</v>
      </c>
      <c r="C2783" s="6" t="s">
        <v>10241</v>
      </c>
      <c r="D2783" s="6" t="s">
        <v>10465</v>
      </c>
      <c r="E2783" s="6" t="s">
        <v>10478</v>
      </c>
      <c r="F2783" s="6" t="s">
        <v>10479</v>
      </c>
      <c r="G2783" s="9" t="s">
        <v>10480</v>
      </c>
      <c r="H2783" s="9" t="s">
        <v>18</v>
      </c>
      <c r="I2783" s="16" t="str">
        <f>VLOOKUP(F2783,[1]完整分类结果!$E:$G,3,0)</f>
        <v>普通机械制造业</v>
      </c>
      <c r="J2783" s="16">
        <f>VLOOKUP(I2783,[2]行业排放因子!$A:$B,2,0)</f>
        <v>9.6615781889079599</v>
      </c>
      <c r="K2783" s="9" t="s">
        <v>756</v>
      </c>
    </row>
    <row r="2784" spans="1:11" ht="12.5" customHeight="1" x14ac:dyDescent="0.25">
      <c r="A2784" s="5" t="s">
        <v>10481</v>
      </c>
      <c r="B2784" s="6" t="s">
        <v>7578</v>
      </c>
      <c r="C2784" s="6" t="s">
        <v>10241</v>
      </c>
      <c r="D2784" s="6" t="s">
        <v>10465</v>
      </c>
      <c r="E2784" s="6" t="s">
        <v>10482</v>
      </c>
      <c r="F2784" s="6" t="s">
        <v>10483</v>
      </c>
      <c r="G2784" s="9" t="s">
        <v>10484</v>
      </c>
      <c r="H2784" s="9" t="s">
        <v>18</v>
      </c>
      <c r="I2784" s="16" t="str">
        <f>VLOOKUP(F2784,[1]完整分类结果!$E:$G,3,0)</f>
        <v>普通机械制造业</v>
      </c>
      <c r="J2784" s="16">
        <f>VLOOKUP(I2784,[2]行业排放因子!$A:$B,2,0)</f>
        <v>9.6615781889079599</v>
      </c>
      <c r="K2784" s="9" t="s">
        <v>756</v>
      </c>
    </row>
    <row r="2785" spans="1:11" ht="12.5" customHeight="1" x14ac:dyDescent="0.25">
      <c r="A2785" s="5" t="s">
        <v>10485</v>
      </c>
      <c r="B2785" s="6" t="s">
        <v>7578</v>
      </c>
      <c r="C2785" s="6" t="s">
        <v>10241</v>
      </c>
      <c r="D2785" s="6" t="s">
        <v>10486</v>
      </c>
      <c r="E2785" s="6" t="s">
        <v>10487</v>
      </c>
      <c r="F2785" s="6" t="s">
        <v>10488</v>
      </c>
      <c r="G2785" s="9" t="s">
        <v>10489</v>
      </c>
      <c r="H2785" s="9" t="s">
        <v>18</v>
      </c>
      <c r="I2785" s="16" t="str">
        <f>VLOOKUP(F2785,[1]完整分类结果!$E:$G,3,0)</f>
        <v>普通机械制造业</v>
      </c>
      <c r="J2785" s="16">
        <f>VLOOKUP(I2785,[2]行业排放因子!$A:$B,2,0)</f>
        <v>9.6615781889079599</v>
      </c>
      <c r="K2785" s="9" t="s">
        <v>779</v>
      </c>
    </row>
    <row r="2786" spans="1:11" ht="12.5" customHeight="1" x14ac:dyDescent="0.25">
      <c r="A2786" s="5" t="s">
        <v>10490</v>
      </c>
      <c r="B2786" s="6" t="s">
        <v>7578</v>
      </c>
      <c r="C2786" s="6" t="s">
        <v>10241</v>
      </c>
      <c r="D2786" s="6" t="s">
        <v>10486</v>
      </c>
      <c r="E2786" s="6" t="s">
        <v>10491</v>
      </c>
      <c r="F2786" s="6" t="s">
        <v>10492</v>
      </c>
      <c r="G2786" s="9" t="s">
        <v>10493</v>
      </c>
      <c r="H2786" s="9" t="s">
        <v>18</v>
      </c>
      <c r="I2786" s="16" t="str">
        <f>VLOOKUP(F2786,[1]完整分类结果!$E:$G,3,0)</f>
        <v>普通机械制造业</v>
      </c>
      <c r="J2786" s="16">
        <f>VLOOKUP(I2786,[2]行业排放因子!$A:$B,2,0)</f>
        <v>9.6615781889079599</v>
      </c>
      <c r="K2786" s="9" t="s">
        <v>779</v>
      </c>
    </row>
    <row r="2787" spans="1:11" ht="12.5" customHeight="1" x14ac:dyDescent="0.25">
      <c r="A2787" s="5" t="s">
        <v>10494</v>
      </c>
      <c r="B2787" s="6" t="s">
        <v>7578</v>
      </c>
      <c r="C2787" s="6" t="s">
        <v>10241</v>
      </c>
      <c r="D2787" s="6" t="s">
        <v>10486</v>
      </c>
      <c r="E2787" s="6" t="s">
        <v>10495</v>
      </c>
      <c r="F2787" s="6" t="s">
        <v>10496</v>
      </c>
      <c r="G2787" s="9" t="s">
        <v>10497</v>
      </c>
      <c r="H2787" s="9" t="s">
        <v>18</v>
      </c>
      <c r="I2787" s="16" t="str">
        <f>VLOOKUP(F2787,[1]完整分类结果!$E:$G,3,0)</f>
        <v>普通机械制造业</v>
      </c>
      <c r="J2787" s="16">
        <f>VLOOKUP(I2787,[2]行业排放因子!$A:$B,2,0)</f>
        <v>9.6615781889079599</v>
      </c>
      <c r="K2787" s="9" t="s">
        <v>779</v>
      </c>
    </row>
    <row r="2788" spans="1:11" ht="12.5" customHeight="1" x14ac:dyDescent="0.25">
      <c r="A2788" s="5" t="s">
        <v>10498</v>
      </c>
      <c r="B2788" s="6" t="s">
        <v>7578</v>
      </c>
      <c r="C2788" s="6" t="s">
        <v>10241</v>
      </c>
      <c r="D2788" s="6" t="s">
        <v>10486</v>
      </c>
      <c r="E2788" s="6" t="s">
        <v>10499</v>
      </c>
      <c r="F2788" s="6" t="s">
        <v>10500</v>
      </c>
      <c r="G2788" s="9" t="s">
        <v>10501</v>
      </c>
      <c r="H2788" s="9" t="s">
        <v>18</v>
      </c>
      <c r="I2788" s="16" t="str">
        <f>VLOOKUP(F2788,[1]完整分类结果!$E:$G,3,0)</f>
        <v>普通机械制造业</v>
      </c>
      <c r="J2788" s="16">
        <f>VLOOKUP(I2788,[2]行业排放因子!$A:$B,2,0)</f>
        <v>9.6615781889079599</v>
      </c>
      <c r="K2788" s="9" t="s">
        <v>779</v>
      </c>
    </row>
    <row r="2789" spans="1:11" ht="12.5" customHeight="1" x14ac:dyDescent="0.25">
      <c r="A2789" s="5" t="s">
        <v>10502</v>
      </c>
      <c r="B2789" s="6" t="s">
        <v>7578</v>
      </c>
      <c r="C2789" s="6" t="s">
        <v>10241</v>
      </c>
      <c r="D2789" s="6" t="s">
        <v>10486</v>
      </c>
      <c r="E2789" s="6" t="s">
        <v>10503</v>
      </c>
      <c r="F2789" s="6" t="s">
        <v>10504</v>
      </c>
      <c r="G2789" s="9" t="s">
        <v>10505</v>
      </c>
      <c r="H2789" s="9" t="s">
        <v>18</v>
      </c>
      <c r="I2789" s="16" t="str">
        <f>VLOOKUP(F2789,[1]完整分类结果!$E:$G,3,0)</f>
        <v>普通机械制造业</v>
      </c>
      <c r="J2789" s="16">
        <f>VLOOKUP(I2789,[2]行业排放因子!$A:$B,2,0)</f>
        <v>9.6615781889079599</v>
      </c>
      <c r="K2789" s="9" t="s">
        <v>756</v>
      </c>
    </row>
    <row r="2790" spans="1:11" ht="12.5" customHeight="1" x14ac:dyDescent="0.25">
      <c r="A2790" s="5" t="s">
        <v>10506</v>
      </c>
      <c r="B2790" s="6" t="s">
        <v>7578</v>
      </c>
      <c r="C2790" s="6" t="s">
        <v>10241</v>
      </c>
      <c r="D2790" s="6" t="s">
        <v>10486</v>
      </c>
      <c r="E2790" s="6" t="s">
        <v>10507</v>
      </c>
      <c r="F2790" s="6" t="s">
        <v>10508</v>
      </c>
      <c r="G2790" s="9" t="s">
        <v>10509</v>
      </c>
      <c r="H2790" s="9" t="s">
        <v>18</v>
      </c>
      <c r="I2790" s="16" t="str">
        <f>VLOOKUP(F2790,[1]完整分类结果!$E:$G,3,0)</f>
        <v>普通机械制造业</v>
      </c>
      <c r="J2790" s="16">
        <f>VLOOKUP(I2790,[2]行业排放因子!$A:$B,2,0)</f>
        <v>9.6615781889079599</v>
      </c>
      <c r="K2790" s="9" t="s">
        <v>756</v>
      </c>
    </row>
    <row r="2791" spans="1:11" ht="12.5" customHeight="1" x14ac:dyDescent="0.25">
      <c r="A2791" s="5" t="s">
        <v>10510</v>
      </c>
      <c r="B2791" s="6" t="s">
        <v>7578</v>
      </c>
      <c r="C2791" s="6" t="s">
        <v>10241</v>
      </c>
      <c r="D2791" s="6" t="s">
        <v>10486</v>
      </c>
      <c r="E2791" s="6" t="s">
        <v>10511</v>
      </c>
      <c r="F2791" s="6" t="s">
        <v>10512</v>
      </c>
      <c r="G2791" s="9"/>
      <c r="H2791" s="9" t="s">
        <v>18</v>
      </c>
      <c r="I2791" s="16" t="str">
        <f>VLOOKUP(F2791,[1]完整分类结果!$E:$G,3,0)</f>
        <v>普通机械制造业</v>
      </c>
      <c r="J2791" s="16">
        <f>VLOOKUP(I2791,[2]行业排放因子!$A:$B,2,0)</f>
        <v>9.6615781889079599</v>
      </c>
      <c r="K2791" s="9" t="s">
        <v>779</v>
      </c>
    </row>
    <row r="2792" spans="1:11" ht="12.5" customHeight="1" x14ac:dyDescent="0.25">
      <c r="A2792" s="5" t="s">
        <v>10513</v>
      </c>
      <c r="B2792" s="6" t="s">
        <v>7578</v>
      </c>
      <c r="C2792" s="6" t="s">
        <v>10241</v>
      </c>
      <c r="D2792" s="6" t="s">
        <v>10514</v>
      </c>
      <c r="E2792" s="6" t="s">
        <v>10515</v>
      </c>
      <c r="F2792" s="6" t="s">
        <v>10516</v>
      </c>
      <c r="G2792" s="9" t="s">
        <v>10517</v>
      </c>
      <c r="H2792" s="9" t="s">
        <v>18</v>
      </c>
      <c r="I2792" s="16" t="str">
        <f>VLOOKUP(F2792,[1]完整分类结果!$E:$G,3,0)</f>
        <v>普通机械制造业</v>
      </c>
      <c r="J2792" s="16">
        <f>VLOOKUP(I2792,[2]行业排放因子!$A:$B,2,0)</f>
        <v>9.6615781889079599</v>
      </c>
      <c r="K2792" s="9" t="s">
        <v>756</v>
      </c>
    </row>
    <row r="2793" spans="1:11" ht="12.5" customHeight="1" x14ac:dyDescent="0.25">
      <c r="A2793" s="5" t="s">
        <v>10518</v>
      </c>
      <c r="B2793" s="6" t="s">
        <v>7578</v>
      </c>
      <c r="C2793" s="6" t="s">
        <v>10241</v>
      </c>
      <c r="D2793" s="6" t="s">
        <v>10514</v>
      </c>
      <c r="E2793" s="6" t="s">
        <v>10519</v>
      </c>
      <c r="F2793" s="6" t="s">
        <v>10520</v>
      </c>
      <c r="G2793" s="9" t="s">
        <v>10521</v>
      </c>
      <c r="H2793" s="9" t="s">
        <v>18</v>
      </c>
      <c r="I2793" s="16" t="str">
        <f>VLOOKUP(F2793,[1]完整分类结果!$E:$G,3,0)</f>
        <v>普通机械制造业</v>
      </c>
      <c r="J2793" s="16">
        <f>VLOOKUP(I2793,[2]行业排放因子!$A:$B,2,0)</f>
        <v>9.6615781889079599</v>
      </c>
      <c r="K2793" s="9" t="s">
        <v>756</v>
      </c>
    </row>
    <row r="2794" spans="1:11" ht="12.5" customHeight="1" x14ac:dyDescent="0.25">
      <c r="A2794" s="5" t="s">
        <v>10522</v>
      </c>
      <c r="B2794" s="6" t="s">
        <v>7578</v>
      </c>
      <c r="C2794" s="6" t="s">
        <v>10241</v>
      </c>
      <c r="D2794" s="6" t="s">
        <v>10514</v>
      </c>
      <c r="E2794" s="6" t="s">
        <v>10523</v>
      </c>
      <c r="F2794" s="6" t="s">
        <v>10514</v>
      </c>
      <c r="G2794" s="9"/>
      <c r="H2794" s="9" t="s">
        <v>18</v>
      </c>
      <c r="I2794" s="16" t="str">
        <f>VLOOKUP(F2794,[1]完整分类结果!$E:$G,3,0)</f>
        <v>普通机械制造业</v>
      </c>
      <c r="J2794" s="16">
        <f>VLOOKUP(I2794,[2]行业排放因子!$A:$B,2,0)</f>
        <v>9.6615781889079599</v>
      </c>
      <c r="K2794" s="9" t="s">
        <v>756</v>
      </c>
    </row>
    <row r="2795" spans="1:11" ht="12.5" customHeight="1" x14ac:dyDescent="0.25">
      <c r="A2795" s="5" t="s">
        <v>10524</v>
      </c>
      <c r="B2795" s="6" t="s">
        <v>7578</v>
      </c>
      <c r="C2795" s="6" t="s">
        <v>10241</v>
      </c>
      <c r="D2795" s="6" t="s">
        <v>10514</v>
      </c>
      <c r="E2795" s="6" t="s">
        <v>10525</v>
      </c>
      <c r="F2795" s="6" t="s">
        <v>10526</v>
      </c>
      <c r="G2795" s="9"/>
      <c r="H2795" s="9" t="s">
        <v>18</v>
      </c>
      <c r="I2795" s="16" t="str">
        <f>VLOOKUP(F2795,[1]完整分类结果!$E:$G,3,0)</f>
        <v>普通机械制造业</v>
      </c>
      <c r="J2795" s="16">
        <f>VLOOKUP(I2795,[2]行业排放因子!$A:$B,2,0)</f>
        <v>9.6615781889079599</v>
      </c>
      <c r="K2795" s="9" t="s">
        <v>756</v>
      </c>
    </row>
    <row r="2796" spans="1:11" ht="12.5" customHeight="1" x14ac:dyDescent="0.25">
      <c r="A2796" s="5" t="s">
        <v>10527</v>
      </c>
      <c r="B2796" s="6" t="s">
        <v>7578</v>
      </c>
      <c r="C2796" s="6" t="s">
        <v>10241</v>
      </c>
      <c r="D2796" s="6" t="s">
        <v>10528</v>
      </c>
      <c r="E2796" s="6" t="s">
        <v>10529</v>
      </c>
      <c r="F2796" s="6" t="s">
        <v>10530</v>
      </c>
      <c r="G2796" s="9" t="s">
        <v>10531</v>
      </c>
      <c r="H2796" s="9" t="s">
        <v>18</v>
      </c>
      <c r="I2796" s="16" t="str">
        <f>VLOOKUP(F2796,[1]完整分类结果!$E:$G,3,0)</f>
        <v>普通机械制造业</v>
      </c>
      <c r="J2796" s="16">
        <f>VLOOKUP(I2796,[2]行业排放因子!$A:$B,2,0)</f>
        <v>9.6615781889079599</v>
      </c>
      <c r="K2796" s="9" t="s">
        <v>756</v>
      </c>
    </row>
    <row r="2797" spans="1:11" ht="12.5" customHeight="1" x14ac:dyDescent="0.25">
      <c r="A2797" s="5" t="s">
        <v>10532</v>
      </c>
      <c r="B2797" s="6" t="s">
        <v>7578</v>
      </c>
      <c r="C2797" s="6" t="s">
        <v>10241</v>
      </c>
      <c r="D2797" s="6" t="s">
        <v>10528</v>
      </c>
      <c r="E2797" s="6" t="s">
        <v>10533</v>
      </c>
      <c r="F2797" s="6" t="s">
        <v>10534</v>
      </c>
      <c r="G2797" s="9" t="s">
        <v>10535</v>
      </c>
      <c r="H2797" s="9" t="s">
        <v>18</v>
      </c>
      <c r="I2797" s="16" t="str">
        <f>VLOOKUP(F2797,[1]完整分类结果!$E:$G,3,0)</f>
        <v>普通机械制造业</v>
      </c>
      <c r="J2797" s="16">
        <f>VLOOKUP(I2797,[2]行业排放因子!$A:$B,2,0)</f>
        <v>9.6615781889079599</v>
      </c>
      <c r="K2797" s="9" t="s">
        <v>756</v>
      </c>
    </row>
    <row r="2798" spans="1:11" ht="12.5" customHeight="1" x14ac:dyDescent="0.25">
      <c r="A2798" s="5" t="s">
        <v>10536</v>
      </c>
      <c r="B2798" s="6" t="s">
        <v>7578</v>
      </c>
      <c r="C2798" s="6" t="s">
        <v>10241</v>
      </c>
      <c r="D2798" s="6" t="s">
        <v>10528</v>
      </c>
      <c r="E2798" s="6" t="s">
        <v>10537</v>
      </c>
      <c r="F2798" s="6" t="s">
        <v>10538</v>
      </c>
      <c r="G2798" s="9" t="s">
        <v>10539</v>
      </c>
      <c r="H2798" s="9" t="s">
        <v>18</v>
      </c>
      <c r="I2798" s="16" t="str">
        <f>VLOOKUP(F2798,[1]完整分类结果!$E:$G,3,0)</f>
        <v>普通机械制造业</v>
      </c>
      <c r="J2798" s="16">
        <f>VLOOKUP(I2798,[2]行业排放因子!$A:$B,2,0)</f>
        <v>9.6615781889079599</v>
      </c>
      <c r="K2798" s="9" t="s">
        <v>756</v>
      </c>
    </row>
    <row r="2799" spans="1:11" ht="12.5" customHeight="1" x14ac:dyDescent="0.25">
      <c r="A2799" s="5" t="s">
        <v>10540</v>
      </c>
      <c r="B2799" s="6" t="s">
        <v>7578</v>
      </c>
      <c r="C2799" s="6" t="s">
        <v>10241</v>
      </c>
      <c r="D2799" s="6" t="s">
        <v>10528</v>
      </c>
      <c r="E2799" s="6" t="s">
        <v>10541</v>
      </c>
      <c r="F2799" s="6" t="s">
        <v>10542</v>
      </c>
      <c r="G2799" s="9"/>
      <c r="H2799" s="9" t="s">
        <v>18</v>
      </c>
      <c r="I2799" s="16" t="str">
        <f>VLOOKUP(F2799,[1]完整分类结果!$E:$G,3,0)</f>
        <v>普通机械制造业</v>
      </c>
      <c r="J2799" s="16">
        <f>VLOOKUP(I2799,[2]行业排放因子!$A:$B,2,0)</f>
        <v>9.6615781889079599</v>
      </c>
      <c r="K2799" s="9" t="s">
        <v>756</v>
      </c>
    </row>
    <row r="2800" spans="1:11" ht="12.5" customHeight="1" x14ac:dyDescent="0.25">
      <c r="A2800" s="5" t="s">
        <v>10543</v>
      </c>
      <c r="B2800" s="6" t="s">
        <v>7578</v>
      </c>
      <c r="C2800" s="6" t="s">
        <v>10241</v>
      </c>
      <c r="D2800" s="6" t="s">
        <v>10544</v>
      </c>
      <c r="E2800" s="6" t="s">
        <v>10545</v>
      </c>
      <c r="F2800" s="6" t="s">
        <v>10546</v>
      </c>
      <c r="G2800" s="9" t="s">
        <v>10547</v>
      </c>
      <c r="H2800" s="9" t="s">
        <v>18</v>
      </c>
      <c r="I2800" s="16" t="str">
        <f>VLOOKUP(F2800,[1]完整分类结果!$E:$G,3,0)</f>
        <v>普通机械制造业</v>
      </c>
      <c r="J2800" s="16">
        <f>VLOOKUP(I2800,[2]行业排放因子!$A:$B,2,0)</f>
        <v>9.6615781889079599</v>
      </c>
      <c r="K2800" s="9" t="s">
        <v>756</v>
      </c>
    </row>
    <row r="2801" spans="1:11" ht="12.5" customHeight="1" x14ac:dyDescent="0.25">
      <c r="A2801" s="5" t="s">
        <v>10548</v>
      </c>
      <c r="B2801" s="6" t="s">
        <v>7578</v>
      </c>
      <c r="C2801" s="6" t="s">
        <v>10241</v>
      </c>
      <c r="D2801" s="6" t="s">
        <v>10544</v>
      </c>
      <c r="E2801" s="6" t="s">
        <v>10549</v>
      </c>
      <c r="F2801" s="6" t="s">
        <v>10550</v>
      </c>
      <c r="G2801" s="9" t="s">
        <v>10551</v>
      </c>
      <c r="H2801" s="9" t="s">
        <v>18</v>
      </c>
      <c r="I2801" s="16" t="str">
        <f>VLOOKUP(F2801,[1]完整分类结果!$E:$G,3,0)</f>
        <v>普通机械制造业</v>
      </c>
      <c r="J2801" s="16">
        <f>VLOOKUP(I2801,[2]行业排放因子!$A:$B,2,0)</f>
        <v>9.6615781889079599</v>
      </c>
      <c r="K2801" s="9" t="s">
        <v>756</v>
      </c>
    </row>
    <row r="2802" spans="1:11" ht="12.5" customHeight="1" x14ac:dyDescent="0.25">
      <c r="A2802" s="5" t="s">
        <v>10552</v>
      </c>
      <c r="B2802" s="6" t="s">
        <v>7578</v>
      </c>
      <c r="C2802" s="6" t="s">
        <v>10241</v>
      </c>
      <c r="D2802" s="6" t="s">
        <v>10544</v>
      </c>
      <c r="E2802" s="6" t="s">
        <v>10553</v>
      </c>
      <c r="F2802" s="6" t="s">
        <v>10554</v>
      </c>
      <c r="G2802" s="9" t="s">
        <v>10555</v>
      </c>
      <c r="H2802" s="9" t="s">
        <v>18</v>
      </c>
      <c r="I2802" s="16" t="str">
        <f>VLOOKUP(F2802,[1]完整分类结果!$E:$G,3,0)</f>
        <v>普通机械制造业</v>
      </c>
      <c r="J2802" s="16">
        <f>VLOOKUP(I2802,[2]行业排放因子!$A:$B,2,0)</f>
        <v>9.6615781889079599</v>
      </c>
      <c r="K2802" s="9" t="s">
        <v>756</v>
      </c>
    </row>
    <row r="2803" spans="1:11" ht="12.5" customHeight="1" x14ac:dyDescent="0.25">
      <c r="A2803" s="5" t="s">
        <v>10556</v>
      </c>
      <c r="B2803" s="6" t="s">
        <v>7578</v>
      </c>
      <c r="C2803" s="6" t="s">
        <v>10241</v>
      </c>
      <c r="D2803" s="6" t="s">
        <v>10544</v>
      </c>
      <c r="E2803" s="6" t="s">
        <v>10557</v>
      </c>
      <c r="F2803" s="6" t="s">
        <v>10558</v>
      </c>
      <c r="G2803" s="9"/>
      <c r="H2803" s="9" t="s">
        <v>18</v>
      </c>
      <c r="I2803" s="16" t="str">
        <f>VLOOKUP(F2803,[1]完整分类结果!$E:$G,3,0)</f>
        <v>普通机械制造业</v>
      </c>
      <c r="J2803" s="16">
        <f>VLOOKUP(I2803,[2]行业排放因子!$A:$B,2,0)</f>
        <v>9.6615781889079599</v>
      </c>
      <c r="K2803" s="9" t="s">
        <v>756</v>
      </c>
    </row>
    <row r="2804" spans="1:11" ht="12.5" customHeight="1" x14ac:dyDescent="0.25">
      <c r="A2804" s="5" t="s">
        <v>10559</v>
      </c>
      <c r="B2804" s="6" t="s">
        <v>7578</v>
      </c>
      <c r="C2804" s="6" t="s">
        <v>10241</v>
      </c>
      <c r="D2804" s="6" t="s">
        <v>10560</v>
      </c>
      <c r="E2804" s="6" t="s">
        <v>10561</v>
      </c>
      <c r="F2804" s="6" t="s">
        <v>10562</v>
      </c>
      <c r="G2804" s="9" t="s">
        <v>10563</v>
      </c>
      <c r="H2804" s="9" t="s">
        <v>18</v>
      </c>
      <c r="I2804" s="16" t="str">
        <f>VLOOKUP(F2804,[1]完整分类结果!$E:$G,3,0)</f>
        <v>普通机械制造业</v>
      </c>
      <c r="J2804" s="16">
        <f>VLOOKUP(I2804,[2]行业排放因子!$A:$B,2,0)</f>
        <v>9.6615781889079599</v>
      </c>
      <c r="K2804" s="9" t="s">
        <v>756</v>
      </c>
    </row>
    <row r="2805" spans="1:11" ht="12.5" customHeight="1" x14ac:dyDescent="0.25">
      <c r="A2805" s="5" t="s">
        <v>10564</v>
      </c>
      <c r="B2805" s="6" t="s">
        <v>7578</v>
      </c>
      <c r="C2805" s="6" t="s">
        <v>10241</v>
      </c>
      <c r="D2805" s="6" t="s">
        <v>10560</v>
      </c>
      <c r="E2805" s="6" t="s">
        <v>10565</v>
      </c>
      <c r="F2805" s="6" t="s">
        <v>10566</v>
      </c>
      <c r="G2805" s="9" t="s">
        <v>10567</v>
      </c>
      <c r="H2805" s="9" t="s">
        <v>18</v>
      </c>
      <c r="I2805" s="16" t="str">
        <f>VLOOKUP(F2805,[1]完整分类结果!$E:$G,3,0)</f>
        <v>普通机械制造业</v>
      </c>
      <c r="J2805" s="16">
        <f>VLOOKUP(I2805,[2]行业排放因子!$A:$B,2,0)</f>
        <v>9.6615781889079599</v>
      </c>
      <c r="K2805" s="9" t="s">
        <v>756</v>
      </c>
    </row>
    <row r="2806" spans="1:11" ht="12.5" customHeight="1" x14ac:dyDescent="0.25">
      <c r="A2806" s="5" t="s">
        <v>10568</v>
      </c>
      <c r="B2806" s="6" t="s">
        <v>7578</v>
      </c>
      <c r="C2806" s="6" t="s">
        <v>10241</v>
      </c>
      <c r="D2806" s="6" t="s">
        <v>10560</v>
      </c>
      <c r="E2806" s="6" t="s">
        <v>10569</v>
      </c>
      <c r="F2806" s="6" t="s">
        <v>10570</v>
      </c>
      <c r="G2806" s="9" t="s">
        <v>10571</v>
      </c>
      <c r="H2806" s="9" t="s">
        <v>18</v>
      </c>
      <c r="I2806" s="16" t="str">
        <f>VLOOKUP(F2806,[1]完整分类结果!$E:$G,3,0)</f>
        <v>普通机械制造业</v>
      </c>
      <c r="J2806" s="16">
        <f>VLOOKUP(I2806,[2]行业排放因子!$A:$B,2,0)</f>
        <v>9.6615781889079599</v>
      </c>
      <c r="K2806" s="9" t="s">
        <v>756</v>
      </c>
    </row>
    <row r="2807" spans="1:11" ht="12.5" customHeight="1" x14ac:dyDescent="0.25">
      <c r="A2807" s="5" t="s">
        <v>10572</v>
      </c>
      <c r="B2807" s="6" t="s">
        <v>7578</v>
      </c>
      <c r="C2807" s="6" t="s">
        <v>10241</v>
      </c>
      <c r="D2807" s="6" t="s">
        <v>10560</v>
      </c>
      <c r="E2807" s="6" t="s">
        <v>10573</v>
      </c>
      <c r="F2807" s="6" t="s">
        <v>10574</v>
      </c>
      <c r="G2807" s="9"/>
      <c r="H2807" s="9" t="s">
        <v>18</v>
      </c>
      <c r="I2807" s="16" t="str">
        <f>VLOOKUP(F2807,[1]完整分类结果!$E:$G,3,0)</f>
        <v>普通机械制造业</v>
      </c>
      <c r="J2807" s="16">
        <f>VLOOKUP(I2807,[2]行业排放因子!$A:$B,2,0)</f>
        <v>9.6615781889079599</v>
      </c>
      <c r="K2807" s="9" t="s">
        <v>756</v>
      </c>
    </row>
    <row r="2808" spans="1:11" ht="12.5" customHeight="1" x14ac:dyDescent="0.25">
      <c r="A2808" s="5" t="s">
        <v>10575</v>
      </c>
      <c r="B2808" s="6" t="s">
        <v>7578</v>
      </c>
      <c r="C2808" s="6" t="s">
        <v>10241</v>
      </c>
      <c r="D2808" s="6" t="s">
        <v>10560</v>
      </c>
      <c r="E2808" s="6" t="s">
        <v>10576</v>
      </c>
      <c r="F2808" s="6" t="s">
        <v>10577</v>
      </c>
      <c r="G2808" s="9"/>
      <c r="H2808" s="9" t="s">
        <v>18</v>
      </c>
      <c r="I2808" s="16" t="str">
        <f>VLOOKUP(F2808,[1]完整分类结果!$E:$G,3,0)</f>
        <v>普通机械制造业</v>
      </c>
      <c r="J2808" s="16">
        <f>VLOOKUP(I2808,[2]行业排放因子!$A:$B,2,0)</f>
        <v>9.6615781889079599</v>
      </c>
      <c r="K2808" s="9" t="s">
        <v>756</v>
      </c>
    </row>
    <row r="2809" spans="1:11" ht="12.5" customHeight="1" x14ac:dyDescent="0.25">
      <c r="A2809" s="5" t="s">
        <v>10578</v>
      </c>
      <c r="B2809" s="6" t="s">
        <v>7578</v>
      </c>
      <c r="C2809" s="6" t="s">
        <v>10241</v>
      </c>
      <c r="D2809" s="6" t="s">
        <v>10579</v>
      </c>
      <c r="E2809" s="6" t="s">
        <v>10580</v>
      </c>
      <c r="F2809" s="6" t="s">
        <v>10581</v>
      </c>
      <c r="G2809" s="9" t="s">
        <v>10582</v>
      </c>
      <c r="H2809" s="9" t="s">
        <v>18</v>
      </c>
      <c r="I2809" s="16" t="str">
        <f>VLOOKUP(F2809,[1]完整分类结果!$E:$G,3,0)</f>
        <v>普通机械制造业</v>
      </c>
      <c r="J2809" s="16">
        <f>VLOOKUP(I2809,[2]行业排放因子!$A:$B,2,0)</f>
        <v>9.6615781889079599</v>
      </c>
      <c r="K2809" s="9" t="s">
        <v>756</v>
      </c>
    </row>
    <row r="2810" spans="1:11" ht="12.5" customHeight="1" x14ac:dyDescent="0.25">
      <c r="A2810" s="5" t="s">
        <v>10583</v>
      </c>
      <c r="B2810" s="6" t="s">
        <v>7578</v>
      </c>
      <c r="C2810" s="6" t="s">
        <v>10241</v>
      </c>
      <c r="D2810" s="6" t="s">
        <v>10579</v>
      </c>
      <c r="E2810" s="6" t="s">
        <v>10584</v>
      </c>
      <c r="F2810" s="6" t="s">
        <v>10585</v>
      </c>
      <c r="G2810" s="9" t="s">
        <v>10586</v>
      </c>
      <c r="H2810" s="9" t="s">
        <v>18</v>
      </c>
      <c r="I2810" s="16" t="str">
        <f>VLOOKUP(F2810,[1]完整分类结果!$E:$G,3,0)</f>
        <v>普通机械制造业</v>
      </c>
      <c r="J2810" s="16">
        <f>VLOOKUP(I2810,[2]行业排放因子!$A:$B,2,0)</f>
        <v>9.6615781889079599</v>
      </c>
      <c r="K2810" s="9" t="s">
        <v>756</v>
      </c>
    </row>
    <row r="2811" spans="1:11" ht="12.5" customHeight="1" x14ac:dyDescent="0.25">
      <c r="A2811" s="5" t="s">
        <v>10587</v>
      </c>
      <c r="B2811" s="6" t="s">
        <v>7578</v>
      </c>
      <c r="C2811" s="6" t="s">
        <v>10241</v>
      </c>
      <c r="D2811" s="6" t="s">
        <v>10579</v>
      </c>
      <c r="E2811" s="6" t="s">
        <v>10588</v>
      </c>
      <c r="F2811" s="6" t="s">
        <v>10589</v>
      </c>
      <c r="G2811" s="9" t="s">
        <v>10590</v>
      </c>
      <c r="H2811" s="9" t="s">
        <v>18</v>
      </c>
      <c r="I2811" s="16" t="str">
        <f>VLOOKUP(F2811,[1]完整分类结果!$E:$G,3,0)</f>
        <v>普通机械制造业</v>
      </c>
      <c r="J2811" s="16">
        <f>VLOOKUP(I2811,[2]行业排放因子!$A:$B,2,0)</f>
        <v>9.6615781889079599</v>
      </c>
      <c r="K2811" s="9" t="s">
        <v>756</v>
      </c>
    </row>
    <row r="2812" spans="1:11" ht="12.5" customHeight="1" x14ac:dyDescent="0.25">
      <c r="A2812" s="5" t="s">
        <v>10591</v>
      </c>
      <c r="B2812" s="6" t="s">
        <v>7578</v>
      </c>
      <c r="C2812" s="6" t="s">
        <v>10241</v>
      </c>
      <c r="D2812" s="6" t="s">
        <v>10579</v>
      </c>
      <c r="E2812" s="6" t="s">
        <v>10592</v>
      </c>
      <c r="F2812" s="6" t="s">
        <v>10593</v>
      </c>
      <c r="G2812" s="9" t="s">
        <v>10594</v>
      </c>
      <c r="H2812" s="9" t="s">
        <v>18</v>
      </c>
      <c r="I2812" s="16" t="str">
        <f>VLOOKUP(F2812,[1]完整分类结果!$E:$G,3,0)</f>
        <v>普通机械制造业</v>
      </c>
      <c r="J2812" s="16">
        <f>VLOOKUP(I2812,[2]行业排放因子!$A:$B,2,0)</f>
        <v>9.6615781889079599</v>
      </c>
      <c r="K2812" s="9" t="s">
        <v>756</v>
      </c>
    </row>
    <row r="2813" spans="1:11" ht="12.5" customHeight="1" x14ac:dyDescent="0.25">
      <c r="A2813" s="5" t="s">
        <v>10595</v>
      </c>
      <c r="B2813" s="6" t="s">
        <v>7578</v>
      </c>
      <c r="C2813" s="6" t="s">
        <v>10241</v>
      </c>
      <c r="D2813" s="6" t="s">
        <v>10579</v>
      </c>
      <c r="E2813" s="6" t="s">
        <v>10596</v>
      </c>
      <c r="F2813" s="6" t="s">
        <v>10597</v>
      </c>
      <c r="G2813" s="9" t="s">
        <v>10598</v>
      </c>
      <c r="H2813" s="9" t="s">
        <v>18</v>
      </c>
      <c r="I2813" s="16" t="str">
        <f>VLOOKUP(F2813,[1]完整分类结果!$E:$G,3,0)</f>
        <v>普通机械制造业</v>
      </c>
      <c r="J2813" s="16">
        <f>VLOOKUP(I2813,[2]行业排放因子!$A:$B,2,0)</f>
        <v>9.6615781889079599</v>
      </c>
      <c r="K2813" s="9" t="s">
        <v>756</v>
      </c>
    </row>
    <row r="2814" spans="1:11" ht="12.5" customHeight="1" x14ac:dyDescent="0.25">
      <c r="A2814" s="5" t="s">
        <v>10599</v>
      </c>
      <c r="B2814" s="6" t="s">
        <v>7578</v>
      </c>
      <c r="C2814" s="6" t="s">
        <v>10241</v>
      </c>
      <c r="D2814" s="6" t="s">
        <v>10579</v>
      </c>
      <c r="E2814" s="6" t="s">
        <v>10600</v>
      </c>
      <c r="F2814" s="6" t="s">
        <v>10601</v>
      </c>
      <c r="G2814" s="9" t="s">
        <v>10602</v>
      </c>
      <c r="H2814" s="9" t="s">
        <v>18</v>
      </c>
      <c r="I2814" s="16" t="str">
        <f>VLOOKUP(F2814,[1]完整分类结果!$E:$G,3,0)</f>
        <v>普通机械制造业</v>
      </c>
      <c r="J2814" s="16">
        <f>VLOOKUP(I2814,[2]行业排放因子!$A:$B,2,0)</f>
        <v>9.6615781889079599</v>
      </c>
      <c r="K2814" s="9" t="s">
        <v>756</v>
      </c>
    </row>
    <row r="2815" spans="1:11" ht="12.5" customHeight="1" x14ac:dyDescent="0.25">
      <c r="A2815" s="5" t="s">
        <v>10603</v>
      </c>
      <c r="B2815" s="6" t="s">
        <v>7578</v>
      </c>
      <c r="C2815" s="6" t="s">
        <v>10241</v>
      </c>
      <c r="D2815" s="6" t="s">
        <v>10579</v>
      </c>
      <c r="E2815" s="6" t="s">
        <v>10604</v>
      </c>
      <c r="F2815" s="6" t="s">
        <v>10605</v>
      </c>
      <c r="G2815" s="9" t="s">
        <v>10606</v>
      </c>
      <c r="H2815" s="9" t="s">
        <v>18</v>
      </c>
      <c r="I2815" s="16" t="str">
        <f>VLOOKUP(F2815,[1]完整分类结果!$E:$G,3,0)</f>
        <v>普通机械制造业</v>
      </c>
      <c r="J2815" s="16">
        <f>VLOOKUP(I2815,[2]行业排放因子!$A:$B,2,0)</f>
        <v>9.6615781889079599</v>
      </c>
      <c r="K2815" s="9" t="s">
        <v>756</v>
      </c>
    </row>
    <row r="2816" spans="1:11" ht="12.5" customHeight="1" x14ac:dyDescent="0.25">
      <c r="A2816" s="5" t="s">
        <v>10607</v>
      </c>
      <c r="B2816" s="6" t="s">
        <v>7578</v>
      </c>
      <c r="C2816" s="6" t="s">
        <v>10241</v>
      </c>
      <c r="D2816" s="6" t="s">
        <v>10579</v>
      </c>
      <c r="E2816" s="6" t="s">
        <v>10608</v>
      </c>
      <c r="F2816" s="6" t="s">
        <v>10609</v>
      </c>
      <c r="G2816" s="9"/>
      <c r="H2816" s="9" t="s">
        <v>18</v>
      </c>
      <c r="I2816" s="16" t="str">
        <f>VLOOKUP(F2816,[1]完整分类结果!$E:$G,3,0)</f>
        <v>普通机械制造业</v>
      </c>
      <c r="J2816" s="16">
        <f>VLOOKUP(I2816,[2]行业排放因子!$A:$B,2,0)</f>
        <v>9.6615781889079599</v>
      </c>
      <c r="K2816" s="9" t="s">
        <v>756</v>
      </c>
    </row>
    <row r="2817" spans="1:11" ht="12.5" customHeight="1" x14ac:dyDescent="0.25">
      <c r="A2817" s="5" t="s">
        <v>10610</v>
      </c>
      <c r="B2817" s="6" t="s">
        <v>7578</v>
      </c>
      <c r="C2817" s="6" t="s">
        <v>10241</v>
      </c>
      <c r="D2817" s="6" t="s">
        <v>10611</v>
      </c>
      <c r="E2817" s="6" t="s">
        <v>10612</v>
      </c>
      <c r="F2817" s="6" t="s">
        <v>10613</v>
      </c>
      <c r="G2817" s="9" t="s">
        <v>10614</v>
      </c>
      <c r="H2817" s="9" t="s">
        <v>18</v>
      </c>
      <c r="I2817" s="16" t="str">
        <f>VLOOKUP(F2817,[1]完整分类结果!$E:$G,3,0)</f>
        <v>普通机械制造业</v>
      </c>
      <c r="J2817" s="16">
        <f>VLOOKUP(I2817,[2]行业排放因子!$A:$B,2,0)</f>
        <v>9.6615781889079599</v>
      </c>
      <c r="K2817" s="9" t="s">
        <v>3898</v>
      </c>
    </row>
    <row r="2818" spans="1:11" ht="12.5" customHeight="1" x14ac:dyDescent="0.25">
      <c r="A2818" s="5" t="s">
        <v>10615</v>
      </c>
      <c r="B2818" s="6" t="s">
        <v>7578</v>
      </c>
      <c r="C2818" s="6" t="s">
        <v>10241</v>
      </c>
      <c r="D2818" s="6" t="s">
        <v>10611</v>
      </c>
      <c r="E2818" s="6" t="s">
        <v>10616</v>
      </c>
      <c r="F2818" s="6" t="s">
        <v>10617</v>
      </c>
      <c r="G2818" s="9" t="s">
        <v>10618</v>
      </c>
      <c r="H2818" s="9" t="s">
        <v>18</v>
      </c>
      <c r="I2818" s="16" t="str">
        <f>VLOOKUP(F2818,[1]完整分类结果!$E:$G,3,0)</f>
        <v>普通机械制造业</v>
      </c>
      <c r="J2818" s="16">
        <f>VLOOKUP(I2818,[2]行业排放因子!$A:$B,2,0)</f>
        <v>9.6615781889079599</v>
      </c>
      <c r="K2818" s="9" t="s">
        <v>756</v>
      </c>
    </row>
    <row r="2819" spans="1:11" ht="12.5" customHeight="1" x14ac:dyDescent="0.25">
      <c r="A2819" s="5" t="s">
        <v>10619</v>
      </c>
      <c r="B2819" s="6" t="s">
        <v>7578</v>
      </c>
      <c r="C2819" s="6" t="s">
        <v>10241</v>
      </c>
      <c r="D2819" s="6" t="s">
        <v>10611</v>
      </c>
      <c r="E2819" s="6" t="s">
        <v>10620</v>
      </c>
      <c r="F2819" s="6" t="s">
        <v>10621</v>
      </c>
      <c r="G2819" s="9"/>
      <c r="H2819" s="9" t="s">
        <v>18</v>
      </c>
      <c r="I2819" s="16" t="str">
        <f>VLOOKUP(F2819,[1]完整分类结果!$E:$G,3,0)</f>
        <v>普通机械制造业</v>
      </c>
      <c r="J2819" s="16">
        <f>VLOOKUP(I2819,[2]行业排放因子!$A:$B,2,0)</f>
        <v>9.6615781889079599</v>
      </c>
      <c r="K2819" s="9" t="s">
        <v>756</v>
      </c>
    </row>
    <row r="2820" spans="1:11" ht="12.5" customHeight="1" x14ac:dyDescent="0.25">
      <c r="A2820" s="5" t="s">
        <v>10622</v>
      </c>
      <c r="B2820" s="6" t="s">
        <v>7578</v>
      </c>
      <c r="C2820" s="6" t="s">
        <v>10241</v>
      </c>
      <c r="D2820" s="6" t="s">
        <v>10611</v>
      </c>
      <c r="E2820" s="6" t="s">
        <v>10623</v>
      </c>
      <c r="F2820" s="6" t="s">
        <v>10624</v>
      </c>
      <c r="G2820" s="9" t="s">
        <v>10625</v>
      </c>
      <c r="H2820" s="9" t="s">
        <v>18</v>
      </c>
      <c r="I2820" s="16" t="str">
        <f>VLOOKUP(F2820,[1]完整分类结果!$E:$G,3,0)</f>
        <v>普通机械制造业</v>
      </c>
      <c r="J2820" s="16">
        <f>VLOOKUP(I2820,[2]行业排放因子!$A:$B,2,0)</f>
        <v>9.6615781889079599</v>
      </c>
      <c r="K2820" s="9" t="s">
        <v>756</v>
      </c>
    </row>
    <row r="2821" spans="1:11" ht="12.5" customHeight="1" x14ac:dyDescent="0.25">
      <c r="A2821" s="5" t="s">
        <v>10626</v>
      </c>
      <c r="B2821" s="6" t="s">
        <v>7578</v>
      </c>
      <c r="C2821" s="6" t="s">
        <v>10241</v>
      </c>
      <c r="D2821" s="6" t="s">
        <v>10611</v>
      </c>
      <c r="E2821" s="6" t="s">
        <v>10627</v>
      </c>
      <c r="F2821" s="6" t="s">
        <v>10628</v>
      </c>
      <c r="G2821" s="9" t="s">
        <v>10629</v>
      </c>
      <c r="H2821" s="9" t="s">
        <v>18</v>
      </c>
      <c r="I2821" s="16" t="str">
        <f>VLOOKUP(F2821,[1]完整分类结果!$E:$G,3,0)</f>
        <v>普通机械制造业</v>
      </c>
      <c r="J2821" s="16">
        <f>VLOOKUP(I2821,[2]行业排放因子!$A:$B,2,0)</f>
        <v>9.6615781889079599</v>
      </c>
      <c r="K2821" s="9" t="s">
        <v>756</v>
      </c>
    </row>
    <row r="2822" spans="1:11" ht="12.5" customHeight="1" x14ac:dyDescent="0.25">
      <c r="A2822" s="5" t="s">
        <v>10630</v>
      </c>
      <c r="B2822" s="6" t="s">
        <v>7578</v>
      </c>
      <c r="C2822" s="6" t="s">
        <v>10241</v>
      </c>
      <c r="D2822" s="6" t="s">
        <v>10611</v>
      </c>
      <c r="E2822" s="6" t="s">
        <v>10631</v>
      </c>
      <c r="F2822" s="6" t="s">
        <v>10632</v>
      </c>
      <c r="G2822" s="9"/>
      <c r="H2822" s="9" t="s">
        <v>18</v>
      </c>
      <c r="I2822" s="16" t="str">
        <f>VLOOKUP(F2822,[1]完整分类结果!$E:$G,3,0)</f>
        <v>普通机械制造业</v>
      </c>
      <c r="J2822" s="16">
        <f>VLOOKUP(I2822,[2]行业排放因子!$A:$B,2,0)</f>
        <v>9.6615781889079599</v>
      </c>
      <c r="K2822" s="9" t="s">
        <v>756</v>
      </c>
    </row>
    <row r="2823" spans="1:11" ht="12.5" customHeight="1" x14ac:dyDescent="0.25">
      <c r="A2823" s="5" t="s">
        <v>10633</v>
      </c>
      <c r="B2823" s="6" t="s">
        <v>7578</v>
      </c>
      <c r="C2823" s="6" t="s">
        <v>10241</v>
      </c>
      <c r="D2823" s="6" t="s">
        <v>10634</v>
      </c>
      <c r="E2823" s="6" t="s">
        <v>10635</v>
      </c>
      <c r="F2823" s="6" t="s">
        <v>10636</v>
      </c>
      <c r="G2823" s="9" t="s">
        <v>10637</v>
      </c>
      <c r="H2823" s="9" t="s">
        <v>18</v>
      </c>
      <c r="I2823" s="16" t="str">
        <f>VLOOKUP(F2823,[1]完整分类结果!$E:$G,3,0)</f>
        <v>普通机械制造业</v>
      </c>
      <c r="J2823" s="16">
        <f>VLOOKUP(I2823,[2]行业排放因子!$A:$B,2,0)</f>
        <v>9.6615781889079599</v>
      </c>
      <c r="K2823" s="9" t="s">
        <v>756</v>
      </c>
    </row>
    <row r="2824" spans="1:11" ht="12.5" customHeight="1" x14ac:dyDescent="0.25">
      <c r="A2824" s="5" t="s">
        <v>10638</v>
      </c>
      <c r="B2824" s="6" t="s">
        <v>7578</v>
      </c>
      <c r="C2824" s="6" t="s">
        <v>10241</v>
      </c>
      <c r="D2824" s="6" t="s">
        <v>10634</v>
      </c>
      <c r="E2824" s="6" t="s">
        <v>10639</v>
      </c>
      <c r="F2824" s="6" t="s">
        <v>10640</v>
      </c>
      <c r="G2824" s="9"/>
      <c r="H2824" s="9" t="s">
        <v>18</v>
      </c>
      <c r="I2824" s="16" t="str">
        <f>VLOOKUP(F2824,[1]完整分类结果!$E:$G,3,0)</f>
        <v>普通机械制造业</v>
      </c>
      <c r="J2824" s="16">
        <f>VLOOKUP(I2824,[2]行业排放因子!$A:$B,2,0)</f>
        <v>9.6615781889079599</v>
      </c>
      <c r="K2824" s="9" t="s">
        <v>756</v>
      </c>
    </row>
    <row r="2825" spans="1:11" ht="12.5" customHeight="1" x14ac:dyDescent="0.25">
      <c r="A2825" s="5" t="s">
        <v>10641</v>
      </c>
      <c r="B2825" s="6" t="s">
        <v>7578</v>
      </c>
      <c r="C2825" s="6" t="s">
        <v>10241</v>
      </c>
      <c r="D2825" s="6" t="s">
        <v>10634</v>
      </c>
      <c r="E2825" s="6" t="s">
        <v>10642</v>
      </c>
      <c r="F2825" s="6" t="s">
        <v>10643</v>
      </c>
      <c r="G2825" s="9" t="s">
        <v>10644</v>
      </c>
      <c r="H2825" s="9" t="s">
        <v>18</v>
      </c>
      <c r="I2825" s="16" t="str">
        <f>VLOOKUP(F2825,[1]完整分类结果!$E:$G,3,0)</f>
        <v>普通机械制造业</v>
      </c>
      <c r="J2825" s="16">
        <f>VLOOKUP(I2825,[2]行业排放因子!$A:$B,2,0)</f>
        <v>9.6615781889079599</v>
      </c>
      <c r="K2825" s="9" t="s">
        <v>756</v>
      </c>
    </row>
    <row r="2826" spans="1:11" ht="12.5" customHeight="1" x14ac:dyDescent="0.25">
      <c r="A2826" s="5" t="s">
        <v>10645</v>
      </c>
      <c r="B2826" s="6" t="s">
        <v>7578</v>
      </c>
      <c r="C2826" s="6" t="s">
        <v>10241</v>
      </c>
      <c r="D2826" s="6" t="s">
        <v>10634</v>
      </c>
      <c r="E2826" s="6" t="s">
        <v>10646</v>
      </c>
      <c r="F2826" s="6" t="s">
        <v>10647</v>
      </c>
      <c r="G2826" s="9"/>
      <c r="H2826" s="9" t="s">
        <v>18</v>
      </c>
      <c r="I2826" s="16" t="str">
        <f>VLOOKUP(F2826,[1]完整分类结果!$E:$G,3,0)</f>
        <v>普通机械制造业</v>
      </c>
      <c r="J2826" s="16">
        <f>VLOOKUP(I2826,[2]行业排放因子!$A:$B,2,0)</f>
        <v>9.6615781889079599</v>
      </c>
      <c r="K2826" s="9" t="s">
        <v>756</v>
      </c>
    </row>
    <row r="2827" spans="1:11" ht="12.5" customHeight="1" x14ac:dyDescent="0.25">
      <c r="A2827" s="5" t="s">
        <v>10648</v>
      </c>
      <c r="B2827" s="6" t="s">
        <v>7578</v>
      </c>
      <c r="C2827" s="6" t="s">
        <v>10241</v>
      </c>
      <c r="D2827" s="6" t="s">
        <v>10634</v>
      </c>
      <c r="E2827" s="6" t="s">
        <v>10649</v>
      </c>
      <c r="F2827" s="6" t="s">
        <v>10650</v>
      </c>
      <c r="G2827" s="9" t="s">
        <v>10651</v>
      </c>
      <c r="H2827" s="9" t="s">
        <v>18</v>
      </c>
      <c r="I2827" s="16" t="str">
        <f>VLOOKUP(F2827,[1]完整分类结果!$E:$G,3,0)</f>
        <v>普通机械制造业</v>
      </c>
      <c r="J2827" s="16">
        <f>VLOOKUP(I2827,[2]行业排放因子!$A:$B,2,0)</f>
        <v>9.6615781889079599</v>
      </c>
      <c r="K2827" s="9" t="s">
        <v>756</v>
      </c>
    </row>
    <row r="2828" spans="1:11" ht="12.5" customHeight="1" x14ac:dyDescent="0.25">
      <c r="A2828" s="5" t="s">
        <v>10652</v>
      </c>
      <c r="B2828" s="6" t="s">
        <v>7578</v>
      </c>
      <c r="C2828" s="6" t="s">
        <v>10241</v>
      </c>
      <c r="D2828" s="6" t="s">
        <v>10634</v>
      </c>
      <c r="E2828" s="6" t="s">
        <v>10653</v>
      </c>
      <c r="F2828" s="6" t="s">
        <v>10654</v>
      </c>
      <c r="G2828" s="9"/>
      <c r="H2828" s="9" t="s">
        <v>18</v>
      </c>
      <c r="I2828" s="16" t="str">
        <f>VLOOKUP(F2828,[1]完整分类结果!$E:$G,3,0)</f>
        <v>普通机械制造业</v>
      </c>
      <c r="J2828" s="16">
        <f>VLOOKUP(I2828,[2]行业排放因子!$A:$B,2,0)</f>
        <v>9.6615781889079599</v>
      </c>
      <c r="K2828" s="9" t="s">
        <v>756</v>
      </c>
    </row>
    <row r="2829" spans="1:11" ht="12.5" customHeight="1" x14ac:dyDescent="0.25">
      <c r="A2829" s="5" t="s">
        <v>10655</v>
      </c>
      <c r="B2829" s="6" t="s">
        <v>7578</v>
      </c>
      <c r="C2829" s="6" t="s">
        <v>10241</v>
      </c>
      <c r="D2829" s="6" t="s">
        <v>10656</v>
      </c>
      <c r="E2829" s="6" t="s">
        <v>10657</v>
      </c>
      <c r="F2829" s="6" t="s">
        <v>10658</v>
      </c>
      <c r="G2829" s="9" t="s">
        <v>10659</v>
      </c>
      <c r="H2829" s="9" t="s">
        <v>18</v>
      </c>
      <c r="I2829" s="16" t="str">
        <f>VLOOKUP(F2829,[1]完整分类结果!$E:$G,3,0)</f>
        <v>普通机械制造业</v>
      </c>
      <c r="J2829" s="16">
        <f>VLOOKUP(I2829,[2]行业排放因子!$A:$B,2,0)</f>
        <v>9.6615781889079599</v>
      </c>
      <c r="K2829" s="9" t="s">
        <v>756</v>
      </c>
    </row>
    <row r="2830" spans="1:11" ht="12.5" customHeight="1" x14ac:dyDescent="0.25">
      <c r="A2830" s="5" t="s">
        <v>10660</v>
      </c>
      <c r="B2830" s="6" t="s">
        <v>7578</v>
      </c>
      <c r="C2830" s="6" t="s">
        <v>10241</v>
      </c>
      <c r="D2830" s="6" t="s">
        <v>10656</v>
      </c>
      <c r="E2830" s="6" t="s">
        <v>10661</v>
      </c>
      <c r="F2830" s="6" t="s">
        <v>10662</v>
      </c>
      <c r="G2830" s="9" t="s">
        <v>10663</v>
      </c>
      <c r="H2830" s="9" t="s">
        <v>18</v>
      </c>
      <c r="I2830" s="16" t="str">
        <f>VLOOKUP(F2830,[1]完整分类结果!$E:$G,3,0)</f>
        <v>普通机械制造业</v>
      </c>
      <c r="J2830" s="16">
        <f>VLOOKUP(I2830,[2]行业排放因子!$A:$B,2,0)</f>
        <v>9.6615781889079599</v>
      </c>
      <c r="K2830" s="9" t="s">
        <v>756</v>
      </c>
    </row>
    <row r="2831" spans="1:11" ht="12.5" customHeight="1" x14ac:dyDescent="0.25">
      <c r="A2831" s="5" t="s">
        <v>10664</v>
      </c>
      <c r="B2831" s="6" t="s">
        <v>7578</v>
      </c>
      <c r="C2831" s="6" t="s">
        <v>10241</v>
      </c>
      <c r="D2831" s="6" t="s">
        <v>10656</v>
      </c>
      <c r="E2831" s="6" t="s">
        <v>10665</v>
      </c>
      <c r="F2831" s="6" t="s">
        <v>10666</v>
      </c>
      <c r="G2831" s="9"/>
      <c r="H2831" s="9" t="s">
        <v>18</v>
      </c>
      <c r="I2831" s="16" t="str">
        <f>VLOOKUP(F2831,[1]完整分类结果!$E:$G,3,0)</f>
        <v>普通机械制造业</v>
      </c>
      <c r="J2831" s="16">
        <f>VLOOKUP(I2831,[2]行业排放因子!$A:$B,2,0)</f>
        <v>9.6615781889079599</v>
      </c>
      <c r="K2831" s="9" t="s">
        <v>756</v>
      </c>
    </row>
    <row r="2832" spans="1:11" ht="12.5" customHeight="1" x14ac:dyDescent="0.25">
      <c r="A2832" s="5" t="s">
        <v>10667</v>
      </c>
      <c r="B2832" s="6" t="s">
        <v>7578</v>
      </c>
      <c r="C2832" s="6" t="s">
        <v>10241</v>
      </c>
      <c r="D2832" s="6" t="s">
        <v>10668</v>
      </c>
      <c r="E2832" s="6" t="s">
        <v>10669</v>
      </c>
      <c r="F2832" s="6" t="s">
        <v>10670</v>
      </c>
      <c r="G2832" s="9"/>
      <c r="H2832" s="9" t="s">
        <v>18</v>
      </c>
      <c r="I2832" s="16" t="str">
        <f>VLOOKUP(F2832,[1]完整分类结果!$E:$G,3,0)</f>
        <v>电气机械及器材制造业</v>
      </c>
      <c r="J2832" s="16">
        <f>VLOOKUP(I2832,[2]行业排放因子!$A:$B,2,0)</f>
        <v>2.8631259995277101</v>
      </c>
      <c r="K2832" s="9" t="s">
        <v>3898</v>
      </c>
    </row>
    <row r="2833" spans="1:11" ht="12.5" customHeight="1" x14ac:dyDescent="0.25">
      <c r="A2833" s="5" t="s">
        <v>10671</v>
      </c>
      <c r="B2833" s="6" t="s">
        <v>7578</v>
      </c>
      <c r="C2833" s="6" t="s">
        <v>10241</v>
      </c>
      <c r="D2833" s="6" t="s">
        <v>10668</v>
      </c>
      <c r="E2833" s="6" t="s">
        <v>10672</v>
      </c>
      <c r="F2833" s="6" t="s">
        <v>10673</v>
      </c>
      <c r="G2833" s="9" t="s">
        <v>10674</v>
      </c>
      <c r="H2833" s="9" t="s">
        <v>18</v>
      </c>
      <c r="I2833" s="16" t="str">
        <f>VLOOKUP(F2833,[1]完整分类结果!$E:$G,3,0)</f>
        <v>电气机械及器材制造业</v>
      </c>
      <c r="J2833" s="16">
        <f>VLOOKUP(I2833,[2]行业排放因子!$A:$B,2,0)</f>
        <v>2.8631259995277101</v>
      </c>
      <c r="K2833" s="9" t="s">
        <v>3898</v>
      </c>
    </row>
    <row r="2834" spans="1:11" ht="12.5" customHeight="1" x14ac:dyDescent="0.25">
      <c r="A2834" s="5" t="s">
        <v>10675</v>
      </c>
      <c r="B2834" s="6" t="s">
        <v>7578</v>
      </c>
      <c r="C2834" s="6" t="s">
        <v>10241</v>
      </c>
      <c r="D2834" s="6" t="s">
        <v>10668</v>
      </c>
      <c r="E2834" s="6" t="s">
        <v>10676</v>
      </c>
      <c r="F2834" s="6" t="s">
        <v>10677</v>
      </c>
      <c r="G2834" s="9" t="s">
        <v>10678</v>
      </c>
      <c r="H2834" s="9" t="s">
        <v>18</v>
      </c>
      <c r="I2834" s="16" t="str">
        <f>VLOOKUP(F2834,[1]完整分类结果!$E:$G,3,0)</f>
        <v>电气机械及器材制造业</v>
      </c>
      <c r="J2834" s="16">
        <f>VLOOKUP(I2834,[2]行业排放因子!$A:$B,2,0)</f>
        <v>2.8631259995277101</v>
      </c>
      <c r="K2834" s="9" t="s">
        <v>3898</v>
      </c>
    </row>
    <row r="2835" spans="1:11" ht="12.5" customHeight="1" x14ac:dyDescent="0.25">
      <c r="A2835" s="5" t="s">
        <v>10679</v>
      </c>
      <c r="B2835" s="6" t="s">
        <v>7578</v>
      </c>
      <c r="C2835" s="6" t="s">
        <v>10241</v>
      </c>
      <c r="D2835" s="6" t="s">
        <v>10668</v>
      </c>
      <c r="E2835" s="6" t="s">
        <v>10680</v>
      </c>
      <c r="F2835" s="6" t="s">
        <v>10681</v>
      </c>
      <c r="G2835" s="9" t="s">
        <v>10682</v>
      </c>
      <c r="H2835" s="9" t="s">
        <v>18</v>
      </c>
      <c r="I2835" s="16" t="str">
        <f>VLOOKUP(F2835,[1]完整分类结果!$E:$G,3,0)</f>
        <v>电气机械及器材制造业</v>
      </c>
      <c r="J2835" s="16">
        <f>VLOOKUP(I2835,[2]行业排放因子!$A:$B,2,0)</f>
        <v>2.8631259995277101</v>
      </c>
      <c r="K2835" s="9" t="s">
        <v>756</v>
      </c>
    </row>
    <row r="2836" spans="1:11" ht="12.5" customHeight="1" x14ac:dyDescent="0.25">
      <c r="A2836" s="5" t="s">
        <v>10683</v>
      </c>
      <c r="B2836" s="6" t="s">
        <v>7578</v>
      </c>
      <c r="C2836" s="6" t="s">
        <v>10241</v>
      </c>
      <c r="D2836" s="6" t="s">
        <v>10668</v>
      </c>
      <c r="E2836" s="6" t="s">
        <v>10684</v>
      </c>
      <c r="F2836" s="6" t="s">
        <v>10685</v>
      </c>
      <c r="G2836" s="9" t="s">
        <v>10686</v>
      </c>
      <c r="H2836" s="9" t="s">
        <v>18</v>
      </c>
      <c r="I2836" s="16" t="str">
        <f>VLOOKUP(F2836,[1]完整分类结果!$E:$G,3,0)</f>
        <v>电气机械及器材制造业</v>
      </c>
      <c r="J2836" s="16">
        <f>VLOOKUP(I2836,[2]行业排放因子!$A:$B,2,0)</f>
        <v>2.8631259995277101</v>
      </c>
      <c r="K2836" s="9" t="s">
        <v>756</v>
      </c>
    </row>
    <row r="2837" spans="1:11" ht="12.5" customHeight="1" x14ac:dyDescent="0.25">
      <c r="A2837" s="5" t="s">
        <v>10687</v>
      </c>
      <c r="B2837" s="6" t="s">
        <v>7578</v>
      </c>
      <c r="C2837" s="6" t="s">
        <v>10241</v>
      </c>
      <c r="D2837" s="6" t="s">
        <v>10668</v>
      </c>
      <c r="E2837" s="6" t="s">
        <v>10688</v>
      </c>
      <c r="F2837" s="6" t="s">
        <v>10689</v>
      </c>
      <c r="G2837" s="9"/>
      <c r="H2837" s="9" t="s">
        <v>18</v>
      </c>
      <c r="I2837" s="16" t="str">
        <f>VLOOKUP(F2837,[1]完整分类结果!$E:$G,3,0)</f>
        <v>电气机械及器材制造业</v>
      </c>
      <c r="J2837" s="16">
        <f>VLOOKUP(I2837,[2]行业排放因子!$A:$B,2,0)</f>
        <v>2.8631259995277101</v>
      </c>
      <c r="K2837" s="9" t="s">
        <v>756</v>
      </c>
    </row>
    <row r="2838" spans="1:11" ht="12.5" customHeight="1" x14ac:dyDescent="0.25">
      <c r="A2838" s="5" t="s">
        <v>10690</v>
      </c>
      <c r="B2838" s="6" t="s">
        <v>7578</v>
      </c>
      <c r="C2838" s="6" t="s">
        <v>10241</v>
      </c>
      <c r="D2838" s="6" t="s">
        <v>10668</v>
      </c>
      <c r="E2838" s="6" t="s">
        <v>10691</v>
      </c>
      <c r="F2838" s="6" t="s">
        <v>10692</v>
      </c>
      <c r="G2838" s="9"/>
      <c r="H2838" s="9" t="s">
        <v>18</v>
      </c>
      <c r="I2838" s="16" t="str">
        <f>VLOOKUP(F2838,[1]完整分类结果!$E:$G,3,0)</f>
        <v>电气机械及器材制造业</v>
      </c>
      <c r="J2838" s="16">
        <f>VLOOKUP(I2838,[2]行业排放因子!$A:$B,2,0)</f>
        <v>2.8631259995277101</v>
      </c>
      <c r="K2838" s="9" t="s">
        <v>756</v>
      </c>
    </row>
    <row r="2839" spans="1:11" ht="12.5" customHeight="1" x14ac:dyDescent="0.25">
      <c r="A2839" s="5" t="s">
        <v>10693</v>
      </c>
      <c r="B2839" s="6" t="s">
        <v>7578</v>
      </c>
      <c r="C2839" s="6" t="s">
        <v>10241</v>
      </c>
      <c r="D2839" s="6" t="s">
        <v>10668</v>
      </c>
      <c r="E2839" s="6" t="s">
        <v>10694</v>
      </c>
      <c r="F2839" s="6" t="s">
        <v>10695</v>
      </c>
      <c r="G2839" s="9"/>
      <c r="H2839" s="9" t="s">
        <v>18</v>
      </c>
      <c r="I2839" s="16" t="str">
        <f>VLOOKUP(F2839,[1]完整分类结果!$E:$G,3,0)</f>
        <v>电气机械及器材制造业</v>
      </c>
      <c r="J2839" s="16">
        <f>VLOOKUP(I2839,[2]行业排放因子!$A:$B,2,0)</f>
        <v>2.8631259995277101</v>
      </c>
      <c r="K2839" s="9" t="s">
        <v>756</v>
      </c>
    </row>
    <row r="2840" spans="1:11" ht="12.5" customHeight="1" x14ac:dyDescent="0.25">
      <c r="A2840" s="5" t="s">
        <v>10696</v>
      </c>
      <c r="B2840" s="6" t="s">
        <v>7578</v>
      </c>
      <c r="C2840" s="6" t="s">
        <v>10241</v>
      </c>
      <c r="D2840" s="6" t="s">
        <v>10697</v>
      </c>
      <c r="E2840" s="6" t="s">
        <v>10698</v>
      </c>
      <c r="F2840" s="6" t="s">
        <v>10699</v>
      </c>
      <c r="G2840" s="9" t="s">
        <v>10700</v>
      </c>
      <c r="H2840" s="9" t="s">
        <v>18</v>
      </c>
      <c r="I2840" s="16" t="str">
        <f>VLOOKUP(F2840,[1]完整分类结果!$E:$G,3,0)</f>
        <v>普通机械制造业</v>
      </c>
      <c r="J2840" s="16">
        <f>VLOOKUP(I2840,[2]行业排放因子!$A:$B,2,0)</f>
        <v>9.6615781889079599</v>
      </c>
      <c r="K2840" s="9" t="s">
        <v>756</v>
      </c>
    </row>
    <row r="2841" spans="1:11" ht="12.5" customHeight="1" x14ac:dyDescent="0.25">
      <c r="A2841" s="5" t="s">
        <v>10701</v>
      </c>
      <c r="B2841" s="6" t="s">
        <v>7578</v>
      </c>
      <c r="C2841" s="6" t="s">
        <v>10241</v>
      </c>
      <c r="D2841" s="6" t="s">
        <v>10697</v>
      </c>
      <c r="E2841" s="6" t="s">
        <v>10702</v>
      </c>
      <c r="F2841" s="6" t="s">
        <v>10703</v>
      </c>
      <c r="G2841" s="9" t="s">
        <v>10704</v>
      </c>
      <c r="H2841" s="9" t="s">
        <v>18</v>
      </c>
      <c r="I2841" s="16" t="str">
        <f>VLOOKUP(F2841,[1]完整分类结果!$E:$G,3,0)</f>
        <v>普通机械制造业</v>
      </c>
      <c r="J2841" s="16">
        <f>VLOOKUP(I2841,[2]行业排放因子!$A:$B,2,0)</f>
        <v>9.6615781889079599</v>
      </c>
      <c r="K2841" s="9" t="s">
        <v>756</v>
      </c>
    </row>
    <row r="2842" spans="1:11" ht="12.5" customHeight="1" x14ac:dyDescent="0.25">
      <c r="A2842" s="5" t="s">
        <v>10705</v>
      </c>
      <c r="B2842" s="6" t="s">
        <v>7578</v>
      </c>
      <c r="C2842" s="6" t="s">
        <v>10241</v>
      </c>
      <c r="D2842" s="6" t="s">
        <v>10697</v>
      </c>
      <c r="E2842" s="6" t="s">
        <v>10706</v>
      </c>
      <c r="F2842" s="6" t="s">
        <v>10707</v>
      </c>
      <c r="G2842" s="9" t="s">
        <v>10708</v>
      </c>
      <c r="H2842" s="9" t="s">
        <v>18</v>
      </c>
      <c r="I2842" s="16" t="str">
        <f>VLOOKUP(F2842,[1]完整分类结果!$E:$G,3,0)</f>
        <v>普通机械制造业</v>
      </c>
      <c r="J2842" s="16">
        <f>VLOOKUP(I2842,[2]行业排放因子!$A:$B,2,0)</f>
        <v>9.6615781889079599</v>
      </c>
      <c r="K2842" s="9" t="s">
        <v>756</v>
      </c>
    </row>
    <row r="2843" spans="1:11" ht="12.5" customHeight="1" x14ac:dyDescent="0.25">
      <c r="A2843" s="5" t="s">
        <v>10709</v>
      </c>
      <c r="B2843" s="6" t="s">
        <v>7578</v>
      </c>
      <c r="C2843" s="6" t="s">
        <v>10241</v>
      </c>
      <c r="D2843" s="6" t="s">
        <v>10697</v>
      </c>
      <c r="E2843" s="6" t="s">
        <v>10710</v>
      </c>
      <c r="F2843" s="6" t="s">
        <v>10711</v>
      </c>
      <c r="G2843" s="9" t="s">
        <v>10712</v>
      </c>
      <c r="H2843" s="9" t="s">
        <v>18</v>
      </c>
      <c r="I2843" s="16" t="str">
        <f>VLOOKUP(F2843,[1]完整分类结果!$E:$G,3,0)</f>
        <v>普通机械制造业</v>
      </c>
      <c r="J2843" s="16">
        <f>VLOOKUP(I2843,[2]行业排放因子!$A:$B,2,0)</f>
        <v>9.6615781889079599</v>
      </c>
      <c r="K2843" s="9" t="s">
        <v>756</v>
      </c>
    </row>
    <row r="2844" spans="1:11" ht="12.5" customHeight="1" x14ac:dyDescent="0.25">
      <c r="A2844" s="5" t="s">
        <v>10713</v>
      </c>
      <c r="B2844" s="6" t="s">
        <v>7578</v>
      </c>
      <c r="C2844" s="6" t="s">
        <v>10241</v>
      </c>
      <c r="D2844" s="6" t="s">
        <v>10697</v>
      </c>
      <c r="E2844" s="6" t="s">
        <v>10714</v>
      </c>
      <c r="F2844" s="6" t="s">
        <v>10715</v>
      </c>
      <c r="G2844" s="9"/>
      <c r="H2844" s="9" t="s">
        <v>18</v>
      </c>
      <c r="I2844" s="16" t="str">
        <f>VLOOKUP(F2844,[1]完整分类结果!$E:$G,3,0)</f>
        <v>普通机械制造业</v>
      </c>
      <c r="J2844" s="16">
        <f>VLOOKUP(I2844,[2]行业排放因子!$A:$B,2,0)</f>
        <v>9.6615781889079599</v>
      </c>
      <c r="K2844" s="9" t="s">
        <v>756</v>
      </c>
    </row>
    <row r="2845" spans="1:11" ht="12.5" customHeight="1" x14ac:dyDescent="0.25">
      <c r="A2845" s="5" t="s">
        <v>10716</v>
      </c>
      <c r="B2845" s="6" t="s">
        <v>7578</v>
      </c>
      <c r="C2845" s="6" t="s">
        <v>10241</v>
      </c>
      <c r="D2845" s="6" t="s">
        <v>10697</v>
      </c>
      <c r="E2845" s="6" t="s">
        <v>10717</v>
      </c>
      <c r="F2845" s="6" t="s">
        <v>10718</v>
      </c>
      <c r="G2845" s="9" t="s">
        <v>10719</v>
      </c>
      <c r="H2845" s="9" t="s">
        <v>18</v>
      </c>
      <c r="I2845" s="16" t="str">
        <f>VLOOKUP(F2845,[1]完整分类结果!$E:$G,3,0)</f>
        <v>普通机械制造业</v>
      </c>
      <c r="J2845" s="16">
        <f>VLOOKUP(I2845,[2]行业排放因子!$A:$B,2,0)</f>
        <v>9.6615781889079599</v>
      </c>
      <c r="K2845" s="9" t="s">
        <v>756</v>
      </c>
    </row>
    <row r="2846" spans="1:11" ht="12.5" customHeight="1" x14ac:dyDescent="0.25">
      <c r="A2846" s="5" t="s">
        <v>10720</v>
      </c>
      <c r="B2846" s="6" t="s">
        <v>7578</v>
      </c>
      <c r="C2846" s="6" t="s">
        <v>10241</v>
      </c>
      <c r="D2846" s="6" t="s">
        <v>10697</v>
      </c>
      <c r="E2846" s="6" t="s">
        <v>10721</v>
      </c>
      <c r="F2846" s="6" t="s">
        <v>10722</v>
      </c>
      <c r="G2846" s="9" t="s">
        <v>10723</v>
      </c>
      <c r="H2846" s="9" t="s">
        <v>18</v>
      </c>
      <c r="I2846" s="16" t="str">
        <f>VLOOKUP(F2846,[1]完整分类结果!$E:$G,3,0)</f>
        <v>普通机械制造业</v>
      </c>
      <c r="J2846" s="16">
        <f>VLOOKUP(I2846,[2]行业排放因子!$A:$B,2,0)</f>
        <v>9.6615781889079599</v>
      </c>
      <c r="K2846" s="9" t="s">
        <v>756</v>
      </c>
    </row>
    <row r="2847" spans="1:11" ht="12.5" customHeight="1" x14ac:dyDescent="0.25">
      <c r="A2847" s="5" t="s">
        <v>10724</v>
      </c>
      <c r="B2847" s="6" t="s">
        <v>7578</v>
      </c>
      <c r="C2847" s="6" t="s">
        <v>10241</v>
      </c>
      <c r="D2847" s="6" t="s">
        <v>10725</v>
      </c>
      <c r="E2847" s="6" t="s">
        <v>10726</v>
      </c>
      <c r="F2847" s="6" t="s">
        <v>10727</v>
      </c>
      <c r="G2847" s="9" t="s">
        <v>10728</v>
      </c>
      <c r="H2847" s="9" t="s">
        <v>18</v>
      </c>
      <c r="I2847" s="16" t="str">
        <f>VLOOKUP(F2847,[1]完整分类结果!$E:$G,3,0)</f>
        <v>普通机械制造业</v>
      </c>
      <c r="J2847" s="16">
        <f>VLOOKUP(I2847,[2]行业排放因子!$A:$B,2,0)</f>
        <v>9.6615781889079599</v>
      </c>
      <c r="K2847" s="9" t="s">
        <v>756</v>
      </c>
    </row>
    <row r="2848" spans="1:11" ht="12.5" customHeight="1" x14ac:dyDescent="0.25">
      <c r="A2848" s="5" t="s">
        <v>10729</v>
      </c>
      <c r="B2848" s="6" t="s">
        <v>7578</v>
      </c>
      <c r="C2848" s="6" t="s">
        <v>10241</v>
      </c>
      <c r="D2848" s="6" t="s">
        <v>10725</v>
      </c>
      <c r="E2848" s="6" t="s">
        <v>10730</v>
      </c>
      <c r="F2848" s="6" t="s">
        <v>10731</v>
      </c>
      <c r="G2848" s="9" t="s">
        <v>10732</v>
      </c>
      <c r="H2848" s="9" t="s">
        <v>18</v>
      </c>
      <c r="I2848" s="16" t="str">
        <f>VLOOKUP(F2848,[1]完整分类结果!$E:$G,3,0)</f>
        <v>普通机械制造业</v>
      </c>
      <c r="J2848" s="16">
        <f>VLOOKUP(I2848,[2]行业排放因子!$A:$B,2,0)</f>
        <v>9.6615781889079599</v>
      </c>
      <c r="K2848" s="9" t="s">
        <v>756</v>
      </c>
    </row>
    <row r="2849" spans="1:11" ht="12.5" customHeight="1" x14ac:dyDescent="0.25">
      <c r="A2849" s="5" t="s">
        <v>10733</v>
      </c>
      <c r="B2849" s="6" t="s">
        <v>7578</v>
      </c>
      <c r="C2849" s="6" t="s">
        <v>10241</v>
      </c>
      <c r="D2849" s="6" t="s">
        <v>10725</v>
      </c>
      <c r="E2849" s="6" t="s">
        <v>10734</v>
      </c>
      <c r="F2849" s="6" t="s">
        <v>10735</v>
      </c>
      <c r="G2849" s="9" t="s">
        <v>10736</v>
      </c>
      <c r="H2849" s="9" t="s">
        <v>18</v>
      </c>
      <c r="I2849" s="16" t="str">
        <f>VLOOKUP(F2849,[1]完整分类结果!$E:$G,3,0)</f>
        <v>普通机械制造业</v>
      </c>
      <c r="J2849" s="16">
        <f>VLOOKUP(I2849,[2]行业排放因子!$A:$B,2,0)</f>
        <v>9.6615781889079599</v>
      </c>
      <c r="K2849" s="9" t="s">
        <v>756</v>
      </c>
    </row>
    <row r="2850" spans="1:11" ht="12.5" customHeight="1" x14ac:dyDescent="0.25">
      <c r="A2850" s="5" t="s">
        <v>10737</v>
      </c>
      <c r="B2850" s="6" t="s">
        <v>7578</v>
      </c>
      <c r="C2850" s="6" t="s">
        <v>10241</v>
      </c>
      <c r="D2850" s="6" t="s">
        <v>10725</v>
      </c>
      <c r="E2850" s="6" t="s">
        <v>10738</v>
      </c>
      <c r="F2850" s="6" t="s">
        <v>10739</v>
      </c>
      <c r="G2850" s="9" t="s">
        <v>10740</v>
      </c>
      <c r="H2850" s="9" t="s">
        <v>18</v>
      </c>
      <c r="I2850" s="16" t="str">
        <f>VLOOKUP(F2850,[1]完整分类结果!$E:$G,3,0)</f>
        <v>普通机械制造业</v>
      </c>
      <c r="J2850" s="16">
        <f>VLOOKUP(I2850,[2]行业排放因子!$A:$B,2,0)</f>
        <v>9.6615781889079599</v>
      </c>
      <c r="K2850" s="9" t="s">
        <v>756</v>
      </c>
    </row>
    <row r="2851" spans="1:11" ht="12.5" customHeight="1" x14ac:dyDescent="0.25">
      <c r="A2851" s="5" t="s">
        <v>10741</v>
      </c>
      <c r="B2851" s="6" t="s">
        <v>7578</v>
      </c>
      <c r="C2851" s="6" t="s">
        <v>10241</v>
      </c>
      <c r="D2851" s="6" t="s">
        <v>10725</v>
      </c>
      <c r="E2851" s="6" t="s">
        <v>10742</v>
      </c>
      <c r="F2851" s="6" t="s">
        <v>10743</v>
      </c>
      <c r="G2851" s="9" t="s">
        <v>10744</v>
      </c>
      <c r="H2851" s="9" t="s">
        <v>18</v>
      </c>
      <c r="I2851" s="16" t="str">
        <f>VLOOKUP(F2851,[1]完整分类结果!$E:$G,3,0)</f>
        <v>普通机械制造业</v>
      </c>
      <c r="J2851" s="16">
        <f>VLOOKUP(I2851,[2]行业排放因子!$A:$B,2,0)</f>
        <v>9.6615781889079599</v>
      </c>
      <c r="K2851" s="9" t="s">
        <v>756</v>
      </c>
    </row>
    <row r="2852" spans="1:11" ht="12.5" customHeight="1" x14ac:dyDescent="0.25">
      <c r="A2852" s="5" t="s">
        <v>10745</v>
      </c>
      <c r="B2852" s="6" t="s">
        <v>7578</v>
      </c>
      <c r="C2852" s="6" t="s">
        <v>10241</v>
      </c>
      <c r="D2852" s="6" t="s">
        <v>10725</v>
      </c>
      <c r="E2852" s="6" t="s">
        <v>10746</v>
      </c>
      <c r="F2852" s="6" t="s">
        <v>10747</v>
      </c>
      <c r="G2852" s="9" t="s">
        <v>10748</v>
      </c>
      <c r="H2852" s="9" t="s">
        <v>18</v>
      </c>
      <c r="I2852" s="16" t="str">
        <f>VLOOKUP(F2852,[1]完整分类结果!$E:$G,3,0)</f>
        <v>普通机械制造业</v>
      </c>
      <c r="J2852" s="16">
        <f>VLOOKUP(I2852,[2]行业排放因子!$A:$B,2,0)</f>
        <v>9.6615781889079599</v>
      </c>
      <c r="K2852" s="9" t="s">
        <v>756</v>
      </c>
    </row>
    <row r="2853" spans="1:11" ht="12.5" customHeight="1" x14ac:dyDescent="0.25">
      <c r="A2853" s="5" t="s">
        <v>10749</v>
      </c>
      <c r="B2853" s="6" t="s">
        <v>7578</v>
      </c>
      <c r="C2853" s="6" t="s">
        <v>10241</v>
      </c>
      <c r="D2853" s="6" t="s">
        <v>10725</v>
      </c>
      <c r="E2853" s="6" t="s">
        <v>10750</v>
      </c>
      <c r="F2853" s="6" t="s">
        <v>10751</v>
      </c>
      <c r="G2853" s="9"/>
      <c r="H2853" s="9" t="s">
        <v>18</v>
      </c>
      <c r="I2853" s="16" t="str">
        <f>VLOOKUP(F2853,[1]完整分类结果!$E:$G,3,0)</f>
        <v>普通机械制造业</v>
      </c>
      <c r="J2853" s="16">
        <f>VLOOKUP(I2853,[2]行业排放因子!$A:$B,2,0)</f>
        <v>9.6615781889079599</v>
      </c>
      <c r="K2853" s="9" t="s">
        <v>756</v>
      </c>
    </row>
    <row r="2854" spans="1:11" ht="12.5" customHeight="1" x14ac:dyDescent="0.25">
      <c r="A2854" s="5" t="s">
        <v>10752</v>
      </c>
      <c r="B2854" s="6" t="s">
        <v>7578</v>
      </c>
      <c r="C2854" s="6" t="s">
        <v>10241</v>
      </c>
      <c r="D2854" s="6" t="s">
        <v>10753</v>
      </c>
      <c r="E2854" s="6" t="s">
        <v>10754</v>
      </c>
      <c r="F2854" s="6" t="s">
        <v>10755</v>
      </c>
      <c r="G2854" s="9" t="s">
        <v>10756</v>
      </c>
      <c r="H2854" s="9" t="s">
        <v>18</v>
      </c>
      <c r="I2854" s="16" t="str">
        <f>VLOOKUP(F2854,[1]完整分类结果!$E:$G,3,0)</f>
        <v>普通机械制造业</v>
      </c>
      <c r="J2854" s="16">
        <f>VLOOKUP(I2854,[2]行业排放因子!$A:$B,2,0)</f>
        <v>9.6615781889079599</v>
      </c>
      <c r="K2854" s="9" t="s">
        <v>756</v>
      </c>
    </row>
    <row r="2855" spans="1:11" ht="12.5" customHeight="1" x14ac:dyDescent="0.25">
      <c r="A2855" s="5" t="s">
        <v>10757</v>
      </c>
      <c r="B2855" s="6" t="s">
        <v>7578</v>
      </c>
      <c r="C2855" s="6" t="s">
        <v>10241</v>
      </c>
      <c r="D2855" s="6" t="s">
        <v>10753</v>
      </c>
      <c r="E2855" s="6" t="s">
        <v>10758</v>
      </c>
      <c r="F2855" s="6" t="s">
        <v>10759</v>
      </c>
      <c r="G2855" s="9" t="s">
        <v>10760</v>
      </c>
      <c r="H2855" s="9" t="s">
        <v>18</v>
      </c>
      <c r="I2855" s="16" t="str">
        <f>VLOOKUP(F2855,[1]完整分类结果!$E:$G,3,0)</f>
        <v>普通机械制造业</v>
      </c>
      <c r="J2855" s="16">
        <f>VLOOKUP(I2855,[2]行业排放因子!$A:$B,2,0)</f>
        <v>9.6615781889079599</v>
      </c>
      <c r="K2855" s="9" t="s">
        <v>756</v>
      </c>
    </row>
    <row r="2856" spans="1:11" ht="12.5" customHeight="1" x14ac:dyDescent="0.25">
      <c r="A2856" s="5" t="s">
        <v>10761</v>
      </c>
      <c r="B2856" s="6" t="s">
        <v>7578</v>
      </c>
      <c r="C2856" s="6" t="s">
        <v>10241</v>
      </c>
      <c r="D2856" s="6" t="s">
        <v>10753</v>
      </c>
      <c r="E2856" s="6" t="s">
        <v>10762</v>
      </c>
      <c r="F2856" s="6" t="s">
        <v>10763</v>
      </c>
      <c r="G2856" s="9" t="s">
        <v>10764</v>
      </c>
      <c r="H2856" s="9" t="s">
        <v>18</v>
      </c>
      <c r="I2856" s="16" t="str">
        <f>VLOOKUP(F2856,[1]完整分类结果!$E:$G,3,0)</f>
        <v>普通机械制造业</v>
      </c>
      <c r="J2856" s="16">
        <f>VLOOKUP(I2856,[2]行业排放因子!$A:$B,2,0)</f>
        <v>9.6615781889079599</v>
      </c>
      <c r="K2856" s="9" t="s">
        <v>756</v>
      </c>
    </row>
    <row r="2857" spans="1:11" ht="12.5" customHeight="1" x14ac:dyDescent="0.25">
      <c r="A2857" s="5" t="s">
        <v>10765</v>
      </c>
      <c r="B2857" s="6" t="s">
        <v>7578</v>
      </c>
      <c r="C2857" s="6" t="s">
        <v>10241</v>
      </c>
      <c r="D2857" s="6" t="s">
        <v>10753</v>
      </c>
      <c r="E2857" s="6" t="s">
        <v>10766</v>
      </c>
      <c r="F2857" s="6" t="s">
        <v>10767</v>
      </c>
      <c r="G2857" s="9" t="s">
        <v>10768</v>
      </c>
      <c r="H2857" s="9" t="s">
        <v>18</v>
      </c>
      <c r="I2857" s="16" t="str">
        <f>VLOOKUP(F2857,[1]完整分类结果!$E:$G,3,0)</f>
        <v>普通机械制造业</v>
      </c>
      <c r="J2857" s="16">
        <f>VLOOKUP(I2857,[2]行业排放因子!$A:$B,2,0)</f>
        <v>9.6615781889079599</v>
      </c>
      <c r="K2857" s="9" t="s">
        <v>756</v>
      </c>
    </row>
    <row r="2858" spans="1:11" ht="12.5" customHeight="1" x14ac:dyDescent="0.25">
      <c r="A2858" s="5" t="s">
        <v>10769</v>
      </c>
      <c r="B2858" s="6" t="s">
        <v>7578</v>
      </c>
      <c r="C2858" s="6" t="s">
        <v>10241</v>
      </c>
      <c r="D2858" s="6" t="s">
        <v>10753</v>
      </c>
      <c r="E2858" s="6" t="s">
        <v>10770</v>
      </c>
      <c r="F2858" s="6" t="s">
        <v>10771</v>
      </c>
      <c r="G2858" s="9" t="s">
        <v>10772</v>
      </c>
      <c r="H2858" s="9" t="s">
        <v>18</v>
      </c>
      <c r="I2858" s="16" t="str">
        <f>VLOOKUP(F2858,[1]完整分类结果!$E:$G,3,0)</f>
        <v>普通机械制造业</v>
      </c>
      <c r="J2858" s="16">
        <f>VLOOKUP(I2858,[2]行业排放因子!$A:$B,2,0)</f>
        <v>9.6615781889079599</v>
      </c>
      <c r="K2858" s="9" t="s">
        <v>756</v>
      </c>
    </row>
    <row r="2859" spans="1:11" ht="12.5" customHeight="1" x14ac:dyDescent="0.25">
      <c r="A2859" s="5" t="s">
        <v>10773</v>
      </c>
      <c r="B2859" s="6" t="s">
        <v>7578</v>
      </c>
      <c r="C2859" s="6" t="s">
        <v>10241</v>
      </c>
      <c r="D2859" s="6" t="s">
        <v>10753</v>
      </c>
      <c r="E2859" s="6" t="s">
        <v>10774</v>
      </c>
      <c r="F2859" s="6" t="s">
        <v>10775</v>
      </c>
      <c r="G2859" s="9" t="s">
        <v>10776</v>
      </c>
      <c r="H2859" s="9" t="s">
        <v>18</v>
      </c>
      <c r="I2859" s="16" t="str">
        <f>VLOOKUP(F2859,[1]完整分类结果!$E:$G,3,0)</f>
        <v>普通机械制造业</v>
      </c>
      <c r="J2859" s="16">
        <f>VLOOKUP(I2859,[2]行业排放因子!$A:$B,2,0)</f>
        <v>9.6615781889079599</v>
      </c>
      <c r="K2859" s="9" t="s">
        <v>756</v>
      </c>
    </row>
    <row r="2860" spans="1:11" ht="12.5" customHeight="1" x14ac:dyDescent="0.25">
      <c r="A2860" s="5" t="s">
        <v>10777</v>
      </c>
      <c r="B2860" s="6" t="s">
        <v>7578</v>
      </c>
      <c r="C2860" s="6" t="s">
        <v>10241</v>
      </c>
      <c r="D2860" s="6" t="s">
        <v>10753</v>
      </c>
      <c r="E2860" s="6" t="s">
        <v>10778</v>
      </c>
      <c r="F2860" s="6" t="s">
        <v>10779</v>
      </c>
      <c r="G2860" s="9" t="s">
        <v>10780</v>
      </c>
      <c r="H2860" s="9" t="s">
        <v>18</v>
      </c>
      <c r="I2860" s="16" t="str">
        <f>VLOOKUP(F2860,[1]完整分类结果!$E:$G,3,0)</f>
        <v>普通机械制造业</v>
      </c>
      <c r="J2860" s="16">
        <f>VLOOKUP(I2860,[2]行业排放因子!$A:$B,2,0)</f>
        <v>9.6615781889079599</v>
      </c>
      <c r="K2860" s="9" t="s">
        <v>756</v>
      </c>
    </row>
    <row r="2861" spans="1:11" ht="12.5" customHeight="1" x14ac:dyDescent="0.25">
      <c r="A2861" s="5" t="s">
        <v>10781</v>
      </c>
      <c r="B2861" s="6" t="s">
        <v>7578</v>
      </c>
      <c r="C2861" s="6" t="s">
        <v>10241</v>
      </c>
      <c r="D2861" s="6" t="s">
        <v>10753</v>
      </c>
      <c r="E2861" s="6" t="s">
        <v>10782</v>
      </c>
      <c r="F2861" s="6" t="s">
        <v>10783</v>
      </c>
      <c r="G2861" s="9" t="s">
        <v>10784</v>
      </c>
      <c r="H2861" s="9" t="s">
        <v>18</v>
      </c>
      <c r="I2861" s="16" t="str">
        <f>VLOOKUP(F2861,[1]完整分类结果!$E:$G,3,0)</f>
        <v>普通机械制造业</v>
      </c>
      <c r="J2861" s="16">
        <f>VLOOKUP(I2861,[2]行业排放因子!$A:$B,2,0)</f>
        <v>9.6615781889079599</v>
      </c>
      <c r="K2861" s="9" t="s">
        <v>756</v>
      </c>
    </row>
    <row r="2862" spans="1:11" ht="12.5" customHeight="1" x14ac:dyDescent="0.25">
      <c r="A2862" s="5" t="s">
        <v>10785</v>
      </c>
      <c r="B2862" s="6" t="s">
        <v>7578</v>
      </c>
      <c r="C2862" s="6" t="s">
        <v>10241</v>
      </c>
      <c r="D2862" s="6" t="s">
        <v>10753</v>
      </c>
      <c r="E2862" s="6" t="s">
        <v>10786</v>
      </c>
      <c r="F2862" s="6" t="s">
        <v>10787</v>
      </c>
      <c r="G2862" s="9" t="s">
        <v>10788</v>
      </c>
      <c r="H2862" s="9" t="s">
        <v>18</v>
      </c>
      <c r="I2862" s="16" t="str">
        <f>VLOOKUP(F2862,[1]完整分类结果!$E:$G,3,0)</f>
        <v>普通机械制造业</v>
      </c>
      <c r="J2862" s="16">
        <f>VLOOKUP(I2862,[2]行业排放因子!$A:$B,2,0)</f>
        <v>9.6615781889079599</v>
      </c>
      <c r="K2862" s="9" t="s">
        <v>756</v>
      </c>
    </row>
    <row r="2863" spans="1:11" ht="12.5" customHeight="1" x14ac:dyDescent="0.25">
      <c r="A2863" s="5" t="s">
        <v>10789</v>
      </c>
      <c r="B2863" s="6" t="s">
        <v>7578</v>
      </c>
      <c r="C2863" s="6" t="s">
        <v>10241</v>
      </c>
      <c r="D2863" s="6" t="s">
        <v>10790</v>
      </c>
      <c r="E2863" s="6" t="s">
        <v>10791</v>
      </c>
      <c r="F2863" s="6" t="s">
        <v>10792</v>
      </c>
      <c r="G2863" s="9" t="s">
        <v>10793</v>
      </c>
      <c r="H2863" s="9" t="s">
        <v>18</v>
      </c>
      <c r="I2863" s="16" t="str">
        <f>VLOOKUP(F2863,[1]完整分类结果!$E:$G,3,0)</f>
        <v>普通机械制造业</v>
      </c>
      <c r="J2863" s="16">
        <f>VLOOKUP(I2863,[2]行业排放因子!$A:$B,2,0)</f>
        <v>9.6615781889079599</v>
      </c>
      <c r="K2863" s="9" t="s">
        <v>756</v>
      </c>
    </row>
    <row r="2864" spans="1:11" ht="12.5" customHeight="1" x14ac:dyDescent="0.25">
      <c r="A2864" s="5" t="s">
        <v>10794</v>
      </c>
      <c r="B2864" s="6" t="s">
        <v>7578</v>
      </c>
      <c r="C2864" s="6" t="s">
        <v>10241</v>
      </c>
      <c r="D2864" s="6" t="s">
        <v>10790</v>
      </c>
      <c r="E2864" s="6" t="s">
        <v>10795</v>
      </c>
      <c r="F2864" s="6" t="s">
        <v>10796</v>
      </c>
      <c r="G2864" s="9" t="s">
        <v>10797</v>
      </c>
      <c r="H2864" s="9" t="s">
        <v>18</v>
      </c>
      <c r="I2864" s="16" t="str">
        <f>VLOOKUP(F2864,[1]完整分类结果!$E:$G,3,0)</f>
        <v>普通机械制造业</v>
      </c>
      <c r="J2864" s="16">
        <f>VLOOKUP(I2864,[2]行业排放因子!$A:$B,2,0)</f>
        <v>9.6615781889079599</v>
      </c>
      <c r="K2864" s="9" t="s">
        <v>756</v>
      </c>
    </row>
    <row r="2865" spans="1:11" ht="12.5" customHeight="1" x14ac:dyDescent="0.25">
      <c r="A2865" s="5" t="s">
        <v>10798</v>
      </c>
      <c r="B2865" s="6" t="s">
        <v>7578</v>
      </c>
      <c r="C2865" s="6" t="s">
        <v>10241</v>
      </c>
      <c r="D2865" s="6" t="s">
        <v>10790</v>
      </c>
      <c r="E2865" s="6" t="s">
        <v>10799</v>
      </c>
      <c r="F2865" s="6" t="s">
        <v>10800</v>
      </c>
      <c r="G2865" s="9" t="s">
        <v>10801</v>
      </c>
      <c r="H2865" s="9" t="s">
        <v>18</v>
      </c>
      <c r="I2865" s="16" t="str">
        <f>VLOOKUP(F2865,[1]完整分类结果!$E:$G,3,0)</f>
        <v>普通机械制造业</v>
      </c>
      <c r="J2865" s="16">
        <f>VLOOKUP(I2865,[2]行业排放因子!$A:$B,2,0)</f>
        <v>9.6615781889079599</v>
      </c>
      <c r="K2865" s="9" t="s">
        <v>756</v>
      </c>
    </row>
    <row r="2866" spans="1:11" ht="12.5" customHeight="1" x14ac:dyDescent="0.25">
      <c r="A2866" s="5" t="s">
        <v>10802</v>
      </c>
      <c r="B2866" s="6" t="s">
        <v>7578</v>
      </c>
      <c r="C2866" s="6" t="s">
        <v>10241</v>
      </c>
      <c r="D2866" s="6" t="s">
        <v>10790</v>
      </c>
      <c r="E2866" s="6" t="s">
        <v>10803</v>
      </c>
      <c r="F2866" s="6" t="s">
        <v>10804</v>
      </c>
      <c r="G2866" s="9" t="s">
        <v>10805</v>
      </c>
      <c r="H2866" s="9" t="s">
        <v>18</v>
      </c>
      <c r="I2866" s="16" t="str">
        <f>VLOOKUP(F2866,[1]完整分类结果!$E:$G,3,0)</f>
        <v>普通机械制造业</v>
      </c>
      <c r="J2866" s="16">
        <f>VLOOKUP(I2866,[2]行业排放因子!$A:$B,2,0)</f>
        <v>9.6615781889079599</v>
      </c>
      <c r="K2866" s="9" t="s">
        <v>756</v>
      </c>
    </row>
    <row r="2867" spans="1:11" ht="12.5" customHeight="1" x14ac:dyDescent="0.25">
      <c r="A2867" s="5" t="s">
        <v>10806</v>
      </c>
      <c r="B2867" s="6" t="s">
        <v>7578</v>
      </c>
      <c r="C2867" s="6" t="s">
        <v>10241</v>
      </c>
      <c r="D2867" s="6" t="s">
        <v>10790</v>
      </c>
      <c r="E2867" s="6" t="s">
        <v>10807</v>
      </c>
      <c r="F2867" s="6" t="s">
        <v>10808</v>
      </c>
      <c r="G2867" s="9" t="s">
        <v>10809</v>
      </c>
      <c r="H2867" s="9" t="s">
        <v>18</v>
      </c>
      <c r="I2867" s="16" t="str">
        <f>VLOOKUP(F2867,[1]完整分类结果!$E:$G,3,0)</f>
        <v>普通机械制造业</v>
      </c>
      <c r="J2867" s="16">
        <f>VLOOKUP(I2867,[2]行业排放因子!$A:$B,2,0)</f>
        <v>9.6615781889079599</v>
      </c>
      <c r="K2867" s="9" t="s">
        <v>756</v>
      </c>
    </row>
    <row r="2868" spans="1:11" ht="12.5" customHeight="1" x14ac:dyDescent="0.25">
      <c r="A2868" s="5" t="s">
        <v>10810</v>
      </c>
      <c r="B2868" s="6" t="s">
        <v>7578</v>
      </c>
      <c r="C2868" s="6" t="s">
        <v>10241</v>
      </c>
      <c r="D2868" s="6" t="s">
        <v>10790</v>
      </c>
      <c r="E2868" s="6" t="s">
        <v>10811</v>
      </c>
      <c r="F2868" s="6" t="s">
        <v>10812</v>
      </c>
      <c r="G2868" s="9" t="s">
        <v>10813</v>
      </c>
      <c r="H2868" s="9" t="s">
        <v>18</v>
      </c>
      <c r="I2868" s="16" t="str">
        <f>VLOOKUP(F2868,[1]完整分类结果!$E:$G,3,0)</f>
        <v>普通机械制造业</v>
      </c>
      <c r="J2868" s="16">
        <f>VLOOKUP(I2868,[2]行业排放因子!$A:$B,2,0)</f>
        <v>9.6615781889079599</v>
      </c>
      <c r="K2868" s="9" t="s">
        <v>756</v>
      </c>
    </row>
    <row r="2869" spans="1:11" ht="12.5" customHeight="1" x14ac:dyDescent="0.25">
      <c r="A2869" s="5" t="s">
        <v>10814</v>
      </c>
      <c r="B2869" s="6" t="s">
        <v>7578</v>
      </c>
      <c r="C2869" s="6" t="s">
        <v>10241</v>
      </c>
      <c r="D2869" s="6" t="s">
        <v>10790</v>
      </c>
      <c r="E2869" s="6" t="s">
        <v>10815</v>
      </c>
      <c r="F2869" s="6" t="s">
        <v>10816</v>
      </c>
      <c r="G2869" s="9"/>
      <c r="H2869" s="9" t="s">
        <v>18</v>
      </c>
      <c r="I2869" s="16" t="str">
        <f>VLOOKUP(F2869,[1]完整分类结果!$E:$G,3,0)</f>
        <v>普通机械制造业</v>
      </c>
      <c r="J2869" s="16">
        <f>VLOOKUP(I2869,[2]行业排放因子!$A:$B,2,0)</f>
        <v>9.6615781889079599</v>
      </c>
      <c r="K2869" s="9" t="s">
        <v>756</v>
      </c>
    </row>
    <row r="2870" spans="1:11" ht="12.5" customHeight="1" x14ac:dyDescent="0.25">
      <c r="A2870" s="5" t="s">
        <v>10817</v>
      </c>
      <c r="B2870" s="6" t="s">
        <v>7578</v>
      </c>
      <c r="C2870" s="6" t="s">
        <v>10241</v>
      </c>
      <c r="D2870" s="6" t="s">
        <v>10818</v>
      </c>
      <c r="E2870" s="6" t="s">
        <v>10819</v>
      </c>
      <c r="F2870" s="6" t="s">
        <v>10820</v>
      </c>
      <c r="G2870" s="9" t="s">
        <v>10821</v>
      </c>
      <c r="H2870" s="9" t="s">
        <v>18</v>
      </c>
      <c r="I2870" s="16" t="str">
        <f>VLOOKUP(F2870,[1]完整分类结果!$E:$G,3,0)</f>
        <v>普通机械制造业</v>
      </c>
      <c r="J2870" s="16">
        <f>VLOOKUP(I2870,[2]行业排放因子!$A:$B,2,0)</f>
        <v>9.6615781889079599</v>
      </c>
      <c r="K2870" s="9" t="s">
        <v>756</v>
      </c>
    </row>
    <row r="2871" spans="1:11" ht="12.5" customHeight="1" x14ac:dyDescent="0.25">
      <c r="A2871" s="5" t="s">
        <v>10822</v>
      </c>
      <c r="B2871" s="6" t="s">
        <v>7578</v>
      </c>
      <c r="C2871" s="6" t="s">
        <v>10241</v>
      </c>
      <c r="D2871" s="6" t="s">
        <v>10818</v>
      </c>
      <c r="E2871" s="6" t="s">
        <v>10823</v>
      </c>
      <c r="F2871" s="6" t="s">
        <v>10824</v>
      </c>
      <c r="G2871" s="9" t="s">
        <v>10825</v>
      </c>
      <c r="H2871" s="9" t="s">
        <v>18</v>
      </c>
      <c r="I2871" s="16" t="str">
        <f>VLOOKUP(F2871,[1]完整分类结果!$E:$G,3,0)</f>
        <v>普通机械制造业</v>
      </c>
      <c r="J2871" s="16">
        <f>VLOOKUP(I2871,[2]行业排放因子!$A:$B,2,0)</f>
        <v>9.6615781889079599</v>
      </c>
      <c r="K2871" s="9" t="s">
        <v>756</v>
      </c>
    </row>
    <row r="2872" spans="1:11" ht="12.5" customHeight="1" x14ac:dyDescent="0.25">
      <c r="A2872" s="5" t="s">
        <v>10826</v>
      </c>
      <c r="B2872" s="6" t="s">
        <v>7578</v>
      </c>
      <c r="C2872" s="6" t="s">
        <v>10241</v>
      </c>
      <c r="D2872" s="6" t="s">
        <v>10818</v>
      </c>
      <c r="E2872" s="6" t="s">
        <v>10827</v>
      </c>
      <c r="F2872" s="6" t="s">
        <v>10828</v>
      </c>
      <c r="G2872" s="9" t="s">
        <v>10829</v>
      </c>
      <c r="H2872" s="9" t="s">
        <v>18</v>
      </c>
      <c r="I2872" s="16" t="str">
        <f>VLOOKUP(F2872,[1]完整分类结果!$E:$G,3,0)</f>
        <v>普通机械制造业</v>
      </c>
      <c r="J2872" s="16">
        <f>VLOOKUP(I2872,[2]行业排放因子!$A:$B,2,0)</f>
        <v>9.6615781889079599</v>
      </c>
      <c r="K2872" s="9" t="s">
        <v>756</v>
      </c>
    </row>
    <row r="2873" spans="1:11" ht="12.5" customHeight="1" x14ac:dyDescent="0.25">
      <c r="A2873" s="5" t="s">
        <v>10830</v>
      </c>
      <c r="B2873" s="6" t="s">
        <v>7578</v>
      </c>
      <c r="C2873" s="6" t="s">
        <v>10241</v>
      </c>
      <c r="D2873" s="6" t="s">
        <v>10818</v>
      </c>
      <c r="E2873" s="6" t="s">
        <v>10831</v>
      </c>
      <c r="F2873" s="6" t="s">
        <v>10832</v>
      </c>
      <c r="G2873" s="9"/>
      <c r="H2873" s="9" t="s">
        <v>18</v>
      </c>
      <c r="I2873" s="16" t="str">
        <f>VLOOKUP(F2873,[1]完整分类结果!$E:$G,3,0)</f>
        <v>普通机械制造业</v>
      </c>
      <c r="J2873" s="16">
        <f>VLOOKUP(I2873,[2]行业排放因子!$A:$B,2,0)</f>
        <v>9.6615781889079599</v>
      </c>
      <c r="K2873" s="9" t="s">
        <v>756</v>
      </c>
    </row>
    <row r="2874" spans="1:11" ht="12.5" customHeight="1" x14ac:dyDescent="0.25">
      <c r="A2874" s="5" t="s">
        <v>10833</v>
      </c>
      <c r="B2874" s="6" t="s">
        <v>7578</v>
      </c>
      <c r="C2874" s="6" t="s">
        <v>10241</v>
      </c>
      <c r="D2874" s="6" t="s">
        <v>10818</v>
      </c>
      <c r="E2874" s="6" t="s">
        <v>10834</v>
      </c>
      <c r="F2874" s="6" t="s">
        <v>10835</v>
      </c>
      <c r="G2874" s="9" t="s">
        <v>10836</v>
      </c>
      <c r="H2874" s="9" t="s">
        <v>18</v>
      </c>
      <c r="I2874" s="16" t="str">
        <f>VLOOKUP(F2874,[1]完整分类结果!$E:$G,3,0)</f>
        <v>普通机械制造业</v>
      </c>
      <c r="J2874" s="16">
        <f>VLOOKUP(I2874,[2]行业排放因子!$A:$B,2,0)</f>
        <v>9.6615781889079599</v>
      </c>
      <c r="K2874" s="9" t="s">
        <v>756</v>
      </c>
    </row>
    <row r="2875" spans="1:11" ht="12.5" customHeight="1" x14ac:dyDescent="0.25">
      <c r="A2875" s="5" t="s">
        <v>10837</v>
      </c>
      <c r="B2875" s="6" t="s">
        <v>7578</v>
      </c>
      <c r="C2875" s="6" t="s">
        <v>10241</v>
      </c>
      <c r="D2875" s="6" t="s">
        <v>10818</v>
      </c>
      <c r="E2875" s="6" t="s">
        <v>10838</v>
      </c>
      <c r="F2875" s="6" t="s">
        <v>10839</v>
      </c>
      <c r="G2875" s="9" t="s">
        <v>10840</v>
      </c>
      <c r="H2875" s="9" t="s">
        <v>18</v>
      </c>
      <c r="I2875" s="16" t="str">
        <f>VLOOKUP(F2875,[1]完整分类结果!$E:$G,3,0)</f>
        <v>普通机械制造业</v>
      </c>
      <c r="J2875" s="16">
        <f>VLOOKUP(I2875,[2]行业排放因子!$A:$B,2,0)</f>
        <v>9.6615781889079599</v>
      </c>
      <c r="K2875" s="9" t="s">
        <v>756</v>
      </c>
    </row>
    <row r="2876" spans="1:11" ht="12.5" customHeight="1" x14ac:dyDescent="0.25">
      <c r="A2876" s="5" t="s">
        <v>10841</v>
      </c>
      <c r="B2876" s="6" t="s">
        <v>7578</v>
      </c>
      <c r="C2876" s="6" t="s">
        <v>10842</v>
      </c>
      <c r="D2876" s="6" t="s">
        <v>10843</v>
      </c>
      <c r="E2876" s="6" t="s">
        <v>10844</v>
      </c>
      <c r="F2876" s="6" t="s">
        <v>10845</v>
      </c>
      <c r="G2876" s="9" t="s">
        <v>10846</v>
      </c>
      <c r="H2876" s="9" t="s">
        <v>18</v>
      </c>
      <c r="I2876" s="16" t="str">
        <f>VLOOKUP(F2876,[1]完整分类结果!$E:$G,3,0)</f>
        <v>普通机械制造业</v>
      </c>
      <c r="J2876" s="16">
        <f>VLOOKUP(I2876,[2]行业排放因子!$A:$B,2,0)</f>
        <v>9.6615781889079599</v>
      </c>
      <c r="K2876" s="9" t="s">
        <v>3898</v>
      </c>
    </row>
    <row r="2877" spans="1:11" ht="12.5" customHeight="1" x14ac:dyDescent="0.25">
      <c r="A2877" s="5" t="s">
        <v>10847</v>
      </c>
      <c r="B2877" s="6" t="s">
        <v>7578</v>
      </c>
      <c r="C2877" s="6" t="s">
        <v>10842</v>
      </c>
      <c r="D2877" s="6" t="s">
        <v>10843</v>
      </c>
      <c r="E2877" s="6" t="s">
        <v>10848</v>
      </c>
      <c r="F2877" s="6" t="s">
        <v>10849</v>
      </c>
      <c r="G2877" s="9" t="s">
        <v>10850</v>
      </c>
      <c r="H2877" s="9" t="s">
        <v>18</v>
      </c>
      <c r="I2877" s="16" t="str">
        <f>VLOOKUP(F2877,[1]完整分类结果!$E:$G,3,0)</f>
        <v>普通机械制造业</v>
      </c>
      <c r="J2877" s="16">
        <f>VLOOKUP(I2877,[2]行业排放因子!$A:$B,2,0)</f>
        <v>9.6615781889079599</v>
      </c>
      <c r="K2877" s="9" t="s">
        <v>3898</v>
      </c>
    </row>
    <row r="2878" spans="1:11" ht="12.5" customHeight="1" x14ac:dyDescent="0.25">
      <c r="A2878" s="5" t="s">
        <v>10851</v>
      </c>
      <c r="B2878" s="6" t="s">
        <v>7578</v>
      </c>
      <c r="C2878" s="6" t="s">
        <v>10842</v>
      </c>
      <c r="D2878" s="6" t="s">
        <v>10843</v>
      </c>
      <c r="E2878" s="6" t="s">
        <v>10852</v>
      </c>
      <c r="F2878" s="6" t="s">
        <v>10853</v>
      </c>
      <c r="G2878" s="9" t="s">
        <v>10854</v>
      </c>
      <c r="H2878" s="9" t="s">
        <v>18</v>
      </c>
      <c r="I2878" s="16" t="str">
        <f>VLOOKUP(F2878,[1]完整分类结果!$E:$G,3,0)</f>
        <v>普通机械制造业</v>
      </c>
      <c r="J2878" s="16">
        <f>VLOOKUP(I2878,[2]行业排放因子!$A:$B,2,0)</f>
        <v>9.6615781889079599</v>
      </c>
      <c r="K2878" s="9" t="s">
        <v>3898</v>
      </c>
    </row>
    <row r="2879" spans="1:11" ht="12.5" customHeight="1" x14ac:dyDescent="0.25">
      <c r="A2879" s="5" t="s">
        <v>10855</v>
      </c>
      <c r="B2879" s="6" t="s">
        <v>7578</v>
      </c>
      <c r="C2879" s="6" t="s">
        <v>10842</v>
      </c>
      <c r="D2879" s="6" t="s">
        <v>10843</v>
      </c>
      <c r="E2879" s="6" t="s">
        <v>10856</v>
      </c>
      <c r="F2879" s="6" t="s">
        <v>10857</v>
      </c>
      <c r="G2879" s="9" t="s">
        <v>10858</v>
      </c>
      <c r="H2879" s="9" t="s">
        <v>18</v>
      </c>
      <c r="I2879" s="16" t="str">
        <f>VLOOKUP(F2879,[1]完整分类结果!$E:$G,3,0)</f>
        <v>普通机械制造业</v>
      </c>
      <c r="J2879" s="16">
        <f>VLOOKUP(I2879,[2]行业排放因子!$A:$B,2,0)</f>
        <v>9.6615781889079599</v>
      </c>
      <c r="K2879" s="9" t="s">
        <v>3898</v>
      </c>
    </row>
    <row r="2880" spans="1:11" ht="12.5" customHeight="1" x14ac:dyDescent="0.25">
      <c r="A2880" s="5" t="s">
        <v>10859</v>
      </c>
      <c r="B2880" s="6" t="s">
        <v>7578</v>
      </c>
      <c r="C2880" s="6" t="s">
        <v>10842</v>
      </c>
      <c r="D2880" s="6" t="s">
        <v>10843</v>
      </c>
      <c r="E2880" s="6" t="s">
        <v>10860</v>
      </c>
      <c r="F2880" s="6" t="s">
        <v>10861</v>
      </c>
      <c r="G2880" s="9" t="s">
        <v>10862</v>
      </c>
      <c r="H2880" s="9" t="s">
        <v>18</v>
      </c>
      <c r="I2880" s="16" t="str">
        <f>VLOOKUP(F2880,[1]完整分类结果!$E:$G,3,0)</f>
        <v>普通机械制造业</v>
      </c>
      <c r="J2880" s="16">
        <f>VLOOKUP(I2880,[2]行业排放因子!$A:$B,2,0)</f>
        <v>9.6615781889079599</v>
      </c>
      <c r="K2880" s="9" t="s">
        <v>3898</v>
      </c>
    </row>
    <row r="2881" spans="1:11" ht="12.5" customHeight="1" x14ac:dyDescent="0.25">
      <c r="A2881" s="5" t="s">
        <v>10863</v>
      </c>
      <c r="B2881" s="6" t="s">
        <v>7578</v>
      </c>
      <c r="C2881" s="6" t="s">
        <v>10842</v>
      </c>
      <c r="D2881" s="6" t="s">
        <v>10843</v>
      </c>
      <c r="E2881" s="6" t="s">
        <v>10864</v>
      </c>
      <c r="F2881" s="6" t="s">
        <v>10865</v>
      </c>
      <c r="G2881" s="9" t="s">
        <v>10866</v>
      </c>
      <c r="H2881" s="9" t="s">
        <v>18</v>
      </c>
      <c r="I2881" s="16" t="str">
        <f>VLOOKUP(F2881,[1]完整分类结果!$E:$G,3,0)</f>
        <v>普通机械制造业</v>
      </c>
      <c r="J2881" s="16">
        <f>VLOOKUP(I2881,[2]行业排放因子!$A:$B,2,0)</f>
        <v>9.6615781889079599</v>
      </c>
      <c r="K2881" s="9" t="s">
        <v>756</v>
      </c>
    </row>
    <row r="2882" spans="1:11" ht="12.5" customHeight="1" x14ac:dyDescent="0.25">
      <c r="A2882" s="5" t="s">
        <v>10867</v>
      </c>
      <c r="B2882" s="6" t="s">
        <v>7578</v>
      </c>
      <c r="C2882" s="6" t="s">
        <v>10842</v>
      </c>
      <c r="D2882" s="6" t="s">
        <v>10843</v>
      </c>
      <c r="E2882" s="6" t="s">
        <v>10868</v>
      </c>
      <c r="F2882" s="6" t="s">
        <v>10869</v>
      </c>
      <c r="G2882" s="9" t="s">
        <v>10870</v>
      </c>
      <c r="H2882" s="9" t="s">
        <v>18</v>
      </c>
      <c r="I2882" s="16" t="str">
        <f>VLOOKUP(F2882,[1]完整分类结果!$E:$G,3,0)</f>
        <v>普通机械制造业</v>
      </c>
      <c r="J2882" s="16">
        <f>VLOOKUP(I2882,[2]行业排放因子!$A:$B,2,0)</f>
        <v>9.6615781889079599</v>
      </c>
      <c r="K2882" s="9" t="s">
        <v>756</v>
      </c>
    </row>
    <row r="2883" spans="1:11" ht="12.5" customHeight="1" x14ac:dyDescent="0.25">
      <c r="A2883" s="5" t="s">
        <v>10871</v>
      </c>
      <c r="B2883" s="6" t="s">
        <v>7578</v>
      </c>
      <c r="C2883" s="6" t="s">
        <v>10842</v>
      </c>
      <c r="D2883" s="6" t="s">
        <v>10872</v>
      </c>
      <c r="E2883" s="6" t="s">
        <v>10873</v>
      </c>
      <c r="F2883" s="6" t="s">
        <v>10874</v>
      </c>
      <c r="G2883" s="9" t="s">
        <v>10875</v>
      </c>
      <c r="H2883" s="9" t="s">
        <v>18</v>
      </c>
      <c r="I2883" s="16" t="str">
        <f>VLOOKUP(F2883,[1]完整分类结果!$E:$G,3,0)</f>
        <v>普通机械制造业</v>
      </c>
      <c r="J2883" s="16">
        <f>VLOOKUP(I2883,[2]行业排放因子!$A:$B,2,0)</f>
        <v>9.6615781889079599</v>
      </c>
      <c r="K2883" s="9" t="s">
        <v>756</v>
      </c>
    </row>
    <row r="2884" spans="1:11" ht="12.5" customHeight="1" x14ac:dyDescent="0.25">
      <c r="A2884" s="5" t="s">
        <v>10876</v>
      </c>
      <c r="B2884" s="6" t="s">
        <v>7578</v>
      </c>
      <c r="C2884" s="6" t="s">
        <v>10842</v>
      </c>
      <c r="D2884" s="6" t="s">
        <v>10872</v>
      </c>
      <c r="E2884" s="6" t="s">
        <v>10877</v>
      </c>
      <c r="F2884" s="6" t="s">
        <v>10878</v>
      </c>
      <c r="G2884" s="9"/>
      <c r="H2884" s="9" t="s">
        <v>18</v>
      </c>
      <c r="I2884" s="16" t="str">
        <f>VLOOKUP(F2884,[1]完整分类结果!$E:$G,3,0)</f>
        <v>普通机械制造业</v>
      </c>
      <c r="J2884" s="16">
        <f>VLOOKUP(I2884,[2]行业排放因子!$A:$B,2,0)</f>
        <v>9.6615781889079599</v>
      </c>
      <c r="K2884" s="9" t="s">
        <v>756</v>
      </c>
    </row>
    <row r="2885" spans="1:11" ht="12.5" customHeight="1" x14ac:dyDescent="0.25">
      <c r="A2885" s="5" t="s">
        <v>10879</v>
      </c>
      <c r="B2885" s="6" t="s">
        <v>7578</v>
      </c>
      <c r="C2885" s="6" t="s">
        <v>10842</v>
      </c>
      <c r="D2885" s="6" t="s">
        <v>10872</v>
      </c>
      <c r="E2885" s="6" t="s">
        <v>10880</v>
      </c>
      <c r="F2885" s="6" t="s">
        <v>10881</v>
      </c>
      <c r="G2885" s="9"/>
      <c r="H2885" s="9" t="s">
        <v>18</v>
      </c>
      <c r="I2885" s="16" t="str">
        <f>VLOOKUP(F2885,[1]完整分类结果!$E:$G,3,0)</f>
        <v>普通机械制造业</v>
      </c>
      <c r="J2885" s="16">
        <f>VLOOKUP(I2885,[2]行业排放因子!$A:$B,2,0)</f>
        <v>9.6615781889079599</v>
      </c>
      <c r="K2885" s="9" t="s">
        <v>756</v>
      </c>
    </row>
    <row r="2886" spans="1:11" ht="12.5" customHeight="1" x14ac:dyDescent="0.25">
      <c r="A2886" s="5" t="s">
        <v>10882</v>
      </c>
      <c r="B2886" s="6" t="s">
        <v>7578</v>
      </c>
      <c r="C2886" s="6" t="s">
        <v>10842</v>
      </c>
      <c r="D2886" s="6" t="s">
        <v>10872</v>
      </c>
      <c r="E2886" s="6" t="s">
        <v>10883</v>
      </c>
      <c r="F2886" s="6" t="s">
        <v>10884</v>
      </c>
      <c r="G2886" s="9" t="s">
        <v>10885</v>
      </c>
      <c r="H2886" s="9" t="s">
        <v>18</v>
      </c>
      <c r="I2886" s="16" t="str">
        <f>VLOOKUP(F2886,[1]完整分类结果!$E:$G,3,0)</f>
        <v>普通机械制造业</v>
      </c>
      <c r="J2886" s="16">
        <f>VLOOKUP(I2886,[2]行业排放因子!$A:$B,2,0)</f>
        <v>9.6615781889079599</v>
      </c>
      <c r="K2886" s="9" t="s">
        <v>756</v>
      </c>
    </row>
    <row r="2887" spans="1:11" ht="12.5" customHeight="1" x14ac:dyDescent="0.25">
      <c r="A2887" s="5" t="s">
        <v>10886</v>
      </c>
      <c r="B2887" s="6" t="s">
        <v>7578</v>
      </c>
      <c r="C2887" s="6" t="s">
        <v>10842</v>
      </c>
      <c r="D2887" s="6" t="s">
        <v>10872</v>
      </c>
      <c r="E2887" s="6" t="s">
        <v>10887</v>
      </c>
      <c r="F2887" s="6" t="s">
        <v>10888</v>
      </c>
      <c r="G2887" s="9" t="s">
        <v>10889</v>
      </c>
      <c r="H2887" s="9" t="s">
        <v>18</v>
      </c>
      <c r="I2887" s="16" t="str">
        <f>VLOOKUP(F2887,[1]完整分类结果!$E:$G,3,0)</f>
        <v>普通机械制造业</v>
      </c>
      <c r="J2887" s="16">
        <f>VLOOKUP(I2887,[2]行业排放因子!$A:$B,2,0)</f>
        <v>9.6615781889079599</v>
      </c>
      <c r="K2887" s="9" t="s">
        <v>756</v>
      </c>
    </row>
    <row r="2888" spans="1:11" ht="12.5" customHeight="1" x14ac:dyDescent="0.25">
      <c r="A2888" s="5" t="s">
        <v>10890</v>
      </c>
      <c r="B2888" s="6" t="s">
        <v>7578</v>
      </c>
      <c r="C2888" s="6" t="s">
        <v>10842</v>
      </c>
      <c r="D2888" s="6" t="s">
        <v>10891</v>
      </c>
      <c r="E2888" s="6" t="s">
        <v>10892</v>
      </c>
      <c r="F2888" s="6" t="s">
        <v>10893</v>
      </c>
      <c r="G2888" s="9" t="s">
        <v>10894</v>
      </c>
      <c r="H2888" s="9" t="s">
        <v>18</v>
      </c>
      <c r="I2888" s="16" t="str">
        <f>VLOOKUP(F2888,[1]完整分类结果!$E:$G,3,0)</f>
        <v>普通机械制造业</v>
      </c>
      <c r="J2888" s="16">
        <f>VLOOKUP(I2888,[2]行业排放因子!$A:$B,2,0)</f>
        <v>9.6615781889079599</v>
      </c>
      <c r="K2888" s="9" t="s">
        <v>756</v>
      </c>
    </row>
    <row r="2889" spans="1:11" ht="12.5" customHeight="1" x14ac:dyDescent="0.25">
      <c r="A2889" s="5" t="s">
        <v>10895</v>
      </c>
      <c r="B2889" s="6" t="s">
        <v>7578</v>
      </c>
      <c r="C2889" s="6" t="s">
        <v>10842</v>
      </c>
      <c r="D2889" s="6" t="s">
        <v>10891</v>
      </c>
      <c r="E2889" s="6" t="s">
        <v>10896</v>
      </c>
      <c r="F2889" s="6" t="s">
        <v>10897</v>
      </c>
      <c r="G2889" s="9" t="s">
        <v>10898</v>
      </c>
      <c r="H2889" s="9" t="s">
        <v>18</v>
      </c>
      <c r="I2889" s="16" t="str">
        <f>VLOOKUP(F2889,[1]完整分类结果!$E:$G,3,0)</f>
        <v>普通机械制造业</v>
      </c>
      <c r="J2889" s="16">
        <f>VLOOKUP(I2889,[2]行业排放因子!$A:$B,2,0)</f>
        <v>9.6615781889079599</v>
      </c>
      <c r="K2889" s="9" t="s">
        <v>756</v>
      </c>
    </row>
    <row r="2890" spans="1:11" ht="12.5" customHeight="1" x14ac:dyDescent="0.25">
      <c r="A2890" s="5" t="s">
        <v>10899</v>
      </c>
      <c r="B2890" s="6" t="s">
        <v>7578</v>
      </c>
      <c r="C2890" s="6" t="s">
        <v>10842</v>
      </c>
      <c r="D2890" s="6" t="s">
        <v>10891</v>
      </c>
      <c r="E2890" s="6" t="s">
        <v>10900</v>
      </c>
      <c r="F2890" s="6" t="s">
        <v>10901</v>
      </c>
      <c r="G2890" s="9" t="s">
        <v>10902</v>
      </c>
      <c r="H2890" s="9" t="s">
        <v>18</v>
      </c>
      <c r="I2890" s="16" t="str">
        <f>VLOOKUP(F2890,[1]完整分类结果!$E:$G,3,0)</f>
        <v>普通机械制造业</v>
      </c>
      <c r="J2890" s="16">
        <f>VLOOKUP(I2890,[2]行业排放因子!$A:$B,2,0)</f>
        <v>9.6615781889079599</v>
      </c>
      <c r="K2890" s="9" t="s">
        <v>756</v>
      </c>
    </row>
    <row r="2891" spans="1:11" ht="12.5" customHeight="1" x14ac:dyDescent="0.25">
      <c r="A2891" s="5" t="s">
        <v>10903</v>
      </c>
      <c r="B2891" s="6" t="s">
        <v>7578</v>
      </c>
      <c r="C2891" s="6" t="s">
        <v>10842</v>
      </c>
      <c r="D2891" s="6" t="s">
        <v>10891</v>
      </c>
      <c r="E2891" s="6" t="s">
        <v>10904</v>
      </c>
      <c r="F2891" s="6" t="s">
        <v>10905</v>
      </c>
      <c r="G2891" s="9" t="s">
        <v>10906</v>
      </c>
      <c r="H2891" s="9" t="s">
        <v>18</v>
      </c>
      <c r="I2891" s="16" t="str">
        <f>VLOOKUP(F2891,[1]完整分类结果!$E:$G,3,0)</f>
        <v>普通机械制造业</v>
      </c>
      <c r="J2891" s="16">
        <f>VLOOKUP(I2891,[2]行业排放因子!$A:$B,2,0)</f>
        <v>9.6615781889079599</v>
      </c>
      <c r="K2891" s="9" t="s">
        <v>756</v>
      </c>
    </row>
    <row r="2892" spans="1:11" ht="12.5" customHeight="1" x14ac:dyDescent="0.25">
      <c r="A2892" s="5" t="s">
        <v>10907</v>
      </c>
      <c r="B2892" s="6" t="s">
        <v>7578</v>
      </c>
      <c r="C2892" s="6" t="s">
        <v>10842</v>
      </c>
      <c r="D2892" s="6" t="s">
        <v>10908</v>
      </c>
      <c r="E2892" s="6" t="s">
        <v>10909</v>
      </c>
      <c r="F2892" s="6" t="s">
        <v>10910</v>
      </c>
      <c r="G2892" s="9" t="s">
        <v>10911</v>
      </c>
      <c r="H2892" s="9" t="s">
        <v>18</v>
      </c>
      <c r="I2892" s="16" t="str">
        <f>VLOOKUP(F2892,[1]完整分类结果!$E:$G,3,0)</f>
        <v>电子及通信设备制造业</v>
      </c>
      <c r="J2892" s="16">
        <f>VLOOKUP(I2892,[2]行业排放因子!$A:$B,2,0)</f>
        <v>7.5202868648033796</v>
      </c>
      <c r="K2892" s="9" t="s">
        <v>756</v>
      </c>
    </row>
    <row r="2893" spans="1:11" ht="12.5" customHeight="1" x14ac:dyDescent="0.25">
      <c r="A2893" s="5" t="s">
        <v>10912</v>
      </c>
      <c r="B2893" s="6" t="s">
        <v>7578</v>
      </c>
      <c r="C2893" s="6" t="s">
        <v>10842</v>
      </c>
      <c r="D2893" s="6" t="s">
        <v>10908</v>
      </c>
      <c r="E2893" s="6" t="s">
        <v>10913</v>
      </c>
      <c r="F2893" s="6" t="s">
        <v>10914</v>
      </c>
      <c r="G2893" s="9" t="s">
        <v>10915</v>
      </c>
      <c r="H2893" s="9" t="s">
        <v>18</v>
      </c>
      <c r="I2893" s="16" t="str">
        <f>VLOOKUP(F2893,[1]完整分类结果!$E:$G,3,0)</f>
        <v>电子及通信设备制造业</v>
      </c>
      <c r="J2893" s="16">
        <f>VLOOKUP(I2893,[2]行业排放因子!$A:$B,2,0)</f>
        <v>7.5202868648033796</v>
      </c>
      <c r="K2893" s="9" t="s">
        <v>756</v>
      </c>
    </row>
    <row r="2894" spans="1:11" ht="12.5" customHeight="1" x14ac:dyDescent="0.25">
      <c r="A2894" s="5" t="s">
        <v>10916</v>
      </c>
      <c r="B2894" s="6" t="s">
        <v>7578</v>
      </c>
      <c r="C2894" s="6" t="s">
        <v>10842</v>
      </c>
      <c r="D2894" s="6" t="s">
        <v>10908</v>
      </c>
      <c r="E2894" s="6" t="s">
        <v>10917</v>
      </c>
      <c r="F2894" s="6" t="s">
        <v>10918</v>
      </c>
      <c r="G2894" s="9"/>
      <c r="H2894" s="9" t="s">
        <v>18</v>
      </c>
      <c r="I2894" s="16" t="str">
        <f>VLOOKUP(F2894,[1]完整分类结果!$E:$G,3,0)</f>
        <v>电子及通信设备制造业</v>
      </c>
      <c r="J2894" s="16">
        <f>VLOOKUP(I2894,[2]行业排放因子!$A:$B,2,0)</f>
        <v>7.5202868648033796</v>
      </c>
      <c r="K2894" s="9" t="s">
        <v>756</v>
      </c>
    </row>
    <row r="2895" spans="1:11" ht="12.5" customHeight="1" x14ac:dyDescent="0.25">
      <c r="A2895" s="5" t="s">
        <v>10919</v>
      </c>
      <c r="B2895" s="6" t="s">
        <v>7578</v>
      </c>
      <c r="C2895" s="6" t="s">
        <v>10842</v>
      </c>
      <c r="D2895" s="6" t="s">
        <v>10908</v>
      </c>
      <c r="E2895" s="6" t="s">
        <v>10920</v>
      </c>
      <c r="F2895" s="6" t="s">
        <v>10921</v>
      </c>
      <c r="G2895" s="9"/>
      <c r="H2895" s="9" t="s">
        <v>18</v>
      </c>
      <c r="I2895" s="16" t="str">
        <f>VLOOKUP(F2895,[1]完整分类结果!$E:$G,3,0)</f>
        <v>电子及通信设备制造业</v>
      </c>
      <c r="J2895" s="16">
        <f>VLOOKUP(I2895,[2]行业排放因子!$A:$B,2,0)</f>
        <v>7.5202868648033796</v>
      </c>
      <c r="K2895" s="9" t="s">
        <v>3898</v>
      </c>
    </row>
    <row r="2896" spans="1:11" ht="12.5" customHeight="1" x14ac:dyDescent="0.25">
      <c r="A2896" s="5" t="s">
        <v>10922</v>
      </c>
      <c r="B2896" s="6" t="s">
        <v>7578</v>
      </c>
      <c r="C2896" s="6" t="s">
        <v>10842</v>
      </c>
      <c r="D2896" s="6" t="s">
        <v>10908</v>
      </c>
      <c r="E2896" s="6" t="s">
        <v>10923</v>
      </c>
      <c r="F2896" s="6" t="s">
        <v>10924</v>
      </c>
      <c r="G2896" s="9" t="s">
        <v>10925</v>
      </c>
      <c r="H2896" s="9" t="s">
        <v>18</v>
      </c>
      <c r="I2896" s="16" t="str">
        <f>VLOOKUP(F2896,[1]完整分类结果!$E:$G,3,0)</f>
        <v>电子及通信设备制造业</v>
      </c>
      <c r="J2896" s="16">
        <f>VLOOKUP(I2896,[2]行业排放因子!$A:$B,2,0)</f>
        <v>7.5202868648033796</v>
      </c>
      <c r="K2896" s="9" t="s">
        <v>3898</v>
      </c>
    </row>
    <row r="2897" spans="1:11" ht="12.5" customHeight="1" x14ac:dyDescent="0.25">
      <c r="A2897" s="5" t="s">
        <v>10926</v>
      </c>
      <c r="B2897" s="6" t="s">
        <v>7578</v>
      </c>
      <c r="C2897" s="6" t="s">
        <v>10842</v>
      </c>
      <c r="D2897" s="6" t="s">
        <v>10908</v>
      </c>
      <c r="E2897" s="6" t="s">
        <v>10927</v>
      </c>
      <c r="F2897" s="6" t="s">
        <v>10928</v>
      </c>
      <c r="G2897" s="9" t="s">
        <v>10929</v>
      </c>
      <c r="H2897" s="9" t="s">
        <v>18</v>
      </c>
      <c r="I2897" s="16" t="str">
        <f>VLOOKUP(F2897,[1]完整分类结果!$E:$G,3,0)</f>
        <v>电子及通信设备制造业</v>
      </c>
      <c r="J2897" s="16">
        <f>VLOOKUP(I2897,[2]行业排放因子!$A:$B,2,0)</f>
        <v>7.5202868648033796</v>
      </c>
      <c r="K2897" s="9" t="s">
        <v>756</v>
      </c>
    </row>
    <row r="2898" spans="1:11" ht="12.5" customHeight="1" x14ac:dyDescent="0.25">
      <c r="A2898" s="5" t="s">
        <v>10930</v>
      </c>
      <c r="B2898" s="6" t="s">
        <v>7578</v>
      </c>
      <c r="C2898" s="6" t="s">
        <v>10842</v>
      </c>
      <c r="D2898" s="6" t="s">
        <v>10908</v>
      </c>
      <c r="E2898" s="6" t="s">
        <v>10931</v>
      </c>
      <c r="F2898" s="6" t="s">
        <v>10932</v>
      </c>
      <c r="G2898" s="9" t="s">
        <v>10933</v>
      </c>
      <c r="H2898" s="9" t="s">
        <v>18</v>
      </c>
      <c r="I2898" s="16" t="str">
        <f>VLOOKUP(F2898,[1]完整分类结果!$E:$G,3,0)</f>
        <v>电子及通信设备制造业</v>
      </c>
      <c r="J2898" s="16">
        <f>VLOOKUP(I2898,[2]行业排放因子!$A:$B,2,0)</f>
        <v>7.5202868648033796</v>
      </c>
      <c r="K2898" s="9" t="s">
        <v>756</v>
      </c>
    </row>
    <row r="2899" spans="1:11" ht="12.5" customHeight="1" x14ac:dyDescent="0.25">
      <c r="A2899" s="5" t="s">
        <v>10934</v>
      </c>
      <c r="B2899" s="6" t="s">
        <v>7578</v>
      </c>
      <c r="C2899" s="6" t="s">
        <v>10842</v>
      </c>
      <c r="D2899" s="6" t="s">
        <v>10935</v>
      </c>
      <c r="E2899" s="6" t="s">
        <v>10936</v>
      </c>
      <c r="F2899" s="6" t="s">
        <v>10937</v>
      </c>
      <c r="G2899" s="9" t="s">
        <v>10938</v>
      </c>
      <c r="H2899" s="9" t="s">
        <v>18</v>
      </c>
      <c r="I2899" s="16" t="str">
        <f>VLOOKUP(F2899,[1]完整分类结果!$E:$G,3,0)</f>
        <v>普通机械制造业</v>
      </c>
      <c r="J2899" s="16">
        <f>VLOOKUP(I2899,[2]行业排放因子!$A:$B,2,0)</f>
        <v>9.6615781889079599</v>
      </c>
      <c r="K2899" s="9" t="s">
        <v>756</v>
      </c>
    </row>
    <row r="2900" spans="1:11" ht="12.5" customHeight="1" x14ac:dyDescent="0.25">
      <c r="A2900" s="5" t="s">
        <v>10939</v>
      </c>
      <c r="B2900" s="6" t="s">
        <v>7578</v>
      </c>
      <c r="C2900" s="6" t="s">
        <v>10842</v>
      </c>
      <c r="D2900" s="6" t="s">
        <v>10935</v>
      </c>
      <c r="E2900" s="6" t="s">
        <v>10940</v>
      </c>
      <c r="F2900" s="6" t="s">
        <v>10941</v>
      </c>
      <c r="G2900" s="9" t="s">
        <v>10942</v>
      </c>
      <c r="H2900" s="9" t="s">
        <v>18</v>
      </c>
      <c r="I2900" s="16" t="str">
        <f>VLOOKUP(F2900,[1]完整分类结果!$E:$G,3,0)</f>
        <v>普通机械制造业</v>
      </c>
      <c r="J2900" s="16">
        <f>VLOOKUP(I2900,[2]行业排放因子!$A:$B,2,0)</f>
        <v>9.6615781889079599</v>
      </c>
      <c r="K2900" s="9" t="s">
        <v>756</v>
      </c>
    </row>
    <row r="2901" spans="1:11" ht="12.5" customHeight="1" x14ac:dyDescent="0.25">
      <c r="A2901" s="5" t="s">
        <v>10943</v>
      </c>
      <c r="B2901" s="6" t="s">
        <v>7578</v>
      </c>
      <c r="C2901" s="6" t="s">
        <v>10842</v>
      </c>
      <c r="D2901" s="6" t="s">
        <v>10935</v>
      </c>
      <c r="E2901" s="6" t="s">
        <v>10944</v>
      </c>
      <c r="F2901" s="6" t="s">
        <v>10945</v>
      </c>
      <c r="G2901" s="9" t="s">
        <v>10946</v>
      </c>
      <c r="H2901" s="9" t="s">
        <v>18</v>
      </c>
      <c r="I2901" s="16" t="str">
        <f>VLOOKUP(F2901,[1]完整分类结果!$E:$G,3,0)</f>
        <v>普通机械制造业</v>
      </c>
      <c r="J2901" s="16">
        <f>VLOOKUP(I2901,[2]行业排放因子!$A:$B,2,0)</f>
        <v>9.6615781889079599</v>
      </c>
      <c r="K2901" s="9" t="s">
        <v>756</v>
      </c>
    </row>
    <row r="2902" spans="1:11" ht="12.5" customHeight="1" x14ac:dyDescent="0.25">
      <c r="A2902" s="5" t="s">
        <v>10947</v>
      </c>
      <c r="B2902" s="6" t="s">
        <v>7578</v>
      </c>
      <c r="C2902" s="6" t="s">
        <v>10842</v>
      </c>
      <c r="D2902" s="6" t="s">
        <v>10935</v>
      </c>
      <c r="E2902" s="6" t="s">
        <v>10948</v>
      </c>
      <c r="F2902" s="6" t="s">
        <v>10949</v>
      </c>
      <c r="G2902" s="9" t="s">
        <v>10950</v>
      </c>
      <c r="H2902" s="9" t="s">
        <v>18</v>
      </c>
      <c r="I2902" s="16" t="str">
        <f>VLOOKUP(F2902,[1]完整分类结果!$E:$G,3,0)</f>
        <v>普通机械制造业</v>
      </c>
      <c r="J2902" s="16">
        <f>VLOOKUP(I2902,[2]行业排放因子!$A:$B,2,0)</f>
        <v>9.6615781889079599</v>
      </c>
      <c r="K2902" s="9" t="s">
        <v>756</v>
      </c>
    </row>
    <row r="2903" spans="1:11" ht="12.5" customHeight="1" x14ac:dyDescent="0.25">
      <c r="A2903" s="5" t="s">
        <v>10951</v>
      </c>
      <c r="B2903" s="6" t="s">
        <v>7578</v>
      </c>
      <c r="C2903" s="6" t="s">
        <v>10842</v>
      </c>
      <c r="D2903" s="6" t="s">
        <v>10952</v>
      </c>
      <c r="E2903" s="6" t="s">
        <v>10953</v>
      </c>
      <c r="F2903" s="6" t="s">
        <v>10954</v>
      </c>
      <c r="G2903" s="9" t="s">
        <v>10955</v>
      </c>
      <c r="H2903" s="9" t="s">
        <v>18</v>
      </c>
      <c r="I2903" s="16" t="str">
        <f>VLOOKUP(F2903,[1]完整分类结果!$E:$G,3,0)</f>
        <v>普通机械制造业</v>
      </c>
      <c r="J2903" s="16">
        <f>VLOOKUP(I2903,[2]行业排放因子!$A:$B,2,0)</f>
        <v>9.6615781889079599</v>
      </c>
      <c r="K2903" s="9" t="s">
        <v>756</v>
      </c>
    </row>
    <row r="2904" spans="1:11" ht="12.5" customHeight="1" x14ac:dyDescent="0.25">
      <c r="A2904" s="5" t="s">
        <v>10956</v>
      </c>
      <c r="B2904" s="6" t="s">
        <v>7578</v>
      </c>
      <c r="C2904" s="6" t="s">
        <v>10842</v>
      </c>
      <c r="D2904" s="6" t="s">
        <v>10952</v>
      </c>
      <c r="E2904" s="6" t="s">
        <v>10957</v>
      </c>
      <c r="F2904" s="6" t="s">
        <v>10958</v>
      </c>
      <c r="G2904" s="9" t="s">
        <v>10959</v>
      </c>
      <c r="H2904" s="9" t="s">
        <v>18</v>
      </c>
      <c r="I2904" s="16" t="str">
        <f>VLOOKUP(F2904,[1]完整分类结果!$E:$G,3,0)</f>
        <v>普通机械制造业</v>
      </c>
      <c r="J2904" s="16">
        <f>VLOOKUP(I2904,[2]行业排放因子!$A:$B,2,0)</f>
        <v>9.6615781889079599</v>
      </c>
      <c r="K2904" s="9" t="s">
        <v>756</v>
      </c>
    </row>
    <row r="2905" spans="1:11" ht="12.5" customHeight="1" x14ac:dyDescent="0.25">
      <c r="A2905" s="5" t="s">
        <v>10960</v>
      </c>
      <c r="B2905" s="6" t="s">
        <v>7578</v>
      </c>
      <c r="C2905" s="6" t="s">
        <v>10842</v>
      </c>
      <c r="D2905" s="6" t="s">
        <v>10952</v>
      </c>
      <c r="E2905" s="6" t="s">
        <v>10961</v>
      </c>
      <c r="F2905" s="6" t="s">
        <v>10962</v>
      </c>
      <c r="G2905" s="9" t="s">
        <v>10963</v>
      </c>
      <c r="H2905" s="9" t="s">
        <v>18</v>
      </c>
      <c r="I2905" s="16" t="str">
        <f>VLOOKUP(F2905,[1]完整分类结果!$E:$G,3,0)</f>
        <v>普通机械制造业</v>
      </c>
      <c r="J2905" s="16">
        <f>VLOOKUP(I2905,[2]行业排放因子!$A:$B,2,0)</f>
        <v>9.6615781889079599</v>
      </c>
      <c r="K2905" s="9" t="s">
        <v>756</v>
      </c>
    </row>
    <row r="2906" spans="1:11" ht="12.5" customHeight="1" x14ac:dyDescent="0.25">
      <c r="A2906" s="5" t="s">
        <v>10964</v>
      </c>
      <c r="B2906" s="6" t="s">
        <v>7578</v>
      </c>
      <c r="C2906" s="6" t="s">
        <v>10842</v>
      </c>
      <c r="D2906" s="6" t="s">
        <v>10952</v>
      </c>
      <c r="E2906" s="6" t="s">
        <v>10965</v>
      </c>
      <c r="F2906" s="6" t="s">
        <v>10966</v>
      </c>
      <c r="G2906" s="9" t="s">
        <v>10967</v>
      </c>
      <c r="H2906" s="9" t="s">
        <v>18</v>
      </c>
      <c r="I2906" s="16" t="str">
        <f>VLOOKUP(F2906,[1]完整分类结果!$E:$G,3,0)</f>
        <v>普通机械制造业</v>
      </c>
      <c r="J2906" s="16">
        <f>VLOOKUP(I2906,[2]行业排放因子!$A:$B,2,0)</f>
        <v>9.6615781889079599</v>
      </c>
      <c r="K2906" s="9" t="s">
        <v>756</v>
      </c>
    </row>
    <row r="2907" spans="1:11" ht="12.5" customHeight="1" x14ac:dyDescent="0.25">
      <c r="A2907" s="5" t="s">
        <v>10968</v>
      </c>
      <c r="B2907" s="6" t="s">
        <v>7578</v>
      </c>
      <c r="C2907" s="6" t="s">
        <v>10842</v>
      </c>
      <c r="D2907" s="6" t="s">
        <v>10969</v>
      </c>
      <c r="E2907" s="6" t="s">
        <v>10970</v>
      </c>
      <c r="F2907" s="6" t="s">
        <v>10971</v>
      </c>
      <c r="G2907" s="9" t="s">
        <v>10972</v>
      </c>
      <c r="H2907" s="9" t="s">
        <v>18</v>
      </c>
      <c r="I2907" s="16" t="str">
        <f>VLOOKUP(F2907,[1]完整分类结果!$E:$G,3,0)</f>
        <v>普通机械制造业</v>
      </c>
      <c r="J2907" s="16">
        <f>VLOOKUP(I2907,[2]行业排放因子!$A:$B,2,0)</f>
        <v>9.6615781889079599</v>
      </c>
      <c r="K2907" s="9" t="s">
        <v>756</v>
      </c>
    </row>
    <row r="2908" spans="1:11" ht="12.5" customHeight="1" x14ac:dyDescent="0.25">
      <c r="A2908" s="5" t="s">
        <v>10973</v>
      </c>
      <c r="B2908" s="6" t="s">
        <v>7578</v>
      </c>
      <c r="C2908" s="6" t="s">
        <v>10842</v>
      </c>
      <c r="D2908" s="6" t="s">
        <v>10969</v>
      </c>
      <c r="E2908" s="6" t="s">
        <v>10974</v>
      </c>
      <c r="F2908" s="6" t="s">
        <v>10975</v>
      </c>
      <c r="G2908" s="9" t="s">
        <v>10976</v>
      </c>
      <c r="H2908" s="9" t="s">
        <v>18</v>
      </c>
      <c r="I2908" s="16" t="str">
        <f>VLOOKUP(F2908,[1]完整分类结果!$E:$G,3,0)</f>
        <v>普通机械制造业</v>
      </c>
      <c r="J2908" s="16">
        <f>VLOOKUP(I2908,[2]行业排放因子!$A:$B,2,0)</f>
        <v>9.6615781889079599</v>
      </c>
      <c r="K2908" s="9" t="s">
        <v>756</v>
      </c>
    </row>
    <row r="2909" spans="1:11" ht="12.5" customHeight="1" x14ac:dyDescent="0.25">
      <c r="A2909" s="5" t="s">
        <v>10977</v>
      </c>
      <c r="B2909" s="6" t="s">
        <v>7578</v>
      </c>
      <c r="C2909" s="6" t="s">
        <v>10842</v>
      </c>
      <c r="D2909" s="6" t="s">
        <v>10969</v>
      </c>
      <c r="E2909" s="6" t="s">
        <v>10978</v>
      </c>
      <c r="F2909" s="6" t="s">
        <v>10979</v>
      </c>
      <c r="G2909" s="9" t="s">
        <v>10980</v>
      </c>
      <c r="H2909" s="9" t="s">
        <v>18</v>
      </c>
      <c r="I2909" s="16" t="str">
        <f>VLOOKUP(F2909,[1]完整分类结果!$E:$G,3,0)</f>
        <v>普通机械制造业</v>
      </c>
      <c r="J2909" s="16">
        <f>VLOOKUP(I2909,[2]行业排放因子!$A:$B,2,0)</f>
        <v>9.6615781889079599</v>
      </c>
      <c r="K2909" s="9" t="s">
        <v>756</v>
      </c>
    </row>
    <row r="2910" spans="1:11" ht="12.5" customHeight="1" x14ac:dyDescent="0.25">
      <c r="A2910" s="5" t="s">
        <v>10981</v>
      </c>
      <c r="B2910" s="6" t="s">
        <v>7578</v>
      </c>
      <c r="C2910" s="6" t="s">
        <v>10842</v>
      </c>
      <c r="D2910" s="6" t="s">
        <v>10969</v>
      </c>
      <c r="E2910" s="6" t="s">
        <v>10982</v>
      </c>
      <c r="F2910" s="6" t="s">
        <v>10983</v>
      </c>
      <c r="G2910" s="9" t="s">
        <v>10984</v>
      </c>
      <c r="H2910" s="9" t="s">
        <v>18</v>
      </c>
      <c r="I2910" s="16" t="str">
        <f>VLOOKUP(F2910,[1]完整分类结果!$E:$G,3,0)</f>
        <v>普通机械制造业</v>
      </c>
      <c r="J2910" s="16">
        <f>VLOOKUP(I2910,[2]行业排放因子!$A:$B,2,0)</f>
        <v>9.6615781889079599</v>
      </c>
      <c r="K2910" s="9" t="s">
        <v>756</v>
      </c>
    </row>
    <row r="2911" spans="1:11" ht="12.5" customHeight="1" x14ac:dyDescent="0.25">
      <c r="A2911" s="5" t="s">
        <v>10985</v>
      </c>
      <c r="B2911" s="6" t="s">
        <v>7578</v>
      </c>
      <c r="C2911" s="6" t="s">
        <v>10842</v>
      </c>
      <c r="D2911" s="6" t="s">
        <v>10986</v>
      </c>
      <c r="E2911" s="6" t="s">
        <v>10987</v>
      </c>
      <c r="F2911" s="6" t="s">
        <v>10988</v>
      </c>
      <c r="G2911" s="9" t="s">
        <v>10989</v>
      </c>
      <c r="H2911" s="9" t="s">
        <v>18</v>
      </c>
      <c r="I2911" s="16" t="str">
        <f>VLOOKUP(F2911,[1]完整分类结果!$E:$G,3,0)</f>
        <v>电子及通信设备制造业</v>
      </c>
      <c r="J2911" s="16">
        <f>VLOOKUP(I2911,[2]行业排放因子!$A:$B,2,0)</f>
        <v>7.5202868648033796</v>
      </c>
      <c r="K2911" s="9" t="s">
        <v>756</v>
      </c>
    </row>
    <row r="2912" spans="1:11" ht="12.5" customHeight="1" x14ac:dyDescent="0.25">
      <c r="A2912" s="5" t="s">
        <v>10990</v>
      </c>
      <c r="B2912" s="6" t="s">
        <v>7578</v>
      </c>
      <c r="C2912" s="6" t="s">
        <v>10842</v>
      </c>
      <c r="D2912" s="6" t="s">
        <v>10986</v>
      </c>
      <c r="E2912" s="6" t="s">
        <v>10991</v>
      </c>
      <c r="F2912" s="6" t="s">
        <v>10992</v>
      </c>
      <c r="G2912" s="9" t="s">
        <v>10993</v>
      </c>
      <c r="H2912" s="9" t="s">
        <v>18</v>
      </c>
      <c r="I2912" s="16" t="str">
        <f>VLOOKUP(F2912,[1]完整分类结果!$E:$G,3,0)</f>
        <v>电子及通信设备制造业</v>
      </c>
      <c r="J2912" s="16">
        <f>VLOOKUP(I2912,[2]行业排放因子!$A:$B,2,0)</f>
        <v>7.5202868648033796</v>
      </c>
      <c r="K2912" s="9" t="s">
        <v>756</v>
      </c>
    </row>
    <row r="2913" spans="1:11" ht="12.5" customHeight="1" x14ac:dyDescent="0.25">
      <c r="A2913" s="5" t="s">
        <v>10994</v>
      </c>
      <c r="B2913" s="6" t="s">
        <v>7578</v>
      </c>
      <c r="C2913" s="6" t="s">
        <v>10842</v>
      </c>
      <c r="D2913" s="6" t="s">
        <v>10995</v>
      </c>
      <c r="E2913" s="6" t="s">
        <v>10996</v>
      </c>
      <c r="F2913" s="6" t="s">
        <v>10997</v>
      </c>
      <c r="G2913" s="9" t="s">
        <v>10998</v>
      </c>
      <c r="H2913" s="9" t="s">
        <v>18</v>
      </c>
      <c r="I2913" s="16" t="str">
        <f>VLOOKUP(F2913,[1]完整分类结果!$E:$G,3,0)</f>
        <v>电子及通信设备制造业</v>
      </c>
      <c r="J2913" s="16">
        <f>VLOOKUP(I2913,[2]行业排放因子!$A:$B,2,0)</f>
        <v>7.5202868648033796</v>
      </c>
      <c r="K2913" s="9" t="s">
        <v>756</v>
      </c>
    </row>
    <row r="2914" spans="1:11" ht="12.5" customHeight="1" x14ac:dyDescent="0.25">
      <c r="A2914" s="5" t="s">
        <v>10999</v>
      </c>
      <c r="B2914" s="6" t="s">
        <v>7578</v>
      </c>
      <c r="C2914" s="6" t="s">
        <v>10842</v>
      </c>
      <c r="D2914" s="6" t="s">
        <v>10995</v>
      </c>
      <c r="E2914" s="6" t="s">
        <v>11000</v>
      </c>
      <c r="F2914" s="6" t="s">
        <v>11001</v>
      </c>
      <c r="G2914" s="9" t="s">
        <v>11002</v>
      </c>
      <c r="H2914" s="9" t="s">
        <v>18</v>
      </c>
      <c r="I2914" s="16" t="str">
        <f>VLOOKUP(F2914,[1]完整分类结果!$E:$G,3,0)</f>
        <v>电子及通信设备制造业</v>
      </c>
      <c r="J2914" s="16">
        <f>VLOOKUP(I2914,[2]行业排放因子!$A:$B,2,0)</f>
        <v>7.5202868648033796</v>
      </c>
      <c r="K2914" s="9" t="s">
        <v>756</v>
      </c>
    </row>
    <row r="2915" spans="1:11" ht="12.5" customHeight="1" x14ac:dyDescent="0.25">
      <c r="A2915" s="5" t="s">
        <v>11003</v>
      </c>
      <c r="B2915" s="6" t="s">
        <v>7578</v>
      </c>
      <c r="C2915" s="6" t="s">
        <v>10842</v>
      </c>
      <c r="D2915" s="6" t="s">
        <v>10995</v>
      </c>
      <c r="E2915" s="6" t="s">
        <v>11004</v>
      </c>
      <c r="F2915" s="6" t="s">
        <v>11005</v>
      </c>
      <c r="G2915" s="9" t="s">
        <v>11006</v>
      </c>
      <c r="H2915" s="9" t="s">
        <v>18</v>
      </c>
      <c r="I2915" s="16" t="str">
        <f>VLOOKUP(F2915,[1]完整分类结果!$E:$G,3,0)</f>
        <v>电子及通信设备制造业</v>
      </c>
      <c r="J2915" s="16">
        <f>VLOOKUP(I2915,[2]行业排放因子!$A:$B,2,0)</f>
        <v>7.5202868648033796</v>
      </c>
      <c r="K2915" s="9" t="s">
        <v>756</v>
      </c>
    </row>
    <row r="2916" spans="1:11" ht="12.5" customHeight="1" x14ac:dyDescent="0.25">
      <c r="A2916" s="5" t="s">
        <v>11007</v>
      </c>
      <c r="B2916" s="6" t="s">
        <v>7578</v>
      </c>
      <c r="C2916" s="6" t="s">
        <v>10842</v>
      </c>
      <c r="D2916" s="6" t="s">
        <v>10995</v>
      </c>
      <c r="E2916" s="6" t="s">
        <v>11008</v>
      </c>
      <c r="F2916" s="6" t="s">
        <v>11009</v>
      </c>
      <c r="G2916" s="9" t="s">
        <v>11010</v>
      </c>
      <c r="H2916" s="9" t="s">
        <v>18</v>
      </c>
      <c r="I2916" s="16" t="str">
        <f>VLOOKUP(F2916,[1]完整分类结果!$E:$G,3,0)</f>
        <v>电子及通信设备制造业</v>
      </c>
      <c r="J2916" s="16">
        <f>VLOOKUP(I2916,[2]行业排放因子!$A:$B,2,0)</f>
        <v>7.5202868648033796</v>
      </c>
      <c r="K2916" s="9" t="s">
        <v>756</v>
      </c>
    </row>
    <row r="2917" spans="1:11" ht="12.5" customHeight="1" x14ac:dyDescent="0.25">
      <c r="A2917" s="5" t="s">
        <v>11011</v>
      </c>
      <c r="B2917" s="6" t="s">
        <v>7578</v>
      </c>
      <c r="C2917" s="6" t="s">
        <v>10842</v>
      </c>
      <c r="D2917" s="6" t="s">
        <v>10995</v>
      </c>
      <c r="E2917" s="6" t="s">
        <v>11012</v>
      </c>
      <c r="F2917" s="6" t="s">
        <v>11013</v>
      </c>
      <c r="G2917" s="9" t="s">
        <v>11014</v>
      </c>
      <c r="H2917" s="9" t="s">
        <v>18</v>
      </c>
      <c r="I2917" s="16" t="str">
        <f>VLOOKUP(F2917,[1]完整分类结果!$E:$G,3,0)</f>
        <v>电子及通信设备制造业</v>
      </c>
      <c r="J2917" s="16">
        <f>VLOOKUP(I2917,[2]行业排放因子!$A:$B,2,0)</f>
        <v>7.5202868648033796</v>
      </c>
      <c r="K2917" s="9" t="s">
        <v>756</v>
      </c>
    </row>
    <row r="2918" spans="1:11" ht="12.5" customHeight="1" x14ac:dyDescent="0.25">
      <c r="A2918" s="5" t="s">
        <v>11015</v>
      </c>
      <c r="B2918" s="6" t="s">
        <v>7578</v>
      </c>
      <c r="C2918" s="6" t="s">
        <v>10842</v>
      </c>
      <c r="D2918" s="6" t="s">
        <v>10995</v>
      </c>
      <c r="E2918" s="6" t="s">
        <v>11016</v>
      </c>
      <c r="F2918" s="6" t="s">
        <v>11017</v>
      </c>
      <c r="G2918" s="9"/>
      <c r="H2918" s="9" t="s">
        <v>18</v>
      </c>
      <c r="I2918" s="16" t="str">
        <f>VLOOKUP(F2918,[1]完整分类结果!$E:$G,3,0)</f>
        <v>电子及通信设备制造业</v>
      </c>
      <c r="J2918" s="16">
        <f>VLOOKUP(I2918,[2]行业排放因子!$A:$B,2,0)</f>
        <v>7.5202868648033796</v>
      </c>
      <c r="K2918" s="9" t="s">
        <v>756</v>
      </c>
    </row>
    <row r="2919" spans="1:11" ht="12.5" customHeight="1" x14ac:dyDescent="0.25">
      <c r="A2919" s="5" t="s">
        <v>11018</v>
      </c>
      <c r="B2919" s="6" t="s">
        <v>7578</v>
      </c>
      <c r="C2919" s="6" t="s">
        <v>10842</v>
      </c>
      <c r="D2919" s="6" t="s">
        <v>11019</v>
      </c>
      <c r="E2919" s="6" t="s">
        <v>11020</v>
      </c>
      <c r="F2919" s="6" t="s">
        <v>11021</v>
      </c>
      <c r="G2919" s="9" t="s">
        <v>11022</v>
      </c>
      <c r="H2919" s="9" t="s">
        <v>18</v>
      </c>
      <c r="I2919" s="16" t="str">
        <f>VLOOKUP(F2919,[1]完整分类结果!$E:$G,3,0)</f>
        <v>电子及通信设备制造业</v>
      </c>
      <c r="J2919" s="16">
        <f>VLOOKUP(I2919,[2]行业排放因子!$A:$B,2,0)</f>
        <v>7.5202868648033796</v>
      </c>
      <c r="K2919" s="9" t="s">
        <v>756</v>
      </c>
    </row>
    <row r="2920" spans="1:11" ht="12.5" customHeight="1" x14ac:dyDescent="0.25">
      <c r="A2920" s="5" t="s">
        <v>11023</v>
      </c>
      <c r="B2920" s="6" t="s">
        <v>7578</v>
      </c>
      <c r="C2920" s="6" t="s">
        <v>10842</v>
      </c>
      <c r="D2920" s="6" t="s">
        <v>11019</v>
      </c>
      <c r="E2920" s="6" t="s">
        <v>11024</v>
      </c>
      <c r="F2920" s="6" t="s">
        <v>11025</v>
      </c>
      <c r="G2920" s="9" t="s">
        <v>11026</v>
      </c>
      <c r="H2920" s="9" t="s">
        <v>18</v>
      </c>
      <c r="I2920" s="16" t="str">
        <f>VLOOKUP(F2920,[1]完整分类结果!$E:$G,3,0)</f>
        <v>电子及通信设备制造业</v>
      </c>
      <c r="J2920" s="16">
        <f>VLOOKUP(I2920,[2]行业排放因子!$A:$B,2,0)</f>
        <v>7.5202868648033796</v>
      </c>
      <c r="K2920" s="9" t="s">
        <v>756</v>
      </c>
    </row>
    <row r="2921" spans="1:11" ht="12.5" customHeight="1" x14ac:dyDescent="0.25">
      <c r="A2921" s="5" t="s">
        <v>11027</v>
      </c>
      <c r="B2921" s="6" t="s">
        <v>7578</v>
      </c>
      <c r="C2921" s="6" t="s">
        <v>10842</v>
      </c>
      <c r="D2921" s="6" t="s">
        <v>11019</v>
      </c>
      <c r="E2921" s="6" t="s">
        <v>11028</v>
      </c>
      <c r="F2921" s="6" t="s">
        <v>11029</v>
      </c>
      <c r="G2921" s="9" t="s">
        <v>11030</v>
      </c>
      <c r="H2921" s="9" t="s">
        <v>18</v>
      </c>
      <c r="I2921" s="16" t="str">
        <f>VLOOKUP(F2921,[1]完整分类结果!$E:$G,3,0)</f>
        <v>电子及通信设备制造业</v>
      </c>
      <c r="J2921" s="16">
        <f>VLOOKUP(I2921,[2]行业排放因子!$A:$B,2,0)</f>
        <v>7.5202868648033796</v>
      </c>
      <c r="K2921" s="9" t="s">
        <v>756</v>
      </c>
    </row>
    <row r="2922" spans="1:11" ht="12.5" customHeight="1" x14ac:dyDescent="0.25">
      <c r="A2922" s="5" t="s">
        <v>11031</v>
      </c>
      <c r="B2922" s="6" t="s">
        <v>7578</v>
      </c>
      <c r="C2922" s="6" t="s">
        <v>10842</v>
      </c>
      <c r="D2922" s="6" t="s">
        <v>11019</v>
      </c>
      <c r="E2922" s="6" t="s">
        <v>11032</v>
      </c>
      <c r="F2922" s="6" t="s">
        <v>11033</v>
      </c>
      <c r="G2922" s="9" t="s">
        <v>11034</v>
      </c>
      <c r="H2922" s="9" t="s">
        <v>18</v>
      </c>
      <c r="I2922" s="16" t="str">
        <f>VLOOKUP(F2922,[1]完整分类结果!$E:$G,3,0)</f>
        <v>电子及通信设备制造业</v>
      </c>
      <c r="J2922" s="16">
        <f>VLOOKUP(I2922,[2]行业排放因子!$A:$B,2,0)</f>
        <v>7.5202868648033796</v>
      </c>
      <c r="K2922" s="9" t="s">
        <v>756</v>
      </c>
    </row>
    <row r="2923" spans="1:11" ht="12.5" customHeight="1" x14ac:dyDescent="0.25">
      <c r="A2923" s="5" t="s">
        <v>11035</v>
      </c>
      <c r="B2923" s="6" t="s">
        <v>7578</v>
      </c>
      <c r="C2923" s="6" t="s">
        <v>10842</v>
      </c>
      <c r="D2923" s="6" t="s">
        <v>11019</v>
      </c>
      <c r="E2923" s="6" t="s">
        <v>11036</v>
      </c>
      <c r="F2923" s="6" t="s">
        <v>11037</v>
      </c>
      <c r="G2923" s="9" t="s">
        <v>11038</v>
      </c>
      <c r="H2923" s="9" t="s">
        <v>18</v>
      </c>
      <c r="I2923" s="16" t="str">
        <f>VLOOKUP(F2923,[1]完整分类结果!$E:$G,3,0)</f>
        <v>电子及通信设备制造业</v>
      </c>
      <c r="J2923" s="16">
        <f>VLOOKUP(I2923,[2]行业排放因子!$A:$B,2,0)</f>
        <v>7.5202868648033796</v>
      </c>
      <c r="K2923" s="9" t="s">
        <v>756</v>
      </c>
    </row>
    <row r="2924" spans="1:11" ht="12.5" customHeight="1" x14ac:dyDescent="0.25">
      <c r="A2924" s="5" t="s">
        <v>11039</v>
      </c>
      <c r="B2924" s="6" t="s">
        <v>7578</v>
      </c>
      <c r="C2924" s="6" t="s">
        <v>10842</v>
      </c>
      <c r="D2924" s="6" t="s">
        <v>11040</v>
      </c>
      <c r="E2924" s="6" t="s">
        <v>11041</v>
      </c>
      <c r="F2924" s="6" t="s">
        <v>11042</v>
      </c>
      <c r="G2924" s="9" t="s">
        <v>11043</v>
      </c>
      <c r="H2924" s="9" t="s">
        <v>18</v>
      </c>
      <c r="I2924" s="16" t="str">
        <f>VLOOKUP(F2924,[1]完整分类结果!$E:$G,3,0)</f>
        <v>电子及通信设备制造业</v>
      </c>
      <c r="J2924" s="16">
        <f>VLOOKUP(I2924,[2]行业排放因子!$A:$B,2,0)</f>
        <v>7.5202868648033796</v>
      </c>
      <c r="K2924" s="9" t="s">
        <v>756</v>
      </c>
    </row>
    <row r="2925" spans="1:11" ht="12.5" customHeight="1" x14ac:dyDescent="0.25">
      <c r="A2925" s="5" t="s">
        <v>11044</v>
      </c>
      <c r="B2925" s="6" t="s">
        <v>7578</v>
      </c>
      <c r="C2925" s="6" t="s">
        <v>10842</v>
      </c>
      <c r="D2925" s="6" t="s">
        <v>11040</v>
      </c>
      <c r="E2925" s="6" t="s">
        <v>11045</v>
      </c>
      <c r="F2925" s="6" t="s">
        <v>11046</v>
      </c>
      <c r="G2925" s="9" t="s">
        <v>11047</v>
      </c>
      <c r="H2925" s="9" t="s">
        <v>18</v>
      </c>
      <c r="I2925" s="16" t="str">
        <f>VLOOKUP(F2925,[1]完整分类结果!$E:$G,3,0)</f>
        <v>电子及通信设备制造业</v>
      </c>
      <c r="J2925" s="16">
        <f>VLOOKUP(I2925,[2]行业排放因子!$A:$B,2,0)</f>
        <v>7.5202868648033796</v>
      </c>
      <c r="K2925" s="9" t="s">
        <v>756</v>
      </c>
    </row>
    <row r="2926" spans="1:11" ht="12.5" customHeight="1" x14ac:dyDescent="0.25">
      <c r="A2926" s="5" t="s">
        <v>11048</v>
      </c>
      <c r="B2926" s="6" t="s">
        <v>7578</v>
      </c>
      <c r="C2926" s="6" t="s">
        <v>10842</v>
      </c>
      <c r="D2926" s="6" t="s">
        <v>11040</v>
      </c>
      <c r="E2926" s="6" t="s">
        <v>11049</v>
      </c>
      <c r="F2926" s="6" t="s">
        <v>11050</v>
      </c>
      <c r="G2926" s="9" t="s">
        <v>11051</v>
      </c>
      <c r="H2926" s="9" t="s">
        <v>18</v>
      </c>
      <c r="I2926" s="16" t="str">
        <f>VLOOKUP(F2926,[1]完整分类结果!$E:$G,3,0)</f>
        <v>电子及通信设备制造业</v>
      </c>
      <c r="J2926" s="16">
        <f>VLOOKUP(I2926,[2]行业排放因子!$A:$B,2,0)</f>
        <v>7.5202868648033796</v>
      </c>
      <c r="K2926" s="9" t="s">
        <v>756</v>
      </c>
    </row>
    <row r="2927" spans="1:11" ht="12.5" customHeight="1" x14ac:dyDescent="0.25">
      <c r="A2927" s="5" t="s">
        <v>11052</v>
      </c>
      <c r="B2927" s="6" t="s">
        <v>7578</v>
      </c>
      <c r="C2927" s="6" t="s">
        <v>10842</v>
      </c>
      <c r="D2927" s="6" t="s">
        <v>11053</v>
      </c>
      <c r="E2927" s="6" t="s">
        <v>11054</v>
      </c>
      <c r="F2927" s="6" t="s">
        <v>11053</v>
      </c>
      <c r="G2927" s="9" t="s">
        <v>11055</v>
      </c>
      <c r="H2927" s="9" t="s">
        <v>18</v>
      </c>
      <c r="I2927" s="16" t="str">
        <f>VLOOKUP(F2927,[1]完整分类结果!$E:$G,3,0)</f>
        <v>普通机械制造业</v>
      </c>
      <c r="J2927" s="16">
        <f>VLOOKUP(I2927,[2]行业排放因子!$A:$B,2,0)</f>
        <v>9.6615781889079599</v>
      </c>
      <c r="K2927" s="9" t="s">
        <v>756</v>
      </c>
    </row>
    <row r="2928" spans="1:11" ht="12.5" customHeight="1" x14ac:dyDescent="0.25">
      <c r="A2928" s="5" t="s">
        <v>11056</v>
      </c>
      <c r="B2928" s="6" t="s">
        <v>7578</v>
      </c>
      <c r="C2928" s="6" t="s">
        <v>10842</v>
      </c>
      <c r="D2928" s="6" t="s">
        <v>11057</v>
      </c>
      <c r="E2928" s="6" t="s">
        <v>11058</v>
      </c>
      <c r="F2928" s="6" t="s">
        <v>11059</v>
      </c>
      <c r="G2928" s="9" t="s">
        <v>11060</v>
      </c>
      <c r="H2928" s="9" t="s">
        <v>18</v>
      </c>
      <c r="I2928" s="16" t="str">
        <f>VLOOKUP(F2928,[1]完整分类结果!$E:$G,3,0)</f>
        <v>普通机械制造业</v>
      </c>
      <c r="J2928" s="16">
        <f>VLOOKUP(I2928,[2]行业排放因子!$A:$B,2,0)</f>
        <v>9.6615781889079599</v>
      </c>
      <c r="K2928" s="9" t="s">
        <v>756</v>
      </c>
    </row>
    <row r="2929" spans="1:11" ht="12.5" customHeight="1" x14ac:dyDescent="0.25">
      <c r="A2929" s="5" t="s">
        <v>11061</v>
      </c>
      <c r="B2929" s="6" t="s">
        <v>7578</v>
      </c>
      <c r="C2929" s="6" t="s">
        <v>10842</v>
      </c>
      <c r="D2929" s="6" t="s">
        <v>11057</v>
      </c>
      <c r="E2929" s="6" t="s">
        <v>11062</v>
      </c>
      <c r="F2929" s="6" t="s">
        <v>11063</v>
      </c>
      <c r="G2929" s="9" t="s">
        <v>11064</v>
      </c>
      <c r="H2929" s="9" t="s">
        <v>18</v>
      </c>
      <c r="I2929" s="16" t="str">
        <f>VLOOKUP(F2929,[1]完整分类结果!$E:$G,3,0)</f>
        <v>普通机械制造业</v>
      </c>
      <c r="J2929" s="16">
        <f>VLOOKUP(I2929,[2]行业排放因子!$A:$B,2,0)</f>
        <v>9.6615781889079599</v>
      </c>
      <c r="K2929" s="9" t="s">
        <v>756</v>
      </c>
    </row>
    <row r="2930" spans="1:11" ht="12.5" customHeight="1" x14ac:dyDescent="0.25">
      <c r="A2930" s="5" t="s">
        <v>11065</v>
      </c>
      <c r="B2930" s="6" t="s">
        <v>7578</v>
      </c>
      <c r="C2930" s="6" t="s">
        <v>10842</v>
      </c>
      <c r="D2930" s="6" t="s">
        <v>11057</v>
      </c>
      <c r="E2930" s="6" t="s">
        <v>11066</v>
      </c>
      <c r="F2930" s="6" t="s">
        <v>11067</v>
      </c>
      <c r="G2930" s="9" t="s">
        <v>11068</v>
      </c>
      <c r="H2930" s="9" t="s">
        <v>18</v>
      </c>
      <c r="I2930" s="16" t="str">
        <f>VLOOKUP(F2930,[1]完整分类结果!$E:$G,3,0)</f>
        <v>普通机械制造业</v>
      </c>
      <c r="J2930" s="16">
        <f>VLOOKUP(I2930,[2]行业排放因子!$A:$B,2,0)</f>
        <v>9.6615781889079599</v>
      </c>
      <c r="K2930" s="9" t="s">
        <v>756</v>
      </c>
    </row>
    <row r="2931" spans="1:11" ht="12.5" customHeight="1" x14ac:dyDescent="0.25">
      <c r="A2931" s="5" t="s">
        <v>11069</v>
      </c>
      <c r="B2931" s="6" t="s">
        <v>7578</v>
      </c>
      <c r="C2931" s="6" t="s">
        <v>10842</v>
      </c>
      <c r="D2931" s="6" t="s">
        <v>11057</v>
      </c>
      <c r="E2931" s="6" t="s">
        <v>11070</v>
      </c>
      <c r="F2931" s="6" t="s">
        <v>11071</v>
      </c>
      <c r="G2931" s="9" t="s">
        <v>11072</v>
      </c>
      <c r="H2931" s="9" t="s">
        <v>18</v>
      </c>
      <c r="I2931" s="16" t="str">
        <f>VLOOKUP(F2931,[1]完整分类结果!$E:$G,3,0)</f>
        <v>普通机械制造业</v>
      </c>
      <c r="J2931" s="16">
        <f>VLOOKUP(I2931,[2]行业排放因子!$A:$B,2,0)</f>
        <v>9.6615781889079599</v>
      </c>
      <c r="K2931" s="9" t="s">
        <v>756</v>
      </c>
    </row>
    <row r="2932" spans="1:11" ht="12.5" customHeight="1" x14ac:dyDescent="0.25">
      <c r="A2932" s="5" t="s">
        <v>11073</v>
      </c>
      <c r="B2932" s="6" t="s">
        <v>7578</v>
      </c>
      <c r="C2932" s="6" t="s">
        <v>10842</v>
      </c>
      <c r="D2932" s="6" t="s">
        <v>11057</v>
      </c>
      <c r="E2932" s="6" t="s">
        <v>11074</v>
      </c>
      <c r="F2932" s="6" t="s">
        <v>11075</v>
      </c>
      <c r="G2932" s="9"/>
      <c r="H2932" s="9" t="s">
        <v>18</v>
      </c>
      <c r="I2932" s="16" t="str">
        <f>VLOOKUP(F2932,[1]完整分类结果!$E:$G,3,0)</f>
        <v>普通机械制造业</v>
      </c>
      <c r="J2932" s="16">
        <f>VLOOKUP(I2932,[2]行业排放因子!$A:$B,2,0)</f>
        <v>9.6615781889079599</v>
      </c>
      <c r="K2932" s="9" t="s">
        <v>756</v>
      </c>
    </row>
    <row r="2933" spans="1:11" ht="12.5" customHeight="1" x14ac:dyDescent="0.25">
      <c r="A2933" s="5" t="s">
        <v>11076</v>
      </c>
      <c r="B2933" s="6" t="s">
        <v>7578</v>
      </c>
      <c r="C2933" s="6" t="s">
        <v>10842</v>
      </c>
      <c r="D2933" s="6" t="s">
        <v>11057</v>
      </c>
      <c r="E2933" s="6" t="s">
        <v>11077</v>
      </c>
      <c r="F2933" s="6" t="s">
        <v>11078</v>
      </c>
      <c r="G2933" s="9"/>
      <c r="H2933" s="9" t="s">
        <v>18</v>
      </c>
      <c r="I2933" s="16" t="str">
        <f>VLOOKUP(F2933,[1]完整分类结果!$E:$G,3,0)</f>
        <v>普通机械制造业</v>
      </c>
      <c r="J2933" s="16">
        <f>VLOOKUP(I2933,[2]行业排放因子!$A:$B,2,0)</f>
        <v>9.6615781889079599</v>
      </c>
      <c r="K2933" s="9" t="s">
        <v>756</v>
      </c>
    </row>
    <row r="2934" spans="1:11" ht="12.5" customHeight="1" x14ac:dyDescent="0.25">
      <c r="A2934" s="5" t="s">
        <v>11079</v>
      </c>
      <c r="B2934" s="6" t="s">
        <v>7578</v>
      </c>
      <c r="C2934" s="6" t="s">
        <v>10842</v>
      </c>
      <c r="D2934" s="6" t="s">
        <v>11057</v>
      </c>
      <c r="E2934" s="6" t="s">
        <v>11080</v>
      </c>
      <c r="F2934" s="6" t="s">
        <v>11081</v>
      </c>
      <c r="G2934" s="9" t="s">
        <v>11082</v>
      </c>
      <c r="H2934" s="9" t="s">
        <v>18</v>
      </c>
      <c r="I2934" s="16" t="str">
        <f>VLOOKUP(F2934,[1]完整分类结果!$E:$G,3,0)</f>
        <v>普通机械制造业</v>
      </c>
      <c r="J2934" s="16">
        <f>VLOOKUP(I2934,[2]行业排放因子!$A:$B,2,0)</f>
        <v>9.6615781889079599</v>
      </c>
      <c r="K2934" s="9" t="s">
        <v>756</v>
      </c>
    </row>
    <row r="2935" spans="1:11" ht="12.5" customHeight="1" x14ac:dyDescent="0.25">
      <c r="A2935" s="5" t="s">
        <v>11083</v>
      </c>
      <c r="B2935" s="6" t="s">
        <v>7578</v>
      </c>
      <c r="C2935" s="6" t="s">
        <v>10842</v>
      </c>
      <c r="D2935" s="6" t="s">
        <v>11057</v>
      </c>
      <c r="E2935" s="6" t="s">
        <v>11084</v>
      </c>
      <c r="F2935" s="6" t="s">
        <v>11085</v>
      </c>
      <c r="G2935" s="9" t="s">
        <v>11086</v>
      </c>
      <c r="H2935" s="9" t="s">
        <v>18</v>
      </c>
      <c r="I2935" s="16" t="str">
        <f>VLOOKUP(F2935,[1]完整分类结果!$E:$G,3,0)</f>
        <v>普通机械制造业</v>
      </c>
      <c r="J2935" s="16">
        <f>VLOOKUP(I2935,[2]行业排放因子!$A:$B,2,0)</f>
        <v>9.6615781889079599</v>
      </c>
      <c r="K2935" s="9" t="s">
        <v>756</v>
      </c>
    </row>
    <row r="2936" spans="1:11" ht="12.5" customHeight="1" x14ac:dyDescent="0.25">
      <c r="A2936" s="5" t="s">
        <v>11087</v>
      </c>
      <c r="B2936" s="6" t="s">
        <v>7578</v>
      </c>
      <c r="C2936" s="6" t="s">
        <v>10842</v>
      </c>
      <c r="D2936" s="6" t="s">
        <v>11088</v>
      </c>
      <c r="E2936" s="6" t="s">
        <v>11089</v>
      </c>
      <c r="F2936" s="6" t="s">
        <v>11090</v>
      </c>
      <c r="G2936" s="9" t="s">
        <v>11091</v>
      </c>
      <c r="H2936" s="9" t="s">
        <v>18</v>
      </c>
      <c r="I2936" s="16" t="str">
        <f>VLOOKUP(F2936,[1]完整分类结果!$E:$G,3,0)</f>
        <v>普通机械制造业</v>
      </c>
      <c r="J2936" s="16">
        <f>VLOOKUP(I2936,[2]行业排放因子!$A:$B,2,0)</f>
        <v>9.6615781889079599</v>
      </c>
      <c r="K2936" s="9" t="s">
        <v>756</v>
      </c>
    </row>
    <row r="2937" spans="1:11" ht="12.5" customHeight="1" x14ac:dyDescent="0.25">
      <c r="A2937" s="5" t="s">
        <v>11092</v>
      </c>
      <c r="B2937" s="6" t="s">
        <v>7578</v>
      </c>
      <c r="C2937" s="6" t="s">
        <v>10842</v>
      </c>
      <c r="D2937" s="6" t="s">
        <v>11088</v>
      </c>
      <c r="E2937" s="6" t="s">
        <v>11093</v>
      </c>
      <c r="F2937" s="6" t="s">
        <v>11094</v>
      </c>
      <c r="G2937" s="9" t="s">
        <v>11095</v>
      </c>
      <c r="H2937" s="9" t="s">
        <v>18</v>
      </c>
      <c r="I2937" s="16" t="str">
        <f>VLOOKUP(F2937,[1]完整分类结果!$E:$G,3,0)</f>
        <v>普通机械制造业</v>
      </c>
      <c r="J2937" s="16">
        <f>VLOOKUP(I2937,[2]行业排放因子!$A:$B,2,0)</f>
        <v>9.6615781889079599</v>
      </c>
      <c r="K2937" s="9" t="s">
        <v>756</v>
      </c>
    </row>
    <row r="2938" spans="1:11" ht="12.5" customHeight="1" x14ac:dyDescent="0.25">
      <c r="A2938" s="5" t="s">
        <v>11096</v>
      </c>
      <c r="B2938" s="6" t="s">
        <v>7578</v>
      </c>
      <c r="C2938" s="6" t="s">
        <v>10842</v>
      </c>
      <c r="D2938" s="6" t="s">
        <v>11088</v>
      </c>
      <c r="E2938" s="6" t="s">
        <v>11097</v>
      </c>
      <c r="F2938" s="6" t="s">
        <v>11098</v>
      </c>
      <c r="G2938" s="9"/>
      <c r="H2938" s="9" t="s">
        <v>18</v>
      </c>
      <c r="I2938" s="16" t="str">
        <f>VLOOKUP(F2938,[1]完整分类结果!$E:$G,3,0)</f>
        <v>普通机械制造业</v>
      </c>
      <c r="J2938" s="16">
        <f>VLOOKUP(I2938,[2]行业排放因子!$A:$B,2,0)</f>
        <v>9.6615781889079599</v>
      </c>
      <c r="K2938" s="9" t="s">
        <v>756</v>
      </c>
    </row>
    <row r="2939" spans="1:11" ht="12.5" customHeight="1" x14ac:dyDescent="0.25">
      <c r="A2939" s="5" t="s">
        <v>11099</v>
      </c>
      <c r="B2939" s="6" t="s">
        <v>7578</v>
      </c>
      <c r="C2939" s="6" t="s">
        <v>10842</v>
      </c>
      <c r="D2939" s="6" t="s">
        <v>11088</v>
      </c>
      <c r="E2939" s="6" t="s">
        <v>11100</v>
      </c>
      <c r="F2939" s="6" t="s">
        <v>11101</v>
      </c>
      <c r="G2939" s="9" t="s">
        <v>11102</v>
      </c>
      <c r="H2939" s="9" t="s">
        <v>18</v>
      </c>
      <c r="I2939" s="16" t="str">
        <f>VLOOKUP(F2939,[1]完整分类结果!$E:$G,3,0)</f>
        <v>普通机械制造业</v>
      </c>
      <c r="J2939" s="16">
        <f>VLOOKUP(I2939,[2]行业排放因子!$A:$B,2,0)</f>
        <v>9.6615781889079599</v>
      </c>
      <c r="K2939" s="9" t="s">
        <v>756</v>
      </c>
    </row>
    <row r="2940" spans="1:11" ht="12.5" customHeight="1" x14ac:dyDescent="0.25">
      <c r="A2940" s="5" t="s">
        <v>11103</v>
      </c>
      <c r="B2940" s="6" t="s">
        <v>7578</v>
      </c>
      <c r="C2940" s="6" t="s">
        <v>10842</v>
      </c>
      <c r="D2940" s="6" t="s">
        <v>11088</v>
      </c>
      <c r="E2940" s="6" t="s">
        <v>11104</v>
      </c>
      <c r="F2940" s="6" t="s">
        <v>11105</v>
      </c>
      <c r="G2940" s="9" t="s">
        <v>11106</v>
      </c>
      <c r="H2940" s="9" t="s">
        <v>18</v>
      </c>
      <c r="I2940" s="16" t="str">
        <f>VLOOKUP(F2940,[1]完整分类结果!$E:$G,3,0)</f>
        <v>普通机械制造业</v>
      </c>
      <c r="J2940" s="16">
        <f>VLOOKUP(I2940,[2]行业排放因子!$A:$B,2,0)</f>
        <v>9.6615781889079599</v>
      </c>
      <c r="K2940" s="9" t="s">
        <v>756</v>
      </c>
    </row>
    <row r="2941" spans="1:11" ht="12.5" customHeight="1" x14ac:dyDescent="0.25">
      <c r="A2941" s="5" t="s">
        <v>11107</v>
      </c>
      <c r="B2941" s="6" t="s">
        <v>7578</v>
      </c>
      <c r="C2941" s="6" t="s">
        <v>10842</v>
      </c>
      <c r="D2941" s="6" t="s">
        <v>11088</v>
      </c>
      <c r="E2941" s="6" t="s">
        <v>11108</v>
      </c>
      <c r="F2941" s="6" t="s">
        <v>11109</v>
      </c>
      <c r="G2941" s="9" t="s">
        <v>11110</v>
      </c>
      <c r="H2941" s="9" t="s">
        <v>18</v>
      </c>
      <c r="I2941" s="16" t="str">
        <f>VLOOKUP(F2941,[1]完整分类结果!$E:$G,3,0)</f>
        <v>普通机械制造业</v>
      </c>
      <c r="J2941" s="16">
        <f>VLOOKUP(I2941,[2]行业排放因子!$A:$B,2,0)</f>
        <v>9.6615781889079599</v>
      </c>
      <c r="K2941" s="9" t="s">
        <v>756</v>
      </c>
    </row>
    <row r="2942" spans="1:11" ht="12.5" customHeight="1" x14ac:dyDescent="0.25">
      <c r="A2942" s="5" t="s">
        <v>11111</v>
      </c>
      <c r="B2942" s="6" t="s">
        <v>7578</v>
      </c>
      <c r="C2942" s="6" t="s">
        <v>10842</v>
      </c>
      <c r="D2942" s="6" t="s">
        <v>11112</v>
      </c>
      <c r="E2942" s="6" t="s">
        <v>11113</v>
      </c>
      <c r="F2942" s="6" t="s">
        <v>11114</v>
      </c>
      <c r="G2942" s="9" t="s">
        <v>11115</v>
      </c>
      <c r="H2942" s="9" t="s">
        <v>18</v>
      </c>
      <c r="I2942" s="16" t="str">
        <f>VLOOKUP(F2942,[1]完整分类结果!$E:$G,3,0)</f>
        <v>普通机械制造业</v>
      </c>
      <c r="J2942" s="16">
        <f>VLOOKUP(I2942,[2]行业排放因子!$A:$B,2,0)</f>
        <v>9.6615781889079599</v>
      </c>
      <c r="K2942" s="9" t="s">
        <v>756</v>
      </c>
    </row>
    <row r="2943" spans="1:11" ht="12.5" customHeight="1" x14ac:dyDescent="0.25">
      <c r="A2943" s="5" t="s">
        <v>11116</v>
      </c>
      <c r="B2943" s="6" t="s">
        <v>7578</v>
      </c>
      <c r="C2943" s="6" t="s">
        <v>10842</v>
      </c>
      <c r="D2943" s="6" t="s">
        <v>11112</v>
      </c>
      <c r="E2943" s="6" t="s">
        <v>11117</v>
      </c>
      <c r="F2943" s="6" t="s">
        <v>11118</v>
      </c>
      <c r="G2943" s="9"/>
      <c r="H2943" s="9" t="s">
        <v>18</v>
      </c>
      <c r="I2943" s="16" t="str">
        <f>VLOOKUP(F2943,[1]完整分类结果!$E:$G,3,0)</f>
        <v>普通机械制造业</v>
      </c>
      <c r="J2943" s="16">
        <f>VLOOKUP(I2943,[2]行业排放因子!$A:$B,2,0)</f>
        <v>9.6615781889079599</v>
      </c>
      <c r="K2943" s="9" t="s">
        <v>756</v>
      </c>
    </row>
    <row r="2944" spans="1:11" ht="12.5" customHeight="1" x14ac:dyDescent="0.25">
      <c r="A2944" s="5" t="s">
        <v>11119</v>
      </c>
      <c r="B2944" s="6" t="s">
        <v>7578</v>
      </c>
      <c r="C2944" s="6" t="s">
        <v>10842</v>
      </c>
      <c r="D2944" s="6" t="s">
        <v>11112</v>
      </c>
      <c r="E2944" s="6" t="s">
        <v>11120</v>
      </c>
      <c r="F2944" s="6" t="s">
        <v>11121</v>
      </c>
      <c r="G2944" s="9" t="s">
        <v>11122</v>
      </c>
      <c r="H2944" s="9" t="s">
        <v>18</v>
      </c>
      <c r="I2944" s="16" t="str">
        <f>VLOOKUP(F2944,[1]完整分类结果!$E:$G,3,0)</f>
        <v>普通机械制造业</v>
      </c>
      <c r="J2944" s="16">
        <f>VLOOKUP(I2944,[2]行业排放因子!$A:$B,2,0)</f>
        <v>9.6615781889079599</v>
      </c>
      <c r="K2944" s="9" t="s">
        <v>756</v>
      </c>
    </row>
    <row r="2945" spans="1:11" ht="12.5" customHeight="1" x14ac:dyDescent="0.25">
      <c r="A2945" s="5" t="s">
        <v>11123</v>
      </c>
      <c r="B2945" s="6" t="s">
        <v>7578</v>
      </c>
      <c r="C2945" s="6" t="s">
        <v>10842</v>
      </c>
      <c r="D2945" s="6" t="s">
        <v>11112</v>
      </c>
      <c r="E2945" s="6" t="s">
        <v>11124</v>
      </c>
      <c r="F2945" s="6" t="s">
        <v>11125</v>
      </c>
      <c r="G2945" s="9" t="s">
        <v>11126</v>
      </c>
      <c r="H2945" s="9" t="s">
        <v>18</v>
      </c>
      <c r="I2945" s="16" t="str">
        <f>VLOOKUP(F2945,[1]完整分类结果!$E:$G,3,0)</f>
        <v>普通机械制造业</v>
      </c>
      <c r="J2945" s="16">
        <f>VLOOKUP(I2945,[2]行业排放因子!$A:$B,2,0)</f>
        <v>9.6615781889079599</v>
      </c>
      <c r="K2945" s="9" t="s">
        <v>756</v>
      </c>
    </row>
    <row r="2946" spans="1:11" ht="12.5" customHeight="1" x14ac:dyDescent="0.25">
      <c r="A2946" s="5" t="s">
        <v>11127</v>
      </c>
      <c r="B2946" s="6" t="s">
        <v>7578</v>
      </c>
      <c r="C2946" s="6" t="s">
        <v>10842</v>
      </c>
      <c r="D2946" s="6" t="s">
        <v>11112</v>
      </c>
      <c r="E2946" s="6" t="s">
        <v>11128</v>
      </c>
      <c r="F2946" s="6" t="s">
        <v>11129</v>
      </c>
      <c r="G2946" s="9" t="s">
        <v>11130</v>
      </c>
      <c r="H2946" s="9" t="s">
        <v>18</v>
      </c>
      <c r="I2946" s="16" t="str">
        <f>VLOOKUP(F2946,[1]完整分类结果!$E:$G,3,0)</f>
        <v>普通机械制造业</v>
      </c>
      <c r="J2946" s="16">
        <f>VLOOKUP(I2946,[2]行业排放因子!$A:$B,2,0)</f>
        <v>9.6615781889079599</v>
      </c>
      <c r="K2946" s="9" t="s">
        <v>756</v>
      </c>
    </row>
    <row r="2947" spans="1:11" ht="12.5" customHeight="1" x14ac:dyDescent="0.25">
      <c r="A2947" s="5" t="s">
        <v>11131</v>
      </c>
      <c r="B2947" s="6" t="s">
        <v>7578</v>
      </c>
      <c r="C2947" s="6" t="s">
        <v>10842</v>
      </c>
      <c r="D2947" s="6" t="s">
        <v>11112</v>
      </c>
      <c r="E2947" s="6" t="s">
        <v>11132</v>
      </c>
      <c r="F2947" s="6" t="s">
        <v>11133</v>
      </c>
      <c r="G2947" s="9"/>
      <c r="H2947" s="9" t="s">
        <v>18</v>
      </c>
      <c r="I2947" s="16" t="str">
        <f>VLOOKUP(F2947,[1]完整分类结果!$E:$G,3,0)</f>
        <v>普通机械制造业</v>
      </c>
      <c r="J2947" s="16">
        <f>VLOOKUP(I2947,[2]行业排放因子!$A:$B,2,0)</f>
        <v>9.6615781889079599</v>
      </c>
      <c r="K2947" s="9" t="s">
        <v>756</v>
      </c>
    </row>
    <row r="2948" spans="1:11" ht="12.5" customHeight="1" x14ac:dyDescent="0.25">
      <c r="A2948" s="5" t="s">
        <v>11134</v>
      </c>
      <c r="B2948" s="6" t="s">
        <v>7578</v>
      </c>
      <c r="C2948" s="6" t="s">
        <v>10842</v>
      </c>
      <c r="D2948" s="6" t="s">
        <v>11135</v>
      </c>
      <c r="E2948" s="6" t="s">
        <v>11136</v>
      </c>
      <c r="F2948" s="6" t="s">
        <v>11137</v>
      </c>
      <c r="G2948" s="9" t="s">
        <v>11138</v>
      </c>
      <c r="H2948" s="9" t="s">
        <v>18</v>
      </c>
      <c r="I2948" s="16" t="str">
        <f>VLOOKUP(F2948,[1]完整分类结果!$E:$G,3,0)</f>
        <v>普通机械制造业</v>
      </c>
      <c r="J2948" s="16">
        <f>VLOOKUP(I2948,[2]行业排放因子!$A:$B,2,0)</f>
        <v>9.6615781889079599</v>
      </c>
      <c r="K2948" s="9" t="s">
        <v>756</v>
      </c>
    </row>
    <row r="2949" spans="1:11" ht="12.5" customHeight="1" x14ac:dyDescent="0.25">
      <c r="A2949" s="5" t="s">
        <v>11139</v>
      </c>
      <c r="B2949" s="6" t="s">
        <v>7578</v>
      </c>
      <c r="C2949" s="6" t="s">
        <v>10842</v>
      </c>
      <c r="D2949" s="6" t="s">
        <v>11135</v>
      </c>
      <c r="E2949" s="6" t="s">
        <v>11140</v>
      </c>
      <c r="F2949" s="6" t="s">
        <v>11141</v>
      </c>
      <c r="G2949" s="9" t="s">
        <v>11142</v>
      </c>
      <c r="H2949" s="9" t="s">
        <v>18</v>
      </c>
      <c r="I2949" s="16" t="str">
        <f>VLOOKUP(F2949,[1]完整分类结果!$E:$G,3,0)</f>
        <v>普通机械制造业</v>
      </c>
      <c r="J2949" s="16">
        <f>VLOOKUP(I2949,[2]行业排放因子!$A:$B,2,0)</f>
        <v>9.6615781889079599</v>
      </c>
      <c r="K2949" s="9" t="s">
        <v>756</v>
      </c>
    </row>
    <row r="2950" spans="1:11" ht="12.5" customHeight="1" x14ac:dyDescent="0.25">
      <c r="A2950" s="5" t="s">
        <v>11143</v>
      </c>
      <c r="B2950" s="6" t="s">
        <v>7578</v>
      </c>
      <c r="C2950" s="6" t="s">
        <v>10842</v>
      </c>
      <c r="D2950" s="6" t="s">
        <v>11135</v>
      </c>
      <c r="E2950" s="6" t="s">
        <v>11144</v>
      </c>
      <c r="F2950" s="6" t="s">
        <v>11145</v>
      </c>
      <c r="G2950" s="9" t="s">
        <v>11146</v>
      </c>
      <c r="H2950" s="9" t="s">
        <v>18</v>
      </c>
      <c r="I2950" s="16" t="str">
        <f>VLOOKUP(F2950,[1]完整分类结果!$E:$G,3,0)</f>
        <v>普通机械制造业</v>
      </c>
      <c r="J2950" s="16">
        <f>VLOOKUP(I2950,[2]行业排放因子!$A:$B,2,0)</f>
        <v>9.6615781889079599</v>
      </c>
      <c r="K2950" s="9" t="s">
        <v>756</v>
      </c>
    </row>
    <row r="2951" spans="1:11" ht="12.5" customHeight="1" x14ac:dyDescent="0.25">
      <c r="A2951" s="5" t="s">
        <v>11147</v>
      </c>
      <c r="B2951" s="6" t="s">
        <v>7578</v>
      </c>
      <c r="C2951" s="6" t="s">
        <v>10842</v>
      </c>
      <c r="D2951" s="6" t="s">
        <v>11135</v>
      </c>
      <c r="E2951" s="6" t="s">
        <v>11148</v>
      </c>
      <c r="F2951" s="6" t="s">
        <v>11149</v>
      </c>
      <c r="G2951" s="9" t="s">
        <v>11150</v>
      </c>
      <c r="H2951" s="9" t="s">
        <v>18</v>
      </c>
      <c r="I2951" s="16" t="str">
        <f>VLOOKUP(F2951,[1]完整分类结果!$E:$G,3,0)</f>
        <v>普通机械制造业</v>
      </c>
      <c r="J2951" s="16">
        <f>VLOOKUP(I2951,[2]行业排放因子!$A:$B,2,0)</f>
        <v>9.6615781889079599</v>
      </c>
      <c r="K2951" s="9" t="s">
        <v>756</v>
      </c>
    </row>
    <row r="2952" spans="1:11" ht="12.5" customHeight="1" x14ac:dyDescent="0.25">
      <c r="A2952" s="5" t="s">
        <v>11151</v>
      </c>
      <c r="B2952" s="6" t="s">
        <v>7578</v>
      </c>
      <c r="C2952" s="6" t="s">
        <v>10842</v>
      </c>
      <c r="D2952" s="6" t="s">
        <v>11152</v>
      </c>
      <c r="E2952" s="6" t="s">
        <v>11153</v>
      </c>
      <c r="F2952" s="6" t="s">
        <v>11152</v>
      </c>
      <c r="G2952" s="9" t="s">
        <v>11154</v>
      </c>
      <c r="H2952" s="9" t="s">
        <v>18</v>
      </c>
      <c r="I2952" s="16" t="str">
        <f>VLOOKUP(F2952,[1]完整分类结果!$E:$G,3,0)</f>
        <v>普通机械制造业</v>
      </c>
      <c r="J2952" s="16">
        <f>VLOOKUP(I2952,[2]行业排放因子!$A:$B,2,0)</f>
        <v>9.6615781889079599</v>
      </c>
      <c r="K2952" s="9" t="s">
        <v>756</v>
      </c>
    </row>
    <row r="2953" spans="1:11" ht="12.5" customHeight="1" x14ac:dyDescent="0.25">
      <c r="A2953" s="5" t="s">
        <v>11155</v>
      </c>
      <c r="B2953" s="6" t="s">
        <v>7578</v>
      </c>
      <c r="C2953" s="6" t="s">
        <v>10842</v>
      </c>
      <c r="D2953" s="6" t="s">
        <v>11156</v>
      </c>
      <c r="E2953" s="6" t="s">
        <v>11157</v>
      </c>
      <c r="F2953" s="6" t="s">
        <v>11156</v>
      </c>
      <c r="G2953" s="9" t="s">
        <v>11158</v>
      </c>
      <c r="H2953" s="9" t="s">
        <v>18</v>
      </c>
      <c r="I2953" s="16" t="str">
        <f>VLOOKUP(F2953,[1]完整分类结果!$E:$G,3,0)</f>
        <v>普通机械制造业</v>
      </c>
      <c r="J2953" s="16">
        <f>VLOOKUP(I2953,[2]行业排放因子!$A:$B,2,0)</f>
        <v>9.6615781889079599</v>
      </c>
      <c r="K2953" s="9" t="s">
        <v>756</v>
      </c>
    </row>
    <row r="2954" spans="1:11" ht="12.5" customHeight="1" x14ac:dyDescent="0.25">
      <c r="A2954" s="5" t="s">
        <v>11159</v>
      </c>
      <c r="B2954" s="6" t="s">
        <v>7578</v>
      </c>
      <c r="C2954" s="6" t="s">
        <v>10842</v>
      </c>
      <c r="D2954" s="6" t="s">
        <v>11160</v>
      </c>
      <c r="E2954" s="6" t="s">
        <v>11161</v>
      </c>
      <c r="F2954" s="6" t="s">
        <v>11162</v>
      </c>
      <c r="G2954" s="9" t="s">
        <v>11163</v>
      </c>
      <c r="H2954" s="9" t="s">
        <v>18</v>
      </c>
      <c r="I2954" s="16" t="str">
        <f>VLOOKUP(F2954,[1]完整分类结果!$E:$G,3,0)</f>
        <v>电子及通信设备制造业</v>
      </c>
      <c r="J2954" s="16">
        <f>VLOOKUP(I2954,[2]行业排放因子!$A:$B,2,0)</f>
        <v>7.5202868648033796</v>
      </c>
      <c r="K2954" s="9" t="s">
        <v>756</v>
      </c>
    </row>
    <row r="2955" spans="1:11" ht="12.5" customHeight="1" x14ac:dyDescent="0.25">
      <c r="A2955" s="5" t="s">
        <v>11164</v>
      </c>
      <c r="B2955" s="6" t="s">
        <v>7578</v>
      </c>
      <c r="C2955" s="6" t="s">
        <v>10842</v>
      </c>
      <c r="D2955" s="6" t="s">
        <v>11160</v>
      </c>
      <c r="E2955" s="6" t="s">
        <v>11165</v>
      </c>
      <c r="F2955" s="6" t="s">
        <v>11166</v>
      </c>
      <c r="G2955" s="9" t="s">
        <v>11167</v>
      </c>
      <c r="H2955" s="9" t="s">
        <v>18</v>
      </c>
      <c r="I2955" s="16" t="str">
        <f>VLOOKUP(F2955,[1]完整分类结果!$E:$G,3,0)</f>
        <v>电子及通信设备制造业</v>
      </c>
      <c r="J2955" s="16">
        <f>VLOOKUP(I2955,[2]行业排放因子!$A:$B,2,0)</f>
        <v>7.5202868648033796</v>
      </c>
      <c r="K2955" s="9" t="s">
        <v>756</v>
      </c>
    </row>
    <row r="2956" spans="1:11" ht="12.5" customHeight="1" x14ac:dyDescent="0.25">
      <c r="A2956" s="5" t="s">
        <v>11168</v>
      </c>
      <c r="B2956" s="6" t="s">
        <v>7578</v>
      </c>
      <c r="C2956" s="6" t="s">
        <v>10842</v>
      </c>
      <c r="D2956" s="6" t="s">
        <v>11160</v>
      </c>
      <c r="E2956" s="6" t="s">
        <v>11169</v>
      </c>
      <c r="F2956" s="6" t="s">
        <v>11170</v>
      </c>
      <c r="G2956" s="9" t="s">
        <v>11171</v>
      </c>
      <c r="H2956" s="9" t="s">
        <v>18</v>
      </c>
      <c r="I2956" s="16" t="str">
        <f>VLOOKUP(F2956,[1]完整分类结果!$E:$G,3,0)</f>
        <v>电子及通信设备制造业</v>
      </c>
      <c r="J2956" s="16">
        <f>VLOOKUP(I2956,[2]行业排放因子!$A:$B,2,0)</f>
        <v>7.5202868648033796</v>
      </c>
      <c r="K2956" s="9" t="s">
        <v>756</v>
      </c>
    </row>
    <row r="2957" spans="1:11" ht="12.5" customHeight="1" x14ac:dyDescent="0.25">
      <c r="A2957" s="5" t="s">
        <v>11172</v>
      </c>
      <c r="B2957" s="6" t="s">
        <v>7578</v>
      </c>
      <c r="C2957" s="6" t="s">
        <v>10842</v>
      </c>
      <c r="D2957" s="6" t="s">
        <v>11160</v>
      </c>
      <c r="E2957" s="6" t="s">
        <v>11173</v>
      </c>
      <c r="F2957" s="6" t="s">
        <v>11174</v>
      </c>
      <c r="G2957" s="9" t="s">
        <v>11175</v>
      </c>
      <c r="H2957" s="9" t="s">
        <v>18</v>
      </c>
      <c r="I2957" s="16" t="str">
        <f>VLOOKUP(F2957,[1]完整分类结果!$E:$G,3,0)</f>
        <v>电子及通信设备制造业</v>
      </c>
      <c r="J2957" s="16">
        <f>VLOOKUP(I2957,[2]行业排放因子!$A:$B,2,0)</f>
        <v>7.5202868648033796</v>
      </c>
      <c r="K2957" s="9" t="s">
        <v>756</v>
      </c>
    </row>
    <row r="2958" spans="1:11" ht="12.5" customHeight="1" x14ac:dyDescent="0.25">
      <c r="A2958" s="5" t="s">
        <v>11176</v>
      </c>
      <c r="B2958" s="6" t="s">
        <v>7578</v>
      </c>
      <c r="C2958" s="6" t="s">
        <v>10842</v>
      </c>
      <c r="D2958" s="6" t="s">
        <v>11160</v>
      </c>
      <c r="E2958" s="6" t="s">
        <v>11177</v>
      </c>
      <c r="F2958" s="6" t="s">
        <v>11178</v>
      </c>
      <c r="G2958" s="9" t="s">
        <v>11179</v>
      </c>
      <c r="H2958" s="9" t="s">
        <v>18</v>
      </c>
      <c r="I2958" s="16" t="str">
        <f>VLOOKUP(F2958,[1]完整分类结果!$E:$G,3,0)</f>
        <v>电子及通信设备制造业</v>
      </c>
      <c r="J2958" s="16">
        <f>VLOOKUP(I2958,[2]行业排放因子!$A:$B,2,0)</f>
        <v>7.5202868648033796</v>
      </c>
      <c r="K2958" s="9" t="s">
        <v>756</v>
      </c>
    </row>
    <row r="2959" spans="1:11" ht="12.5" customHeight="1" x14ac:dyDescent="0.25">
      <c r="A2959" s="5" t="s">
        <v>11180</v>
      </c>
      <c r="B2959" s="6" t="s">
        <v>7578</v>
      </c>
      <c r="C2959" s="6" t="s">
        <v>10842</v>
      </c>
      <c r="D2959" s="6" t="s">
        <v>11160</v>
      </c>
      <c r="E2959" s="6" t="s">
        <v>11181</v>
      </c>
      <c r="F2959" s="6" t="s">
        <v>11182</v>
      </c>
      <c r="G2959" s="9" t="s">
        <v>11183</v>
      </c>
      <c r="H2959" s="9" t="s">
        <v>18</v>
      </c>
      <c r="I2959" s="16" t="str">
        <f>VLOOKUP(F2959,[1]完整分类结果!$E:$G,3,0)</f>
        <v>电子及通信设备制造业</v>
      </c>
      <c r="J2959" s="16">
        <f>VLOOKUP(I2959,[2]行业排放因子!$A:$B,2,0)</f>
        <v>7.5202868648033796</v>
      </c>
      <c r="K2959" s="9" t="s">
        <v>756</v>
      </c>
    </row>
    <row r="2960" spans="1:11" ht="12.5" customHeight="1" x14ac:dyDescent="0.25">
      <c r="A2960" s="5" t="s">
        <v>11184</v>
      </c>
      <c r="B2960" s="6" t="s">
        <v>7578</v>
      </c>
      <c r="C2960" s="6" t="s">
        <v>10842</v>
      </c>
      <c r="D2960" s="6" t="s">
        <v>11160</v>
      </c>
      <c r="E2960" s="6" t="s">
        <v>11185</v>
      </c>
      <c r="F2960" s="6" t="s">
        <v>11186</v>
      </c>
      <c r="G2960" s="9"/>
      <c r="H2960" s="9" t="s">
        <v>18</v>
      </c>
      <c r="I2960" s="16" t="str">
        <f>VLOOKUP(F2960,[1]完整分类结果!$E:$G,3,0)</f>
        <v>电子及通信设备制造业</v>
      </c>
      <c r="J2960" s="16">
        <f>VLOOKUP(I2960,[2]行业排放因子!$A:$B,2,0)</f>
        <v>7.5202868648033796</v>
      </c>
      <c r="K2960" s="9" t="s">
        <v>756</v>
      </c>
    </row>
    <row r="2961" spans="1:11" ht="12.5" customHeight="1" x14ac:dyDescent="0.25">
      <c r="A2961" s="5" t="s">
        <v>11187</v>
      </c>
      <c r="B2961" s="6" t="s">
        <v>7578</v>
      </c>
      <c r="C2961" s="6" t="s">
        <v>10842</v>
      </c>
      <c r="D2961" s="6" t="s">
        <v>11160</v>
      </c>
      <c r="E2961" s="6" t="s">
        <v>11188</v>
      </c>
      <c r="F2961" s="6" t="s">
        <v>11189</v>
      </c>
      <c r="G2961" s="9" t="s">
        <v>11190</v>
      </c>
      <c r="H2961" s="9" t="s">
        <v>18</v>
      </c>
      <c r="I2961" s="16" t="str">
        <f>VLOOKUP(F2961,[1]完整分类结果!$E:$G,3,0)</f>
        <v>电子及通信设备制造业</v>
      </c>
      <c r="J2961" s="16">
        <f>VLOOKUP(I2961,[2]行业排放因子!$A:$B,2,0)</f>
        <v>7.5202868648033796</v>
      </c>
      <c r="K2961" s="9" t="s">
        <v>756</v>
      </c>
    </row>
    <row r="2962" spans="1:11" ht="12.5" customHeight="1" x14ac:dyDescent="0.25">
      <c r="A2962" s="5" t="s">
        <v>11191</v>
      </c>
      <c r="B2962" s="6" t="s">
        <v>7578</v>
      </c>
      <c r="C2962" s="6" t="s">
        <v>10842</v>
      </c>
      <c r="D2962" s="6" t="s">
        <v>11160</v>
      </c>
      <c r="E2962" s="6" t="s">
        <v>11192</v>
      </c>
      <c r="F2962" s="6" t="s">
        <v>11193</v>
      </c>
      <c r="G2962" s="9" t="s">
        <v>11194</v>
      </c>
      <c r="H2962" s="9" t="s">
        <v>18</v>
      </c>
      <c r="I2962" s="16" t="str">
        <f>VLOOKUP(F2962,[1]完整分类结果!$E:$G,3,0)</f>
        <v>电子及通信设备制造业</v>
      </c>
      <c r="J2962" s="16">
        <f>VLOOKUP(I2962,[2]行业排放因子!$A:$B,2,0)</f>
        <v>7.5202868648033796</v>
      </c>
      <c r="K2962" s="9" t="s">
        <v>756</v>
      </c>
    </row>
    <row r="2963" spans="1:11" ht="12.5" customHeight="1" x14ac:dyDescent="0.25">
      <c r="A2963" s="5" t="s">
        <v>11195</v>
      </c>
      <c r="B2963" s="6" t="s">
        <v>7578</v>
      </c>
      <c r="C2963" s="6" t="s">
        <v>10842</v>
      </c>
      <c r="D2963" s="6" t="s">
        <v>11196</v>
      </c>
      <c r="E2963" s="6" t="s">
        <v>11197</v>
      </c>
      <c r="F2963" s="6" t="s">
        <v>11198</v>
      </c>
      <c r="G2963" s="9" t="s">
        <v>11199</v>
      </c>
      <c r="H2963" s="9" t="s">
        <v>18</v>
      </c>
      <c r="I2963" s="16" t="str">
        <f>VLOOKUP(F2963,[1]完整分类结果!$E:$G,3,0)</f>
        <v>普通机械制造业</v>
      </c>
      <c r="J2963" s="16">
        <f>VLOOKUP(I2963,[2]行业排放因子!$A:$B,2,0)</f>
        <v>9.6615781889079599</v>
      </c>
      <c r="K2963" s="9" t="s">
        <v>756</v>
      </c>
    </row>
    <row r="2964" spans="1:11" ht="12.5" customHeight="1" x14ac:dyDescent="0.25">
      <c r="A2964" s="5" t="s">
        <v>11200</v>
      </c>
      <c r="B2964" s="6" t="s">
        <v>7578</v>
      </c>
      <c r="C2964" s="6" t="s">
        <v>10842</v>
      </c>
      <c r="D2964" s="6" t="s">
        <v>11201</v>
      </c>
      <c r="E2964" s="6" t="s">
        <v>11202</v>
      </c>
      <c r="F2964" s="6" t="s">
        <v>11203</v>
      </c>
      <c r="G2964" s="9" t="s">
        <v>11204</v>
      </c>
      <c r="H2964" s="9" t="s">
        <v>18</v>
      </c>
      <c r="I2964" s="16" t="str">
        <f>VLOOKUP(F2964,[1]完整分类结果!$E:$G,3,0)</f>
        <v>普通机械制造业</v>
      </c>
      <c r="J2964" s="16">
        <f>VLOOKUP(I2964,[2]行业排放因子!$A:$B,2,0)</f>
        <v>9.6615781889079599</v>
      </c>
      <c r="K2964" s="9" t="s">
        <v>756</v>
      </c>
    </row>
    <row r="2965" spans="1:11" ht="12.5" customHeight="1" x14ac:dyDescent="0.25">
      <c r="A2965" s="5" t="s">
        <v>11205</v>
      </c>
      <c r="B2965" s="6" t="s">
        <v>7578</v>
      </c>
      <c r="C2965" s="6" t="s">
        <v>10842</v>
      </c>
      <c r="D2965" s="6" t="s">
        <v>11201</v>
      </c>
      <c r="E2965" s="6" t="s">
        <v>11206</v>
      </c>
      <c r="F2965" s="6" t="s">
        <v>11207</v>
      </c>
      <c r="G2965" s="9" t="s">
        <v>11208</v>
      </c>
      <c r="H2965" s="9" t="s">
        <v>18</v>
      </c>
      <c r="I2965" s="16" t="str">
        <f>VLOOKUP(F2965,[1]完整分类结果!$E:$G,3,0)</f>
        <v>普通机械制造业</v>
      </c>
      <c r="J2965" s="16">
        <f>VLOOKUP(I2965,[2]行业排放因子!$A:$B,2,0)</f>
        <v>9.6615781889079599</v>
      </c>
      <c r="K2965" s="9" t="s">
        <v>756</v>
      </c>
    </row>
    <row r="2966" spans="1:11" ht="12.5" customHeight="1" x14ac:dyDescent="0.25">
      <c r="A2966" s="5" t="s">
        <v>11209</v>
      </c>
      <c r="B2966" s="6" t="s">
        <v>7578</v>
      </c>
      <c r="C2966" s="6" t="s">
        <v>10842</v>
      </c>
      <c r="D2966" s="6" t="s">
        <v>11201</v>
      </c>
      <c r="E2966" s="6" t="s">
        <v>11210</v>
      </c>
      <c r="F2966" s="6" t="s">
        <v>11211</v>
      </c>
      <c r="G2966" s="9" t="s">
        <v>11212</v>
      </c>
      <c r="H2966" s="9" t="s">
        <v>18</v>
      </c>
      <c r="I2966" s="16" t="str">
        <f>VLOOKUP(F2966,[1]完整分类结果!$E:$G,3,0)</f>
        <v>普通机械制造业</v>
      </c>
      <c r="J2966" s="16">
        <f>VLOOKUP(I2966,[2]行业排放因子!$A:$B,2,0)</f>
        <v>9.6615781889079599</v>
      </c>
      <c r="K2966" s="9" t="s">
        <v>756</v>
      </c>
    </row>
    <row r="2967" spans="1:11" ht="12.5" customHeight="1" x14ac:dyDescent="0.25">
      <c r="A2967" s="5" t="s">
        <v>11213</v>
      </c>
      <c r="B2967" s="6" t="s">
        <v>7578</v>
      </c>
      <c r="C2967" s="6" t="s">
        <v>10842</v>
      </c>
      <c r="D2967" s="6" t="s">
        <v>11201</v>
      </c>
      <c r="E2967" s="6" t="s">
        <v>11214</v>
      </c>
      <c r="F2967" s="6" t="s">
        <v>11215</v>
      </c>
      <c r="G2967" s="9" t="s">
        <v>11216</v>
      </c>
      <c r="H2967" s="9" t="s">
        <v>18</v>
      </c>
      <c r="I2967" s="16" t="str">
        <f>VLOOKUP(F2967,[1]完整分类结果!$E:$G,3,0)</f>
        <v>普通机械制造业</v>
      </c>
      <c r="J2967" s="16">
        <f>VLOOKUP(I2967,[2]行业排放因子!$A:$B,2,0)</f>
        <v>9.6615781889079599</v>
      </c>
      <c r="K2967" s="9" t="s">
        <v>756</v>
      </c>
    </row>
    <row r="2968" spans="1:11" ht="12.5" customHeight="1" x14ac:dyDescent="0.25">
      <c r="A2968" s="5" t="s">
        <v>11217</v>
      </c>
      <c r="B2968" s="6" t="s">
        <v>7578</v>
      </c>
      <c r="C2968" s="6" t="s">
        <v>10842</v>
      </c>
      <c r="D2968" s="6" t="s">
        <v>11201</v>
      </c>
      <c r="E2968" s="6" t="s">
        <v>11218</v>
      </c>
      <c r="F2968" s="6" t="s">
        <v>11219</v>
      </c>
      <c r="G2968" s="9" t="s">
        <v>11220</v>
      </c>
      <c r="H2968" s="9" t="s">
        <v>18</v>
      </c>
      <c r="I2968" s="16" t="str">
        <f>VLOOKUP(F2968,[1]完整分类结果!$E:$G,3,0)</f>
        <v>普通机械制造业</v>
      </c>
      <c r="J2968" s="16">
        <f>VLOOKUP(I2968,[2]行业排放因子!$A:$B,2,0)</f>
        <v>9.6615781889079599</v>
      </c>
      <c r="K2968" s="9" t="s">
        <v>756</v>
      </c>
    </row>
    <row r="2969" spans="1:11" ht="12.5" customHeight="1" x14ac:dyDescent="0.25">
      <c r="A2969" s="5" t="s">
        <v>11221</v>
      </c>
      <c r="B2969" s="6" t="s">
        <v>7578</v>
      </c>
      <c r="C2969" s="6" t="s">
        <v>10842</v>
      </c>
      <c r="D2969" s="6" t="s">
        <v>11201</v>
      </c>
      <c r="E2969" s="6" t="s">
        <v>11222</v>
      </c>
      <c r="F2969" s="6" t="s">
        <v>11223</v>
      </c>
      <c r="G2969" s="9"/>
      <c r="H2969" s="9" t="s">
        <v>18</v>
      </c>
      <c r="I2969" s="16" t="str">
        <f>VLOOKUP(F2969,[1]完整分类结果!$E:$G,3,0)</f>
        <v>普通机械制造业</v>
      </c>
      <c r="J2969" s="16">
        <f>VLOOKUP(I2969,[2]行业排放因子!$A:$B,2,0)</f>
        <v>9.6615781889079599</v>
      </c>
      <c r="K2969" s="9" t="s">
        <v>756</v>
      </c>
    </row>
    <row r="2970" spans="1:11" ht="12.5" customHeight="1" x14ac:dyDescent="0.25">
      <c r="A2970" s="5" t="s">
        <v>11224</v>
      </c>
      <c r="B2970" s="6" t="s">
        <v>7578</v>
      </c>
      <c r="C2970" s="6" t="s">
        <v>10842</v>
      </c>
      <c r="D2970" s="6" t="s">
        <v>11225</v>
      </c>
      <c r="E2970" s="6" t="s">
        <v>11226</v>
      </c>
      <c r="F2970" s="6" t="s">
        <v>11227</v>
      </c>
      <c r="G2970" s="9"/>
      <c r="H2970" s="9" t="s">
        <v>18</v>
      </c>
      <c r="I2970" s="16" t="str">
        <f>VLOOKUP(F2970,[1]完整分类结果!$E:$G,3,0)</f>
        <v>普通机械制造业</v>
      </c>
      <c r="J2970" s="16">
        <f>VLOOKUP(I2970,[2]行业排放因子!$A:$B,2,0)</f>
        <v>9.6615781889079599</v>
      </c>
      <c r="K2970" s="9" t="s">
        <v>756</v>
      </c>
    </row>
    <row r="2971" spans="1:11" ht="12.5" customHeight="1" x14ac:dyDescent="0.25">
      <c r="A2971" s="5" t="s">
        <v>11228</v>
      </c>
      <c r="B2971" s="6" t="s">
        <v>7578</v>
      </c>
      <c r="C2971" s="6" t="s">
        <v>11229</v>
      </c>
      <c r="D2971" s="6" t="s">
        <v>11230</v>
      </c>
      <c r="E2971" s="6" t="s">
        <v>11231</v>
      </c>
      <c r="F2971" s="6" t="s">
        <v>11232</v>
      </c>
      <c r="G2971" s="9" t="s">
        <v>11233</v>
      </c>
      <c r="H2971" s="9" t="s">
        <v>18</v>
      </c>
      <c r="I2971" s="16" t="str">
        <f>VLOOKUP(F2971,[1]完整分类结果!$E:$G,3,0)</f>
        <v>仪器仪表及文化、办公用机械制造业</v>
      </c>
      <c r="J2971" s="16">
        <f>VLOOKUP(I2971,[2]行业排放因子!$A:$B,2,0)</f>
        <v>0.32872585603058302</v>
      </c>
      <c r="K2971" s="9" t="s">
        <v>756</v>
      </c>
    </row>
    <row r="2972" spans="1:11" ht="12.5" customHeight="1" x14ac:dyDescent="0.25">
      <c r="A2972" s="5" t="s">
        <v>11234</v>
      </c>
      <c r="B2972" s="6" t="s">
        <v>7578</v>
      </c>
      <c r="C2972" s="6" t="s">
        <v>11229</v>
      </c>
      <c r="D2972" s="6" t="s">
        <v>11230</v>
      </c>
      <c r="E2972" s="6" t="s">
        <v>11235</v>
      </c>
      <c r="F2972" s="6" t="s">
        <v>11236</v>
      </c>
      <c r="G2972" s="9" t="s">
        <v>11237</v>
      </c>
      <c r="H2972" s="9" t="s">
        <v>18</v>
      </c>
      <c r="I2972" s="16" t="str">
        <f>VLOOKUP(F2972,[1]完整分类结果!$E:$G,3,0)</f>
        <v>仪器仪表及文化、办公用机械制造业</v>
      </c>
      <c r="J2972" s="16">
        <f>VLOOKUP(I2972,[2]行业排放因子!$A:$B,2,0)</f>
        <v>0.32872585603058302</v>
      </c>
      <c r="K2972" s="9" t="s">
        <v>756</v>
      </c>
    </row>
    <row r="2973" spans="1:11" ht="12.5" customHeight="1" x14ac:dyDescent="0.25">
      <c r="A2973" s="5" t="s">
        <v>11238</v>
      </c>
      <c r="B2973" s="6" t="s">
        <v>7578</v>
      </c>
      <c r="C2973" s="6" t="s">
        <v>11229</v>
      </c>
      <c r="D2973" s="6" t="s">
        <v>11230</v>
      </c>
      <c r="E2973" s="6" t="s">
        <v>11239</v>
      </c>
      <c r="F2973" s="6" t="s">
        <v>11240</v>
      </c>
      <c r="G2973" s="9" t="s">
        <v>11241</v>
      </c>
      <c r="H2973" s="9" t="s">
        <v>18</v>
      </c>
      <c r="I2973" s="16" t="str">
        <f>VLOOKUP(F2973,[1]完整分类结果!$E:$G,3,0)</f>
        <v>仪器仪表及文化、办公用机械制造业</v>
      </c>
      <c r="J2973" s="16">
        <f>VLOOKUP(I2973,[2]行业排放因子!$A:$B,2,0)</f>
        <v>0.32872585603058302</v>
      </c>
      <c r="K2973" s="9" t="s">
        <v>756</v>
      </c>
    </row>
    <row r="2974" spans="1:11" ht="12.5" customHeight="1" x14ac:dyDescent="0.25">
      <c r="A2974" s="5" t="s">
        <v>11242</v>
      </c>
      <c r="B2974" s="6" t="s">
        <v>7578</v>
      </c>
      <c r="C2974" s="6" t="s">
        <v>11229</v>
      </c>
      <c r="D2974" s="6" t="s">
        <v>11230</v>
      </c>
      <c r="E2974" s="6" t="s">
        <v>11243</v>
      </c>
      <c r="F2974" s="6" t="s">
        <v>11244</v>
      </c>
      <c r="G2974" s="9"/>
      <c r="H2974" s="9" t="s">
        <v>18</v>
      </c>
      <c r="I2974" s="16" t="str">
        <f>VLOOKUP(F2974,[1]完整分类结果!$E:$G,3,0)</f>
        <v>仪器仪表及文化、办公用机械制造业</v>
      </c>
      <c r="J2974" s="16">
        <f>VLOOKUP(I2974,[2]行业排放因子!$A:$B,2,0)</f>
        <v>0.32872585603058302</v>
      </c>
      <c r="K2974" s="9" t="s">
        <v>756</v>
      </c>
    </row>
    <row r="2975" spans="1:11" ht="12.5" customHeight="1" x14ac:dyDescent="0.25">
      <c r="A2975" s="5" t="s">
        <v>11245</v>
      </c>
      <c r="B2975" s="6" t="s">
        <v>7578</v>
      </c>
      <c r="C2975" s="6" t="s">
        <v>11229</v>
      </c>
      <c r="D2975" s="6" t="s">
        <v>11246</v>
      </c>
      <c r="E2975" s="6" t="s">
        <v>11247</v>
      </c>
      <c r="F2975" s="6" t="s">
        <v>11248</v>
      </c>
      <c r="G2975" s="9" t="s">
        <v>11249</v>
      </c>
      <c r="H2975" s="9" t="s">
        <v>18</v>
      </c>
      <c r="I2975" s="16" t="str">
        <f>VLOOKUP(F2975,[1]完整分类结果!$E:$G,3,0)</f>
        <v>仪器仪表及文化、办公用机械制造业</v>
      </c>
      <c r="J2975" s="16">
        <f>VLOOKUP(I2975,[2]行业排放因子!$A:$B,2,0)</f>
        <v>0.32872585603058302</v>
      </c>
      <c r="K2975" s="9" t="s">
        <v>756</v>
      </c>
    </row>
    <row r="2976" spans="1:11" ht="12.5" customHeight="1" x14ac:dyDescent="0.25">
      <c r="A2976" s="5" t="s">
        <v>11250</v>
      </c>
      <c r="B2976" s="6" t="s">
        <v>7578</v>
      </c>
      <c r="C2976" s="6" t="s">
        <v>11229</v>
      </c>
      <c r="D2976" s="6" t="s">
        <v>11246</v>
      </c>
      <c r="E2976" s="6" t="s">
        <v>11251</v>
      </c>
      <c r="F2976" s="6" t="s">
        <v>11252</v>
      </c>
      <c r="G2976" s="9" t="s">
        <v>11253</v>
      </c>
      <c r="H2976" s="9" t="s">
        <v>18</v>
      </c>
      <c r="I2976" s="16" t="str">
        <f>VLOOKUP(F2976,[1]完整分类结果!$E:$G,3,0)</f>
        <v>仪器仪表及文化、办公用机械制造业</v>
      </c>
      <c r="J2976" s="16">
        <f>VLOOKUP(I2976,[2]行业排放因子!$A:$B,2,0)</f>
        <v>0.32872585603058302</v>
      </c>
      <c r="K2976" s="9" t="s">
        <v>756</v>
      </c>
    </row>
    <row r="2977" spans="1:11" ht="12.5" customHeight="1" x14ac:dyDescent="0.25">
      <c r="A2977" s="5" t="s">
        <v>11254</v>
      </c>
      <c r="B2977" s="6" t="s">
        <v>7578</v>
      </c>
      <c r="C2977" s="6" t="s">
        <v>11229</v>
      </c>
      <c r="D2977" s="6" t="s">
        <v>11246</v>
      </c>
      <c r="E2977" s="6" t="s">
        <v>11255</v>
      </c>
      <c r="F2977" s="6" t="s">
        <v>11256</v>
      </c>
      <c r="G2977" s="9" t="s">
        <v>11257</v>
      </c>
      <c r="H2977" s="9" t="s">
        <v>18</v>
      </c>
      <c r="I2977" s="16" t="str">
        <f>VLOOKUP(F2977,[1]完整分类结果!$E:$G,3,0)</f>
        <v>仪器仪表及文化、办公用机械制造业</v>
      </c>
      <c r="J2977" s="16">
        <f>VLOOKUP(I2977,[2]行业排放因子!$A:$B,2,0)</f>
        <v>0.32872585603058302</v>
      </c>
      <c r="K2977" s="9" t="s">
        <v>756</v>
      </c>
    </row>
    <row r="2978" spans="1:11" ht="12.5" customHeight="1" x14ac:dyDescent="0.25">
      <c r="A2978" s="5" t="s">
        <v>11258</v>
      </c>
      <c r="B2978" s="6" t="s">
        <v>7578</v>
      </c>
      <c r="C2978" s="6" t="s">
        <v>11229</v>
      </c>
      <c r="D2978" s="6" t="s">
        <v>11246</v>
      </c>
      <c r="E2978" s="6" t="s">
        <v>11259</v>
      </c>
      <c r="F2978" s="6" t="s">
        <v>11260</v>
      </c>
      <c r="G2978" s="9" t="s">
        <v>11261</v>
      </c>
      <c r="H2978" s="9" t="s">
        <v>18</v>
      </c>
      <c r="I2978" s="16" t="str">
        <f>VLOOKUP(F2978,[1]完整分类结果!$E:$G,3,0)</f>
        <v>仪器仪表及文化、办公用机械制造业</v>
      </c>
      <c r="J2978" s="16">
        <f>VLOOKUP(I2978,[2]行业排放因子!$A:$B,2,0)</f>
        <v>0.32872585603058302</v>
      </c>
      <c r="K2978" s="9" t="s">
        <v>756</v>
      </c>
    </row>
    <row r="2979" spans="1:11" ht="12.5" customHeight="1" x14ac:dyDescent="0.25">
      <c r="A2979" s="5" t="s">
        <v>11262</v>
      </c>
      <c r="B2979" s="6" t="s">
        <v>7578</v>
      </c>
      <c r="C2979" s="6" t="s">
        <v>11229</v>
      </c>
      <c r="D2979" s="6" t="s">
        <v>11246</v>
      </c>
      <c r="E2979" s="6" t="s">
        <v>11263</v>
      </c>
      <c r="F2979" s="6" t="s">
        <v>11264</v>
      </c>
      <c r="G2979" s="9" t="s">
        <v>11265</v>
      </c>
      <c r="H2979" s="9" t="s">
        <v>18</v>
      </c>
      <c r="I2979" s="16" t="str">
        <f>VLOOKUP(F2979,[1]完整分类结果!$E:$G,3,0)</f>
        <v>仪器仪表及文化、办公用机械制造业</v>
      </c>
      <c r="J2979" s="16">
        <f>VLOOKUP(I2979,[2]行业排放因子!$A:$B,2,0)</f>
        <v>0.32872585603058302</v>
      </c>
      <c r="K2979" s="9" t="s">
        <v>756</v>
      </c>
    </row>
    <row r="2980" spans="1:11" ht="12.5" customHeight="1" x14ac:dyDescent="0.25">
      <c r="A2980" s="5" t="s">
        <v>11266</v>
      </c>
      <c r="B2980" s="6" t="s">
        <v>7578</v>
      </c>
      <c r="C2980" s="6" t="s">
        <v>11229</v>
      </c>
      <c r="D2980" s="6" t="s">
        <v>11246</v>
      </c>
      <c r="E2980" s="6" t="s">
        <v>11267</v>
      </c>
      <c r="F2980" s="6" t="s">
        <v>11268</v>
      </c>
      <c r="G2980" s="9" t="s">
        <v>11269</v>
      </c>
      <c r="H2980" s="9" t="s">
        <v>18</v>
      </c>
      <c r="I2980" s="16" t="str">
        <f>VLOOKUP(F2980,[1]完整分类结果!$E:$G,3,0)</f>
        <v>仪器仪表及文化、办公用机械制造业</v>
      </c>
      <c r="J2980" s="16">
        <f>VLOOKUP(I2980,[2]行业排放因子!$A:$B,2,0)</f>
        <v>0.32872585603058302</v>
      </c>
      <c r="K2980" s="9" t="s">
        <v>756</v>
      </c>
    </row>
    <row r="2981" spans="1:11" ht="12.5" customHeight="1" x14ac:dyDescent="0.25">
      <c r="A2981" s="5" t="s">
        <v>11270</v>
      </c>
      <c r="B2981" s="6" t="s">
        <v>7578</v>
      </c>
      <c r="C2981" s="6" t="s">
        <v>11229</v>
      </c>
      <c r="D2981" s="6" t="s">
        <v>11246</v>
      </c>
      <c r="E2981" s="6" t="s">
        <v>11271</v>
      </c>
      <c r="F2981" s="6" t="s">
        <v>11272</v>
      </c>
      <c r="G2981" s="9"/>
      <c r="H2981" s="9" t="s">
        <v>18</v>
      </c>
      <c r="I2981" s="16" t="str">
        <f>VLOOKUP(F2981,[1]完整分类结果!$E:$G,3,0)</f>
        <v>仪器仪表及文化、办公用机械制造业</v>
      </c>
      <c r="J2981" s="16">
        <f>VLOOKUP(I2981,[2]行业排放因子!$A:$B,2,0)</f>
        <v>0.32872585603058302</v>
      </c>
      <c r="K2981" s="9" t="s">
        <v>756</v>
      </c>
    </row>
    <row r="2982" spans="1:11" ht="12.5" customHeight="1" x14ac:dyDescent="0.25">
      <c r="A2982" s="5" t="s">
        <v>11273</v>
      </c>
      <c r="B2982" s="6" t="s">
        <v>7578</v>
      </c>
      <c r="C2982" s="6" t="s">
        <v>11229</v>
      </c>
      <c r="D2982" s="6" t="s">
        <v>11274</v>
      </c>
      <c r="E2982" s="6" t="s">
        <v>11275</v>
      </c>
      <c r="F2982" s="6" t="s">
        <v>11276</v>
      </c>
      <c r="G2982" s="9" t="s">
        <v>11277</v>
      </c>
      <c r="H2982" s="9" t="s">
        <v>18</v>
      </c>
      <c r="I2982" s="16" t="str">
        <f>VLOOKUP(F2982,[1]完整分类结果!$E:$G,3,0)</f>
        <v>仪器仪表及文化、办公用机械制造业</v>
      </c>
      <c r="J2982" s="16">
        <f>VLOOKUP(I2982,[2]行业排放因子!$A:$B,2,0)</f>
        <v>0.32872585603058302</v>
      </c>
      <c r="K2982" s="9" t="s">
        <v>756</v>
      </c>
    </row>
    <row r="2983" spans="1:11" ht="12.5" customHeight="1" x14ac:dyDescent="0.25">
      <c r="A2983" s="5" t="s">
        <v>11278</v>
      </c>
      <c r="B2983" s="6" t="s">
        <v>7578</v>
      </c>
      <c r="C2983" s="6" t="s">
        <v>11229</v>
      </c>
      <c r="D2983" s="6" t="s">
        <v>11274</v>
      </c>
      <c r="E2983" s="6" t="s">
        <v>11279</v>
      </c>
      <c r="F2983" s="6" t="s">
        <v>11280</v>
      </c>
      <c r="G2983" s="9" t="s">
        <v>11281</v>
      </c>
      <c r="H2983" s="9" t="s">
        <v>18</v>
      </c>
      <c r="I2983" s="16" t="str">
        <f>VLOOKUP(F2983,[1]完整分类结果!$E:$G,3,0)</f>
        <v>仪器仪表及文化、办公用机械制造业</v>
      </c>
      <c r="J2983" s="16">
        <f>VLOOKUP(I2983,[2]行业排放因子!$A:$B,2,0)</f>
        <v>0.32872585603058302</v>
      </c>
      <c r="K2983" s="9" t="s">
        <v>756</v>
      </c>
    </row>
    <row r="2984" spans="1:11" ht="12.5" customHeight="1" x14ac:dyDescent="0.25">
      <c r="A2984" s="5" t="s">
        <v>11282</v>
      </c>
      <c r="B2984" s="6" t="s">
        <v>7578</v>
      </c>
      <c r="C2984" s="6" t="s">
        <v>11229</v>
      </c>
      <c r="D2984" s="6" t="s">
        <v>11274</v>
      </c>
      <c r="E2984" s="6" t="s">
        <v>11283</v>
      </c>
      <c r="F2984" s="6" t="s">
        <v>11284</v>
      </c>
      <c r="G2984" s="9"/>
      <c r="H2984" s="9" t="s">
        <v>18</v>
      </c>
      <c r="I2984" s="16" t="str">
        <f>VLOOKUP(F2984,[1]完整分类结果!$E:$G,3,0)</f>
        <v>仪器仪表及文化、办公用机械制造业</v>
      </c>
      <c r="J2984" s="16">
        <f>VLOOKUP(I2984,[2]行业排放因子!$A:$B,2,0)</f>
        <v>0.32872585603058302</v>
      </c>
      <c r="K2984" s="9" t="s">
        <v>756</v>
      </c>
    </row>
    <row r="2985" spans="1:11" ht="12.5" customHeight="1" x14ac:dyDescent="0.25">
      <c r="A2985" s="5" t="s">
        <v>11285</v>
      </c>
      <c r="B2985" s="6" t="s">
        <v>7578</v>
      </c>
      <c r="C2985" s="6" t="s">
        <v>11229</v>
      </c>
      <c r="D2985" s="6" t="s">
        <v>11274</v>
      </c>
      <c r="E2985" s="6" t="s">
        <v>11286</v>
      </c>
      <c r="F2985" s="6" t="s">
        <v>11287</v>
      </c>
      <c r="G2985" s="9" t="s">
        <v>11288</v>
      </c>
      <c r="H2985" s="9" t="s">
        <v>18</v>
      </c>
      <c r="I2985" s="16" t="str">
        <f>VLOOKUP(F2985,[1]完整分类结果!$E:$G,3,0)</f>
        <v>仪器仪表及文化、办公用机械制造业</v>
      </c>
      <c r="J2985" s="16">
        <f>VLOOKUP(I2985,[2]行业排放因子!$A:$B,2,0)</f>
        <v>0.32872585603058302</v>
      </c>
      <c r="K2985" s="9" t="s">
        <v>756</v>
      </c>
    </row>
    <row r="2986" spans="1:11" ht="12.5" customHeight="1" x14ac:dyDescent="0.25">
      <c r="A2986" s="5" t="s">
        <v>11289</v>
      </c>
      <c r="B2986" s="6" t="s">
        <v>7578</v>
      </c>
      <c r="C2986" s="6" t="s">
        <v>11229</v>
      </c>
      <c r="D2986" s="6" t="s">
        <v>11274</v>
      </c>
      <c r="E2986" s="6" t="s">
        <v>11290</v>
      </c>
      <c r="F2986" s="6" t="s">
        <v>11291</v>
      </c>
      <c r="G2986" s="9" t="s">
        <v>11292</v>
      </c>
      <c r="H2986" s="9" t="s">
        <v>18</v>
      </c>
      <c r="I2986" s="16" t="str">
        <f>VLOOKUP(F2986,[1]完整分类结果!$E:$G,3,0)</f>
        <v>仪器仪表及文化、办公用机械制造业</v>
      </c>
      <c r="J2986" s="16">
        <f>VLOOKUP(I2986,[2]行业排放因子!$A:$B,2,0)</f>
        <v>0.32872585603058302</v>
      </c>
      <c r="K2986" s="9" t="s">
        <v>756</v>
      </c>
    </row>
    <row r="2987" spans="1:11" ht="12.5" customHeight="1" x14ac:dyDescent="0.25">
      <c r="A2987" s="5" t="s">
        <v>11293</v>
      </c>
      <c r="B2987" s="6" t="s">
        <v>7578</v>
      </c>
      <c r="C2987" s="6" t="s">
        <v>11229</v>
      </c>
      <c r="D2987" s="6" t="s">
        <v>11274</v>
      </c>
      <c r="E2987" s="6" t="s">
        <v>11294</v>
      </c>
      <c r="F2987" s="6" t="s">
        <v>11295</v>
      </c>
      <c r="G2987" s="9" t="s">
        <v>11296</v>
      </c>
      <c r="H2987" s="9" t="s">
        <v>18</v>
      </c>
      <c r="I2987" s="16" t="str">
        <f>VLOOKUP(F2987,[1]完整分类结果!$E:$G,3,0)</f>
        <v>仪器仪表及文化、办公用机械制造业</v>
      </c>
      <c r="J2987" s="16">
        <f>VLOOKUP(I2987,[2]行业排放因子!$A:$B,2,0)</f>
        <v>0.32872585603058302</v>
      </c>
      <c r="K2987" s="9" t="s">
        <v>756</v>
      </c>
    </row>
    <row r="2988" spans="1:11" ht="12.5" customHeight="1" x14ac:dyDescent="0.25">
      <c r="A2988" s="5" t="s">
        <v>11297</v>
      </c>
      <c r="B2988" s="6" t="s">
        <v>7578</v>
      </c>
      <c r="C2988" s="6" t="s">
        <v>11229</v>
      </c>
      <c r="D2988" s="6" t="s">
        <v>11274</v>
      </c>
      <c r="E2988" s="6" t="s">
        <v>11298</v>
      </c>
      <c r="F2988" s="6" t="s">
        <v>11299</v>
      </c>
      <c r="G2988" s="9" t="s">
        <v>11300</v>
      </c>
      <c r="H2988" s="9" t="s">
        <v>18</v>
      </c>
      <c r="I2988" s="16" t="str">
        <f>VLOOKUP(F2988,[1]完整分类结果!$E:$G,3,0)</f>
        <v>仪器仪表及文化、办公用机械制造业</v>
      </c>
      <c r="J2988" s="16">
        <f>VLOOKUP(I2988,[2]行业排放因子!$A:$B,2,0)</f>
        <v>0.32872585603058302</v>
      </c>
      <c r="K2988" s="9" t="s">
        <v>756</v>
      </c>
    </row>
    <row r="2989" spans="1:11" ht="12.5" customHeight="1" x14ac:dyDescent="0.25">
      <c r="A2989" s="5" t="s">
        <v>11301</v>
      </c>
      <c r="B2989" s="6" t="s">
        <v>7578</v>
      </c>
      <c r="C2989" s="6" t="s">
        <v>11229</v>
      </c>
      <c r="D2989" s="6" t="s">
        <v>11274</v>
      </c>
      <c r="E2989" s="6" t="s">
        <v>11302</v>
      </c>
      <c r="F2989" s="6" t="s">
        <v>11303</v>
      </c>
      <c r="G2989" s="9" t="s">
        <v>11304</v>
      </c>
      <c r="H2989" s="9" t="s">
        <v>18</v>
      </c>
      <c r="I2989" s="16" t="str">
        <f>VLOOKUP(F2989,[1]完整分类结果!$E:$G,3,0)</f>
        <v>仪器仪表及文化、办公用机械制造业</v>
      </c>
      <c r="J2989" s="16">
        <f>VLOOKUP(I2989,[2]行业排放因子!$A:$B,2,0)</f>
        <v>0.32872585603058302</v>
      </c>
      <c r="K2989" s="9" t="s">
        <v>756</v>
      </c>
    </row>
    <row r="2990" spans="1:11" ht="12.5" customHeight="1" x14ac:dyDescent="0.25">
      <c r="A2990" s="5" t="s">
        <v>11305</v>
      </c>
      <c r="B2990" s="6" t="s">
        <v>7578</v>
      </c>
      <c r="C2990" s="6" t="s">
        <v>11229</v>
      </c>
      <c r="D2990" s="6" t="s">
        <v>11274</v>
      </c>
      <c r="E2990" s="6" t="s">
        <v>11306</v>
      </c>
      <c r="F2990" s="6" t="s">
        <v>11307</v>
      </c>
      <c r="G2990" s="9"/>
      <c r="H2990" s="9" t="s">
        <v>18</v>
      </c>
      <c r="I2990" s="16" t="str">
        <f>VLOOKUP(F2990,[1]完整分类结果!$E:$G,3,0)</f>
        <v>仪器仪表及文化、办公用机械制造业</v>
      </c>
      <c r="J2990" s="16">
        <f>VLOOKUP(I2990,[2]行业排放因子!$A:$B,2,0)</f>
        <v>0.32872585603058302</v>
      </c>
      <c r="K2990" s="9" t="s">
        <v>756</v>
      </c>
    </row>
    <row r="2991" spans="1:11" ht="12.5" customHeight="1" x14ac:dyDescent="0.25">
      <c r="A2991" s="5" t="s">
        <v>11308</v>
      </c>
      <c r="B2991" s="6" t="s">
        <v>7578</v>
      </c>
      <c r="C2991" s="6" t="s">
        <v>11229</v>
      </c>
      <c r="D2991" s="6" t="s">
        <v>11274</v>
      </c>
      <c r="E2991" s="6" t="s">
        <v>11309</v>
      </c>
      <c r="F2991" s="6" t="s">
        <v>11310</v>
      </c>
      <c r="G2991" s="9" t="s">
        <v>11311</v>
      </c>
      <c r="H2991" s="9" t="s">
        <v>18</v>
      </c>
      <c r="I2991" s="16" t="str">
        <f>VLOOKUP(F2991,[1]完整分类结果!$E:$G,3,0)</f>
        <v>仪器仪表及文化、办公用机械制造业</v>
      </c>
      <c r="J2991" s="16">
        <f>VLOOKUP(I2991,[2]行业排放因子!$A:$B,2,0)</f>
        <v>0.32872585603058302</v>
      </c>
      <c r="K2991" s="9" t="s">
        <v>756</v>
      </c>
    </row>
    <row r="2992" spans="1:11" ht="12.5" customHeight="1" x14ac:dyDescent="0.25">
      <c r="A2992" s="5" t="s">
        <v>11312</v>
      </c>
      <c r="B2992" s="6" t="s">
        <v>7578</v>
      </c>
      <c r="C2992" s="6" t="s">
        <v>11229</v>
      </c>
      <c r="D2992" s="6" t="s">
        <v>11274</v>
      </c>
      <c r="E2992" s="6" t="s">
        <v>11313</v>
      </c>
      <c r="F2992" s="6" t="s">
        <v>11314</v>
      </c>
      <c r="G2992" s="9"/>
      <c r="H2992" s="9" t="s">
        <v>18</v>
      </c>
      <c r="I2992" s="16" t="str">
        <f>VLOOKUP(F2992,[1]完整分类结果!$E:$G,3,0)</f>
        <v>仪器仪表及文化、办公用机械制造业</v>
      </c>
      <c r="J2992" s="16">
        <f>VLOOKUP(I2992,[2]行业排放因子!$A:$B,2,0)</f>
        <v>0.32872585603058302</v>
      </c>
      <c r="K2992" s="9" t="s">
        <v>756</v>
      </c>
    </row>
    <row r="2993" spans="1:11" ht="12.5" customHeight="1" x14ac:dyDescent="0.25">
      <c r="A2993" s="5" t="s">
        <v>11315</v>
      </c>
      <c r="B2993" s="6" t="s">
        <v>7578</v>
      </c>
      <c r="C2993" s="6" t="s">
        <v>11229</v>
      </c>
      <c r="D2993" s="6" t="s">
        <v>11274</v>
      </c>
      <c r="E2993" s="6" t="s">
        <v>11316</v>
      </c>
      <c r="F2993" s="6" t="s">
        <v>11317</v>
      </c>
      <c r="G2993" s="9"/>
      <c r="H2993" s="9" t="s">
        <v>18</v>
      </c>
      <c r="I2993" s="16" t="str">
        <f>VLOOKUP(F2993,[1]完整分类结果!$E:$G,3,0)</f>
        <v>仪器仪表及文化、办公用机械制造业</v>
      </c>
      <c r="J2993" s="16">
        <f>VLOOKUP(I2993,[2]行业排放因子!$A:$B,2,0)</f>
        <v>0.32872585603058302</v>
      </c>
      <c r="K2993" s="9" t="s">
        <v>756</v>
      </c>
    </row>
    <row r="2994" spans="1:11" ht="12.5" customHeight="1" x14ac:dyDescent="0.25">
      <c r="A2994" s="5" t="s">
        <v>11318</v>
      </c>
      <c r="B2994" s="6" t="s">
        <v>7578</v>
      </c>
      <c r="C2994" s="6" t="s">
        <v>11229</v>
      </c>
      <c r="D2994" s="6" t="s">
        <v>11274</v>
      </c>
      <c r="E2994" s="6" t="s">
        <v>11319</v>
      </c>
      <c r="F2994" s="6" t="s">
        <v>11320</v>
      </c>
      <c r="G2994" s="9" t="s">
        <v>11321</v>
      </c>
      <c r="H2994" s="9" t="s">
        <v>18</v>
      </c>
      <c r="I2994" s="16" t="str">
        <f>VLOOKUP(F2994,[1]完整分类结果!$E:$G,3,0)</f>
        <v>仪器仪表及文化、办公用机械制造业</v>
      </c>
      <c r="J2994" s="16">
        <f>VLOOKUP(I2994,[2]行业排放因子!$A:$B,2,0)</f>
        <v>0.32872585603058302</v>
      </c>
      <c r="K2994" s="9" t="s">
        <v>756</v>
      </c>
    </row>
    <row r="2995" spans="1:11" ht="12.5" customHeight="1" x14ac:dyDescent="0.25">
      <c r="A2995" s="5" t="s">
        <v>11322</v>
      </c>
      <c r="B2995" s="6" t="s">
        <v>7578</v>
      </c>
      <c r="C2995" s="6" t="s">
        <v>11229</v>
      </c>
      <c r="D2995" s="6" t="s">
        <v>11274</v>
      </c>
      <c r="E2995" s="6" t="s">
        <v>11323</v>
      </c>
      <c r="F2995" s="6" t="s">
        <v>11324</v>
      </c>
      <c r="G2995" s="9"/>
      <c r="H2995" s="9" t="s">
        <v>18</v>
      </c>
      <c r="I2995" s="16" t="str">
        <f>VLOOKUP(F2995,[1]完整分类结果!$E:$G,3,0)</f>
        <v>仪器仪表及文化、办公用机械制造业</v>
      </c>
      <c r="J2995" s="16">
        <f>VLOOKUP(I2995,[2]行业排放因子!$A:$B,2,0)</f>
        <v>0.32872585603058302</v>
      </c>
      <c r="K2995" s="9" t="s">
        <v>756</v>
      </c>
    </row>
    <row r="2996" spans="1:11" ht="12.5" customHeight="1" x14ac:dyDescent="0.25">
      <c r="A2996" s="5" t="s">
        <v>11325</v>
      </c>
      <c r="B2996" s="6" t="s">
        <v>7578</v>
      </c>
      <c r="C2996" s="6" t="s">
        <v>11229</v>
      </c>
      <c r="D2996" s="6" t="s">
        <v>11326</v>
      </c>
      <c r="E2996" s="6" t="s">
        <v>11327</v>
      </c>
      <c r="F2996" s="6" t="s">
        <v>11328</v>
      </c>
      <c r="G2996" s="9" t="s">
        <v>11329</v>
      </c>
      <c r="H2996" s="9" t="s">
        <v>18</v>
      </c>
      <c r="I2996" s="16" t="str">
        <f>VLOOKUP(F2996,[1]完整分类结果!$E:$G,3,0)</f>
        <v>仪器仪表及文化、办公用机械制造业</v>
      </c>
      <c r="J2996" s="16">
        <f>VLOOKUP(I2996,[2]行业排放因子!$A:$B,2,0)</f>
        <v>0.32872585603058302</v>
      </c>
      <c r="K2996" s="9" t="s">
        <v>756</v>
      </c>
    </row>
    <row r="2997" spans="1:11" ht="12.5" customHeight="1" x14ac:dyDescent="0.25">
      <c r="A2997" s="5" t="s">
        <v>11330</v>
      </c>
      <c r="B2997" s="6" t="s">
        <v>7578</v>
      </c>
      <c r="C2997" s="6" t="s">
        <v>11229</v>
      </c>
      <c r="D2997" s="6" t="s">
        <v>11326</v>
      </c>
      <c r="E2997" s="6" t="s">
        <v>11331</v>
      </c>
      <c r="F2997" s="6" t="s">
        <v>11332</v>
      </c>
      <c r="G2997" s="9" t="s">
        <v>11333</v>
      </c>
      <c r="H2997" s="9" t="s">
        <v>18</v>
      </c>
      <c r="I2997" s="16" t="str">
        <f>VLOOKUP(F2997,[1]完整分类结果!$E:$G,3,0)</f>
        <v>仪器仪表及文化、办公用机械制造业</v>
      </c>
      <c r="J2997" s="16">
        <f>VLOOKUP(I2997,[2]行业排放因子!$A:$B,2,0)</f>
        <v>0.32872585603058302</v>
      </c>
      <c r="K2997" s="9" t="s">
        <v>756</v>
      </c>
    </row>
    <row r="2998" spans="1:11" ht="12.5" customHeight="1" x14ac:dyDescent="0.25">
      <c r="A2998" s="5" t="s">
        <v>11334</v>
      </c>
      <c r="B2998" s="6" t="s">
        <v>7578</v>
      </c>
      <c r="C2998" s="6" t="s">
        <v>11229</v>
      </c>
      <c r="D2998" s="6" t="s">
        <v>11326</v>
      </c>
      <c r="E2998" s="6" t="s">
        <v>11335</v>
      </c>
      <c r="F2998" s="6" t="s">
        <v>11336</v>
      </c>
      <c r="G2998" s="9" t="s">
        <v>11337</v>
      </c>
      <c r="H2998" s="9" t="s">
        <v>18</v>
      </c>
      <c r="I2998" s="16" t="str">
        <f>VLOOKUP(F2998,[1]完整分类结果!$E:$G,3,0)</f>
        <v>仪器仪表及文化、办公用机械制造业</v>
      </c>
      <c r="J2998" s="16">
        <f>VLOOKUP(I2998,[2]行业排放因子!$A:$B,2,0)</f>
        <v>0.32872585603058302</v>
      </c>
      <c r="K2998" s="9" t="s">
        <v>756</v>
      </c>
    </row>
    <row r="2999" spans="1:11" ht="12.5" customHeight="1" x14ac:dyDescent="0.25">
      <c r="A2999" s="5" t="s">
        <v>11338</v>
      </c>
      <c r="B2999" s="6" t="s">
        <v>7578</v>
      </c>
      <c r="C2999" s="6" t="s">
        <v>11229</v>
      </c>
      <c r="D2999" s="6" t="s">
        <v>11326</v>
      </c>
      <c r="E2999" s="6" t="s">
        <v>11339</v>
      </c>
      <c r="F2999" s="6" t="s">
        <v>11340</v>
      </c>
      <c r="G2999" s="9" t="s">
        <v>11341</v>
      </c>
      <c r="H2999" s="9" t="s">
        <v>18</v>
      </c>
      <c r="I2999" s="16" t="str">
        <f>VLOOKUP(F2999,[1]完整分类结果!$E:$G,3,0)</f>
        <v>仪器仪表及文化、办公用机械制造业</v>
      </c>
      <c r="J2999" s="16">
        <f>VLOOKUP(I2999,[2]行业排放因子!$A:$B,2,0)</f>
        <v>0.32872585603058302</v>
      </c>
      <c r="K2999" s="9" t="s">
        <v>756</v>
      </c>
    </row>
    <row r="3000" spans="1:11" ht="12.5" customHeight="1" x14ac:dyDescent="0.25">
      <c r="A3000" s="5" t="s">
        <v>11342</v>
      </c>
      <c r="B3000" s="6" t="s">
        <v>7578</v>
      </c>
      <c r="C3000" s="6" t="s">
        <v>11229</v>
      </c>
      <c r="D3000" s="6" t="s">
        <v>11326</v>
      </c>
      <c r="E3000" s="6" t="s">
        <v>11343</v>
      </c>
      <c r="F3000" s="6" t="s">
        <v>11344</v>
      </c>
      <c r="G3000" s="9" t="s">
        <v>11345</v>
      </c>
      <c r="H3000" s="9" t="s">
        <v>18</v>
      </c>
      <c r="I3000" s="16" t="str">
        <f>VLOOKUP(F3000,[1]完整分类结果!$E:$G,3,0)</f>
        <v>仪器仪表及文化、办公用机械制造业</v>
      </c>
      <c r="J3000" s="16">
        <f>VLOOKUP(I3000,[2]行业排放因子!$A:$B,2,0)</f>
        <v>0.32872585603058302</v>
      </c>
      <c r="K3000" s="9" t="s">
        <v>756</v>
      </c>
    </row>
    <row r="3001" spans="1:11" ht="12.5" customHeight="1" x14ac:dyDescent="0.25">
      <c r="A3001" s="5" t="s">
        <v>11346</v>
      </c>
      <c r="B3001" s="6" t="s">
        <v>7578</v>
      </c>
      <c r="C3001" s="6" t="s">
        <v>11229</v>
      </c>
      <c r="D3001" s="6" t="s">
        <v>11326</v>
      </c>
      <c r="E3001" s="6" t="s">
        <v>11347</v>
      </c>
      <c r="F3001" s="6" t="s">
        <v>11348</v>
      </c>
      <c r="G3001" s="9" t="s">
        <v>11349</v>
      </c>
      <c r="H3001" s="9" t="s">
        <v>18</v>
      </c>
      <c r="I3001" s="16" t="str">
        <f>VLOOKUP(F3001,[1]完整分类结果!$E:$G,3,0)</f>
        <v>仪器仪表及文化、办公用机械制造业</v>
      </c>
      <c r="J3001" s="16">
        <f>VLOOKUP(I3001,[2]行业排放因子!$A:$B,2,0)</f>
        <v>0.32872585603058302</v>
      </c>
      <c r="K3001" s="9" t="s">
        <v>756</v>
      </c>
    </row>
    <row r="3002" spans="1:11" ht="12.5" customHeight="1" x14ac:dyDescent="0.25">
      <c r="A3002" s="5" t="s">
        <v>11350</v>
      </c>
      <c r="B3002" s="6" t="s">
        <v>7578</v>
      </c>
      <c r="C3002" s="6" t="s">
        <v>11229</v>
      </c>
      <c r="D3002" s="6" t="s">
        <v>11326</v>
      </c>
      <c r="E3002" s="6" t="s">
        <v>11351</v>
      </c>
      <c r="F3002" s="6" t="s">
        <v>11352</v>
      </c>
      <c r="G3002" s="9" t="s">
        <v>11353</v>
      </c>
      <c r="H3002" s="9" t="s">
        <v>18</v>
      </c>
      <c r="I3002" s="16" t="str">
        <f>VLOOKUP(F3002,[1]完整分类结果!$E:$G,3,0)</f>
        <v>仪器仪表及文化、办公用机械制造业</v>
      </c>
      <c r="J3002" s="16">
        <f>VLOOKUP(I3002,[2]行业排放因子!$A:$B,2,0)</f>
        <v>0.32872585603058302</v>
      </c>
      <c r="K3002" s="9" t="s">
        <v>756</v>
      </c>
    </row>
    <row r="3003" spans="1:11" ht="12.5" customHeight="1" x14ac:dyDescent="0.25">
      <c r="A3003" s="5" t="s">
        <v>11354</v>
      </c>
      <c r="B3003" s="6" t="s">
        <v>7578</v>
      </c>
      <c r="C3003" s="6" t="s">
        <v>11229</v>
      </c>
      <c r="D3003" s="6" t="s">
        <v>11326</v>
      </c>
      <c r="E3003" s="6" t="s">
        <v>11355</v>
      </c>
      <c r="F3003" s="6" t="s">
        <v>11356</v>
      </c>
      <c r="G3003" s="9" t="s">
        <v>11357</v>
      </c>
      <c r="H3003" s="9" t="s">
        <v>18</v>
      </c>
      <c r="I3003" s="16" t="str">
        <f>VLOOKUP(F3003,[1]完整分类结果!$E:$G,3,0)</f>
        <v>仪器仪表及文化、办公用机械制造业</v>
      </c>
      <c r="J3003" s="16">
        <f>VLOOKUP(I3003,[2]行业排放因子!$A:$B,2,0)</f>
        <v>0.32872585603058302</v>
      </c>
      <c r="K3003" s="9" t="s">
        <v>756</v>
      </c>
    </row>
    <row r="3004" spans="1:11" ht="12.5" customHeight="1" x14ac:dyDescent="0.25">
      <c r="A3004" s="5" t="s">
        <v>11358</v>
      </c>
      <c r="B3004" s="6" t="s">
        <v>7578</v>
      </c>
      <c r="C3004" s="6" t="s">
        <v>11229</v>
      </c>
      <c r="D3004" s="6" t="s">
        <v>11326</v>
      </c>
      <c r="E3004" s="6" t="s">
        <v>11359</v>
      </c>
      <c r="F3004" s="6" t="s">
        <v>11360</v>
      </c>
      <c r="G3004" s="9" t="s">
        <v>11361</v>
      </c>
      <c r="H3004" s="9" t="s">
        <v>18</v>
      </c>
      <c r="I3004" s="16" t="str">
        <f>VLOOKUP(F3004,[1]完整分类结果!$E:$G,3,0)</f>
        <v>仪器仪表及文化、办公用机械制造业</v>
      </c>
      <c r="J3004" s="16">
        <f>VLOOKUP(I3004,[2]行业排放因子!$A:$B,2,0)</f>
        <v>0.32872585603058302</v>
      </c>
      <c r="K3004" s="9" t="s">
        <v>756</v>
      </c>
    </row>
    <row r="3005" spans="1:11" ht="12.5" customHeight="1" x14ac:dyDescent="0.25">
      <c r="A3005" s="5" t="s">
        <v>11362</v>
      </c>
      <c r="B3005" s="6" t="s">
        <v>7578</v>
      </c>
      <c r="C3005" s="6" t="s">
        <v>11229</v>
      </c>
      <c r="D3005" s="6" t="s">
        <v>11326</v>
      </c>
      <c r="E3005" s="6" t="s">
        <v>11363</v>
      </c>
      <c r="F3005" s="6" t="s">
        <v>11364</v>
      </c>
      <c r="G3005" s="9" t="s">
        <v>11365</v>
      </c>
      <c r="H3005" s="9" t="s">
        <v>18</v>
      </c>
      <c r="I3005" s="16" t="str">
        <f>VLOOKUP(F3005,[1]完整分类结果!$E:$G,3,0)</f>
        <v>仪器仪表及文化、办公用机械制造业</v>
      </c>
      <c r="J3005" s="16">
        <f>VLOOKUP(I3005,[2]行业排放因子!$A:$B,2,0)</f>
        <v>0.32872585603058302</v>
      </c>
      <c r="K3005" s="9" t="s">
        <v>756</v>
      </c>
    </row>
    <row r="3006" spans="1:11" ht="12.5" customHeight="1" x14ac:dyDescent="0.25">
      <c r="A3006" s="5" t="s">
        <v>11366</v>
      </c>
      <c r="B3006" s="6" t="s">
        <v>7578</v>
      </c>
      <c r="C3006" s="6" t="s">
        <v>11229</v>
      </c>
      <c r="D3006" s="6" t="s">
        <v>11326</v>
      </c>
      <c r="E3006" s="6" t="s">
        <v>11367</v>
      </c>
      <c r="F3006" s="6" t="s">
        <v>11368</v>
      </c>
      <c r="G3006" s="9"/>
      <c r="H3006" s="9" t="s">
        <v>18</v>
      </c>
      <c r="I3006" s="16" t="str">
        <f>VLOOKUP(F3006,[1]完整分类结果!$E:$G,3,0)</f>
        <v>仪器仪表及文化、办公用机械制造业</v>
      </c>
      <c r="J3006" s="16">
        <f>VLOOKUP(I3006,[2]行业排放因子!$A:$B,2,0)</f>
        <v>0.32872585603058302</v>
      </c>
      <c r="K3006" s="9" t="s">
        <v>756</v>
      </c>
    </row>
    <row r="3007" spans="1:11" ht="12.5" customHeight="1" x14ac:dyDescent="0.25">
      <c r="A3007" s="5" t="s">
        <v>11369</v>
      </c>
      <c r="B3007" s="6" t="s">
        <v>7578</v>
      </c>
      <c r="C3007" s="6" t="s">
        <v>11229</v>
      </c>
      <c r="D3007" s="6" t="s">
        <v>11370</v>
      </c>
      <c r="E3007" s="6" t="s">
        <v>11371</v>
      </c>
      <c r="F3007" s="6" t="s">
        <v>11372</v>
      </c>
      <c r="G3007" s="9" t="s">
        <v>11373</v>
      </c>
      <c r="H3007" s="9" t="s">
        <v>18</v>
      </c>
      <c r="I3007" s="16" t="str">
        <f>VLOOKUP(F3007,[1]完整分类结果!$E:$G,3,0)</f>
        <v>仪器仪表及文化、办公用机械制造业</v>
      </c>
      <c r="J3007" s="16">
        <f>VLOOKUP(I3007,[2]行业排放因子!$A:$B,2,0)</f>
        <v>0.32872585603058302</v>
      </c>
      <c r="K3007" s="9" t="s">
        <v>756</v>
      </c>
    </row>
    <row r="3008" spans="1:11" ht="12.5" customHeight="1" x14ac:dyDescent="0.25">
      <c r="A3008" s="5" t="s">
        <v>11374</v>
      </c>
      <c r="B3008" s="6" t="s">
        <v>7578</v>
      </c>
      <c r="C3008" s="6" t="s">
        <v>11229</v>
      </c>
      <c r="D3008" s="6" t="s">
        <v>11370</v>
      </c>
      <c r="E3008" s="6" t="s">
        <v>11375</v>
      </c>
      <c r="F3008" s="6" t="s">
        <v>11376</v>
      </c>
      <c r="G3008" s="9" t="s">
        <v>11377</v>
      </c>
      <c r="H3008" s="9" t="s">
        <v>18</v>
      </c>
      <c r="I3008" s="16" t="str">
        <f>VLOOKUP(F3008,[1]完整分类结果!$E:$G,3,0)</f>
        <v>仪器仪表及文化、办公用机械制造业</v>
      </c>
      <c r="J3008" s="16">
        <f>VLOOKUP(I3008,[2]行业排放因子!$A:$B,2,0)</f>
        <v>0.32872585603058302</v>
      </c>
      <c r="K3008" s="9" t="s">
        <v>756</v>
      </c>
    </row>
    <row r="3009" spans="1:11" ht="12.5" customHeight="1" x14ac:dyDescent="0.25">
      <c r="A3009" s="5" t="s">
        <v>11378</v>
      </c>
      <c r="B3009" s="6" t="s">
        <v>7578</v>
      </c>
      <c r="C3009" s="6" t="s">
        <v>11229</v>
      </c>
      <c r="D3009" s="6" t="s">
        <v>11370</v>
      </c>
      <c r="E3009" s="6" t="s">
        <v>11379</v>
      </c>
      <c r="F3009" s="6" t="s">
        <v>11380</v>
      </c>
      <c r="G3009" s="9" t="s">
        <v>11381</v>
      </c>
      <c r="H3009" s="9" t="s">
        <v>18</v>
      </c>
      <c r="I3009" s="16" t="str">
        <f>VLOOKUP(F3009,[1]完整分类结果!$E:$G,3,0)</f>
        <v>仪器仪表及文化、办公用机械制造业</v>
      </c>
      <c r="J3009" s="16">
        <f>VLOOKUP(I3009,[2]行业排放因子!$A:$B,2,0)</f>
        <v>0.32872585603058302</v>
      </c>
      <c r="K3009" s="9" t="s">
        <v>756</v>
      </c>
    </row>
    <row r="3010" spans="1:11" ht="12.5" customHeight="1" x14ac:dyDescent="0.25">
      <c r="A3010" s="5" t="s">
        <v>11382</v>
      </c>
      <c r="B3010" s="6" t="s">
        <v>7578</v>
      </c>
      <c r="C3010" s="6" t="s">
        <v>11229</v>
      </c>
      <c r="D3010" s="6" t="s">
        <v>11370</v>
      </c>
      <c r="E3010" s="6" t="s">
        <v>11383</v>
      </c>
      <c r="F3010" s="6" t="s">
        <v>11384</v>
      </c>
      <c r="G3010" s="9" t="s">
        <v>11385</v>
      </c>
      <c r="H3010" s="9" t="s">
        <v>18</v>
      </c>
      <c r="I3010" s="16" t="str">
        <f>VLOOKUP(F3010,[1]完整分类结果!$E:$G,3,0)</f>
        <v>仪器仪表及文化、办公用机械制造业</v>
      </c>
      <c r="J3010" s="16">
        <f>VLOOKUP(I3010,[2]行业排放因子!$A:$B,2,0)</f>
        <v>0.32872585603058302</v>
      </c>
      <c r="K3010" s="9" t="s">
        <v>756</v>
      </c>
    </row>
    <row r="3011" spans="1:11" ht="12.5" customHeight="1" x14ac:dyDescent="0.25">
      <c r="A3011" s="5" t="s">
        <v>11386</v>
      </c>
      <c r="B3011" s="6" t="s">
        <v>7578</v>
      </c>
      <c r="C3011" s="6" t="s">
        <v>11229</v>
      </c>
      <c r="D3011" s="6" t="s">
        <v>11370</v>
      </c>
      <c r="E3011" s="6" t="s">
        <v>11387</v>
      </c>
      <c r="F3011" s="6" t="s">
        <v>11388</v>
      </c>
      <c r="G3011" s="9" t="s">
        <v>11389</v>
      </c>
      <c r="H3011" s="9" t="s">
        <v>18</v>
      </c>
      <c r="I3011" s="16" t="str">
        <f>VLOOKUP(F3011,[1]完整分类结果!$E:$G,3,0)</f>
        <v>仪器仪表及文化、办公用机械制造业</v>
      </c>
      <c r="J3011" s="16">
        <f>VLOOKUP(I3011,[2]行业排放因子!$A:$B,2,0)</f>
        <v>0.32872585603058302</v>
      </c>
      <c r="K3011" s="9" t="s">
        <v>756</v>
      </c>
    </row>
    <row r="3012" spans="1:11" ht="12.5" customHeight="1" x14ac:dyDescent="0.25">
      <c r="A3012" s="5" t="s">
        <v>11390</v>
      </c>
      <c r="B3012" s="6" t="s">
        <v>7578</v>
      </c>
      <c r="C3012" s="6" t="s">
        <v>11229</v>
      </c>
      <c r="D3012" s="6" t="s">
        <v>11370</v>
      </c>
      <c r="E3012" s="6" t="s">
        <v>11391</v>
      </c>
      <c r="F3012" s="6" t="s">
        <v>11392</v>
      </c>
      <c r="G3012" s="9" t="s">
        <v>11393</v>
      </c>
      <c r="H3012" s="9" t="s">
        <v>18</v>
      </c>
      <c r="I3012" s="16" t="str">
        <f>VLOOKUP(F3012,[1]完整分类结果!$E:$G,3,0)</f>
        <v>仪器仪表及文化、办公用机械制造业</v>
      </c>
      <c r="J3012" s="16">
        <f>VLOOKUP(I3012,[2]行业排放因子!$A:$B,2,0)</f>
        <v>0.32872585603058302</v>
      </c>
      <c r="K3012" s="9" t="s">
        <v>756</v>
      </c>
    </row>
    <row r="3013" spans="1:11" ht="12.5" customHeight="1" x14ac:dyDescent="0.25">
      <c r="A3013" s="5" t="s">
        <v>11394</v>
      </c>
      <c r="B3013" s="6" t="s">
        <v>7578</v>
      </c>
      <c r="C3013" s="6" t="s">
        <v>11229</v>
      </c>
      <c r="D3013" s="6" t="s">
        <v>11370</v>
      </c>
      <c r="E3013" s="6" t="s">
        <v>11395</v>
      </c>
      <c r="F3013" s="6" t="s">
        <v>11396</v>
      </c>
      <c r="G3013" s="9" t="s">
        <v>11397</v>
      </c>
      <c r="H3013" s="9" t="s">
        <v>18</v>
      </c>
      <c r="I3013" s="16" t="str">
        <f>VLOOKUP(F3013,[1]完整分类结果!$E:$G,3,0)</f>
        <v>仪器仪表及文化、办公用机械制造业</v>
      </c>
      <c r="J3013" s="16">
        <f>VLOOKUP(I3013,[2]行业排放因子!$A:$B,2,0)</f>
        <v>0.32872585603058302</v>
      </c>
      <c r="K3013" s="9" t="s">
        <v>756</v>
      </c>
    </row>
    <row r="3014" spans="1:11" ht="12.5" customHeight="1" x14ac:dyDescent="0.25">
      <c r="A3014" s="5" t="s">
        <v>11398</v>
      </c>
      <c r="B3014" s="6" t="s">
        <v>7578</v>
      </c>
      <c r="C3014" s="6" t="s">
        <v>11229</v>
      </c>
      <c r="D3014" s="6" t="s">
        <v>11370</v>
      </c>
      <c r="E3014" s="6" t="s">
        <v>11399</v>
      </c>
      <c r="F3014" s="6" t="s">
        <v>11400</v>
      </c>
      <c r="G3014" s="9" t="s">
        <v>11401</v>
      </c>
      <c r="H3014" s="9" t="s">
        <v>18</v>
      </c>
      <c r="I3014" s="16" t="str">
        <f>VLOOKUP(F3014,[1]完整分类结果!$E:$G,3,0)</f>
        <v>仪器仪表及文化、办公用机械制造业</v>
      </c>
      <c r="J3014" s="16">
        <f>VLOOKUP(I3014,[2]行业排放因子!$A:$B,2,0)</f>
        <v>0.32872585603058302</v>
      </c>
      <c r="K3014" s="9" t="s">
        <v>756</v>
      </c>
    </row>
    <row r="3015" spans="1:11" ht="12.5" customHeight="1" x14ac:dyDescent="0.25">
      <c r="A3015" s="5" t="s">
        <v>11402</v>
      </c>
      <c r="B3015" s="6" t="s">
        <v>7578</v>
      </c>
      <c r="C3015" s="6" t="s">
        <v>11229</v>
      </c>
      <c r="D3015" s="6" t="s">
        <v>11370</v>
      </c>
      <c r="E3015" s="6" t="s">
        <v>11403</v>
      </c>
      <c r="F3015" s="6" t="s">
        <v>11404</v>
      </c>
      <c r="G3015" s="9" t="s">
        <v>11405</v>
      </c>
      <c r="H3015" s="9" t="s">
        <v>18</v>
      </c>
      <c r="I3015" s="16" t="str">
        <f>VLOOKUP(F3015,[1]完整分类结果!$E:$G,3,0)</f>
        <v>仪器仪表及文化、办公用机械制造业</v>
      </c>
      <c r="J3015" s="16">
        <f>VLOOKUP(I3015,[2]行业排放因子!$A:$B,2,0)</f>
        <v>0.32872585603058302</v>
      </c>
      <c r="K3015" s="9" t="s">
        <v>756</v>
      </c>
    </row>
    <row r="3016" spans="1:11" ht="12.5" customHeight="1" x14ac:dyDescent="0.25">
      <c r="A3016" s="5" t="s">
        <v>11406</v>
      </c>
      <c r="B3016" s="6" t="s">
        <v>7578</v>
      </c>
      <c r="C3016" s="6" t="s">
        <v>11229</v>
      </c>
      <c r="D3016" s="6" t="s">
        <v>11370</v>
      </c>
      <c r="E3016" s="6" t="s">
        <v>11407</v>
      </c>
      <c r="F3016" s="6" t="s">
        <v>11408</v>
      </c>
      <c r="G3016" s="9" t="s">
        <v>11409</v>
      </c>
      <c r="H3016" s="9" t="s">
        <v>18</v>
      </c>
      <c r="I3016" s="16" t="str">
        <f>VLOOKUP(F3016,[1]完整分类结果!$E:$G,3,0)</f>
        <v>仪器仪表及文化、办公用机械制造业</v>
      </c>
      <c r="J3016" s="16">
        <f>VLOOKUP(I3016,[2]行业排放因子!$A:$B,2,0)</f>
        <v>0.32872585603058302</v>
      </c>
      <c r="K3016" s="9" t="s">
        <v>756</v>
      </c>
    </row>
    <row r="3017" spans="1:11" ht="12.5" customHeight="1" x14ac:dyDescent="0.25">
      <c r="A3017" s="5" t="s">
        <v>11410</v>
      </c>
      <c r="B3017" s="6" t="s">
        <v>7578</v>
      </c>
      <c r="C3017" s="6" t="s">
        <v>11229</v>
      </c>
      <c r="D3017" s="6" t="s">
        <v>11370</v>
      </c>
      <c r="E3017" s="6" t="s">
        <v>11411</v>
      </c>
      <c r="F3017" s="6" t="s">
        <v>11412</v>
      </c>
      <c r="G3017" s="9" t="s">
        <v>11413</v>
      </c>
      <c r="H3017" s="9" t="s">
        <v>18</v>
      </c>
      <c r="I3017" s="16" t="str">
        <f>VLOOKUP(F3017,[1]完整分类结果!$E:$G,3,0)</f>
        <v>仪器仪表及文化、办公用机械制造业</v>
      </c>
      <c r="J3017" s="16">
        <f>VLOOKUP(I3017,[2]行业排放因子!$A:$B,2,0)</f>
        <v>0.32872585603058302</v>
      </c>
      <c r="K3017" s="9" t="s">
        <v>756</v>
      </c>
    </row>
    <row r="3018" spans="1:11" ht="12.5" customHeight="1" x14ac:dyDescent="0.25">
      <c r="A3018" s="5" t="s">
        <v>11414</v>
      </c>
      <c r="B3018" s="6" t="s">
        <v>7578</v>
      </c>
      <c r="C3018" s="6" t="s">
        <v>11229</v>
      </c>
      <c r="D3018" s="6" t="s">
        <v>11370</v>
      </c>
      <c r="E3018" s="6" t="s">
        <v>11415</v>
      </c>
      <c r="F3018" s="6" t="s">
        <v>11416</v>
      </c>
      <c r="G3018" s="9"/>
      <c r="H3018" s="9" t="s">
        <v>18</v>
      </c>
      <c r="I3018" s="16" t="str">
        <f>VLOOKUP(F3018,[1]完整分类结果!$E:$G,3,0)</f>
        <v>仪器仪表及文化、办公用机械制造业</v>
      </c>
      <c r="J3018" s="16">
        <f>VLOOKUP(I3018,[2]行业排放因子!$A:$B,2,0)</f>
        <v>0.32872585603058302</v>
      </c>
      <c r="K3018" s="9" t="s">
        <v>756</v>
      </c>
    </row>
    <row r="3019" spans="1:11" ht="12.5" customHeight="1" x14ac:dyDescent="0.25">
      <c r="A3019" s="5" t="s">
        <v>11417</v>
      </c>
      <c r="B3019" s="6" t="s">
        <v>7578</v>
      </c>
      <c r="C3019" s="6" t="s">
        <v>11229</v>
      </c>
      <c r="D3019" s="6" t="s">
        <v>11418</v>
      </c>
      <c r="E3019" s="6" t="s">
        <v>11419</v>
      </c>
      <c r="F3019" s="6" t="s">
        <v>11420</v>
      </c>
      <c r="G3019" s="9" t="s">
        <v>11421</v>
      </c>
      <c r="H3019" s="9" t="s">
        <v>18</v>
      </c>
      <c r="I3019" s="16" t="str">
        <f>VLOOKUP(F3019,[1]完整分类结果!$E:$G,3,0)</f>
        <v>普通机械制造业</v>
      </c>
      <c r="J3019" s="16">
        <f>VLOOKUP(I3019,[2]行业排放因子!$A:$B,2,0)</f>
        <v>9.6615781889079599</v>
      </c>
      <c r="K3019" s="9" t="s">
        <v>756</v>
      </c>
    </row>
    <row r="3020" spans="1:11" ht="12.5" customHeight="1" x14ac:dyDescent="0.25">
      <c r="A3020" s="5" t="s">
        <v>11422</v>
      </c>
      <c r="B3020" s="6" t="s">
        <v>7578</v>
      </c>
      <c r="C3020" s="6" t="s">
        <v>11229</v>
      </c>
      <c r="D3020" s="6" t="s">
        <v>11418</v>
      </c>
      <c r="E3020" s="6" t="s">
        <v>11423</v>
      </c>
      <c r="F3020" s="6" t="s">
        <v>11424</v>
      </c>
      <c r="G3020" s="9" t="s">
        <v>11425</v>
      </c>
      <c r="H3020" s="9" t="s">
        <v>18</v>
      </c>
      <c r="I3020" s="16" t="str">
        <f>VLOOKUP(F3020,[1]完整分类结果!$E:$G,3,0)</f>
        <v>普通机械制造业</v>
      </c>
      <c r="J3020" s="16">
        <f>VLOOKUP(I3020,[2]行业排放因子!$A:$B,2,0)</f>
        <v>9.6615781889079599</v>
      </c>
      <c r="K3020" s="9" t="s">
        <v>756</v>
      </c>
    </row>
    <row r="3021" spans="1:11" ht="12.5" customHeight="1" x14ac:dyDescent="0.25">
      <c r="A3021" s="5" t="s">
        <v>11426</v>
      </c>
      <c r="B3021" s="6" t="s">
        <v>7578</v>
      </c>
      <c r="C3021" s="6" t="s">
        <v>11229</v>
      </c>
      <c r="D3021" s="6" t="s">
        <v>11418</v>
      </c>
      <c r="E3021" s="6" t="s">
        <v>11427</v>
      </c>
      <c r="F3021" s="6" t="s">
        <v>11428</v>
      </c>
      <c r="G3021" s="9" t="s">
        <v>11429</v>
      </c>
      <c r="H3021" s="9" t="s">
        <v>18</v>
      </c>
      <c r="I3021" s="16" t="str">
        <f>VLOOKUP(F3021,[1]完整分类结果!$E:$G,3,0)</f>
        <v>普通机械制造业</v>
      </c>
      <c r="J3021" s="16">
        <f>VLOOKUP(I3021,[2]行业排放因子!$A:$B,2,0)</f>
        <v>9.6615781889079599</v>
      </c>
      <c r="K3021" s="9" t="s">
        <v>756</v>
      </c>
    </row>
    <row r="3022" spans="1:11" ht="12.5" customHeight="1" x14ac:dyDescent="0.25">
      <c r="A3022" s="5" t="s">
        <v>11430</v>
      </c>
      <c r="B3022" s="6" t="s">
        <v>7578</v>
      </c>
      <c r="C3022" s="6" t="s">
        <v>11229</v>
      </c>
      <c r="D3022" s="6" t="s">
        <v>11418</v>
      </c>
      <c r="E3022" s="6" t="s">
        <v>11431</v>
      </c>
      <c r="F3022" s="6" t="s">
        <v>11432</v>
      </c>
      <c r="G3022" s="9" t="s">
        <v>11433</v>
      </c>
      <c r="H3022" s="9" t="s">
        <v>18</v>
      </c>
      <c r="I3022" s="16" t="str">
        <f>VLOOKUP(F3022,[1]完整分类结果!$E:$G,3,0)</f>
        <v>普通机械制造业</v>
      </c>
      <c r="J3022" s="16">
        <f>VLOOKUP(I3022,[2]行业排放因子!$A:$B,2,0)</f>
        <v>9.6615781889079599</v>
      </c>
      <c r="K3022" s="9" t="s">
        <v>756</v>
      </c>
    </row>
    <row r="3023" spans="1:11" ht="12.5" customHeight="1" x14ac:dyDescent="0.25">
      <c r="A3023" s="5" t="s">
        <v>11434</v>
      </c>
      <c r="B3023" s="6" t="s">
        <v>7578</v>
      </c>
      <c r="C3023" s="6" t="s">
        <v>11229</v>
      </c>
      <c r="D3023" s="6" t="s">
        <v>11418</v>
      </c>
      <c r="E3023" s="6" t="s">
        <v>11435</v>
      </c>
      <c r="F3023" s="6" t="s">
        <v>11436</v>
      </c>
      <c r="G3023" s="9" t="s">
        <v>11437</v>
      </c>
      <c r="H3023" s="9" t="s">
        <v>18</v>
      </c>
      <c r="I3023" s="16" t="str">
        <f>VLOOKUP(F3023,[1]完整分类结果!$E:$G,3,0)</f>
        <v>普通机械制造业</v>
      </c>
      <c r="J3023" s="16">
        <f>VLOOKUP(I3023,[2]行业排放因子!$A:$B,2,0)</f>
        <v>9.6615781889079599</v>
      </c>
      <c r="K3023" s="9" t="s">
        <v>756</v>
      </c>
    </row>
    <row r="3024" spans="1:11" ht="12.5" customHeight="1" x14ac:dyDescent="0.25">
      <c r="A3024" s="5" t="s">
        <v>11438</v>
      </c>
      <c r="B3024" s="6" t="s">
        <v>7578</v>
      </c>
      <c r="C3024" s="6" t="s">
        <v>11229</v>
      </c>
      <c r="D3024" s="6" t="s">
        <v>11418</v>
      </c>
      <c r="E3024" s="6" t="s">
        <v>11439</v>
      </c>
      <c r="F3024" s="6" t="s">
        <v>11440</v>
      </c>
      <c r="G3024" s="9" t="s">
        <v>11441</v>
      </c>
      <c r="H3024" s="9" t="s">
        <v>18</v>
      </c>
      <c r="I3024" s="16" t="str">
        <f>VLOOKUP(F3024,[1]完整分类结果!$E:$G,3,0)</f>
        <v>普通机械制造业</v>
      </c>
      <c r="J3024" s="16">
        <f>VLOOKUP(I3024,[2]行业排放因子!$A:$B,2,0)</f>
        <v>9.6615781889079599</v>
      </c>
      <c r="K3024" s="9" t="s">
        <v>756</v>
      </c>
    </row>
    <row r="3025" spans="1:11" ht="12.5" customHeight="1" x14ac:dyDescent="0.25">
      <c r="A3025" s="5" t="s">
        <v>11442</v>
      </c>
      <c r="B3025" s="6" t="s">
        <v>7578</v>
      </c>
      <c r="C3025" s="6" t="s">
        <v>11229</v>
      </c>
      <c r="D3025" s="6" t="s">
        <v>11418</v>
      </c>
      <c r="E3025" s="6" t="s">
        <v>11443</v>
      </c>
      <c r="F3025" s="6" t="s">
        <v>11444</v>
      </c>
      <c r="G3025" s="9" t="s">
        <v>11445</v>
      </c>
      <c r="H3025" s="9" t="s">
        <v>18</v>
      </c>
      <c r="I3025" s="16" t="str">
        <f>VLOOKUP(F3025,[1]完整分类结果!$E:$G,3,0)</f>
        <v>普通机械制造业</v>
      </c>
      <c r="J3025" s="16">
        <f>VLOOKUP(I3025,[2]行业排放因子!$A:$B,2,0)</f>
        <v>9.6615781889079599</v>
      </c>
      <c r="K3025" s="9" t="s">
        <v>756</v>
      </c>
    </row>
    <row r="3026" spans="1:11" ht="12.5" customHeight="1" x14ac:dyDescent="0.25">
      <c r="A3026" s="5" t="s">
        <v>11446</v>
      </c>
      <c r="B3026" s="6" t="s">
        <v>7578</v>
      </c>
      <c r="C3026" s="6" t="s">
        <v>11229</v>
      </c>
      <c r="D3026" s="6" t="s">
        <v>11418</v>
      </c>
      <c r="E3026" s="6" t="s">
        <v>11447</v>
      </c>
      <c r="F3026" s="6" t="s">
        <v>11448</v>
      </c>
      <c r="G3026" s="9"/>
      <c r="H3026" s="9" t="s">
        <v>18</v>
      </c>
      <c r="I3026" s="16" t="str">
        <f>VLOOKUP(F3026,[1]完整分类结果!$E:$G,3,0)</f>
        <v>普通机械制造业</v>
      </c>
      <c r="J3026" s="16">
        <f>VLOOKUP(I3026,[2]行业排放因子!$A:$B,2,0)</f>
        <v>9.6615781889079599</v>
      </c>
      <c r="K3026" s="9" t="s">
        <v>756</v>
      </c>
    </row>
    <row r="3027" spans="1:11" ht="12.5" customHeight="1" x14ac:dyDescent="0.25">
      <c r="A3027" s="5" t="s">
        <v>11449</v>
      </c>
      <c r="B3027" s="6" t="s">
        <v>7578</v>
      </c>
      <c r="C3027" s="6" t="s">
        <v>11229</v>
      </c>
      <c r="D3027" s="6" t="s">
        <v>11450</v>
      </c>
      <c r="E3027" s="6" t="s">
        <v>11451</v>
      </c>
      <c r="F3027" s="6" t="s">
        <v>11452</v>
      </c>
      <c r="G3027" s="9" t="s">
        <v>11453</v>
      </c>
      <c r="H3027" s="9" t="s">
        <v>18</v>
      </c>
      <c r="I3027" s="16" t="str">
        <f>VLOOKUP(F3027,[1]完整分类结果!$E:$G,3,0)</f>
        <v>仪器仪表及文化、办公用机械制造业</v>
      </c>
      <c r="J3027" s="16">
        <f>VLOOKUP(I3027,[2]行业排放因子!$A:$B,2,0)</f>
        <v>0.32872585603058302</v>
      </c>
      <c r="K3027" s="9" t="s">
        <v>756</v>
      </c>
    </row>
    <row r="3028" spans="1:11" ht="12.5" customHeight="1" x14ac:dyDescent="0.25">
      <c r="A3028" s="5" t="s">
        <v>11454</v>
      </c>
      <c r="B3028" s="6" t="s">
        <v>7578</v>
      </c>
      <c r="C3028" s="6" t="s">
        <v>11229</v>
      </c>
      <c r="D3028" s="6" t="s">
        <v>11450</v>
      </c>
      <c r="E3028" s="6" t="s">
        <v>11455</v>
      </c>
      <c r="F3028" s="6" t="s">
        <v>11456</v>
      </c>
      <c r="G3028" s="9" t="s">
        <v>11457</v>
      </c>
      <c r="H3028" s="9" t="s">
        <v>18</v>
      </c>
      <c r="I3028" s="16" t="str">
        <f>VLOOKUP(F3028,[1]完整分类结果!$E:$G,3,0)</f>
        <v>仪器仪表及文化、办公用机械制造业</v>
      </c>
      <c r="J3028" s="16">
        <f>VLOOKUP(I3028,[2]行业排放因子!$A:$B,2,0)</f>
        <v>0.32872585603058302</v>
      </c>
      <c r="K3028" s="9" t="s">
        <v>756</v>
      </c>
    </row>
    <row r="3029" spans="1:11" ht="12.5" customHeight="1" x14ac:dyDescent="0.25">
      <c r="A3029" s="5" t="s">
        <v>11458</v>
      </c>
      <c r="B3029" s="6" t="s">
        <v>7578</v>
      </c>
      <c r="C3029" s="6" t="s">
        <v>11229</v>
      </c>
      <c r="D3029" s="6" t="s">
        <v>11450</v>
      </c>
      <c r="E3029" s="6" t="s">
        <v>11459</v>
      </c>
      <c r="F3029" s="6" t="s">
        <v>11460</v>
      </c>
      <c r="G3029" s="9" t="s">
        <v>11461</v>
      </c>
      <c r="H3029" s="9" t="s">
        <v>18</v>
      </c>
      <c r="I3029" s="16" t="str">
        <f>VLOOKUP(F3029,[1]完整分类结果!$E:$G,3,0)</f>
        <v>仪器仪表及文化、办公用机械制造业</v>
      </c>
      <c r="J3029" s="16">
        <f>VLOOKUP(I3029,[2]行业排放因子!$A:$B,2,0)</f>
        <v>0.32872585603058302</v>
      </c>
      <c r="K3029" s="9" t="s">
        <v>756</v>
      </c>
    </row>
    <row r="3030" spans="1:11" ht="12.5" customHeight="1" x14ac:dyDescent="0.25">
      <c r="A3030" s="5" t="s">
        <v>11462</v>
      </c>
      <c r="B3030" s="6" t="s">
        <v>7578</v>
      </c>
      <c r="C3030" s="6" t="s">
        <v>11229</v>
      </c>
      <c r="D3030" s="6" t="s">
        <v>11463</v>
      </c>
      <c r="E3030" s="6" t="s">
        <v>11464</v>
      </c>
      <c r="F3030" s="6" t="s">
        <v>11465</v>
      </c>
      <c r="G3030" s="9" t="s">
        <v>11466</v>
      </c>
      <c r="H3030" s="9" t="s">
        <v>18</v>
      </c>
      <c r="I3030" s="16" t="str">
        <f>VLOOKUP(F3030,[1]完整分类结果!$E:$G,3,0)</f>
        <v>交通运输设备制造业</v>
      </c>
      <c r="J3030" s="16">
        <f>VLOOKUP(I3030,[2]行业排放因子!$A:$B,2,0)</f>
        <v>6.2441374348339602</v>
      </c>
      <c r="K3030" s="9" t="s">
        <v>756</v>
      </c>
    </row>
    <row r="3031" spans="1:11" ht="12.5" customHeight="1" x14ac:dyDescent="0.25">
      <c r="A3031" s="5" t="s">
        <v>11467</v>
      </c>
      <c r="B3031" s="6" t="s">
        <v>7578</v>
      </c>
      <c r="C3031" s="6" t="s">
        <v>11229</v>
      </c>
      <c r="D3031" s="6" t="s">
        <v>11463</v>
      </c>
      <c r="E3031" s="6" t="s">
        <v>11468</v>
      </c>
      <c r="F3031" s="6" t="s">
        <v>11469</v>
      </c>
      <c r="G3031" s="9" t="s">
        <v>11470</v>
      </c>
      <c r="H3031" s="9" t="s">
        <v>18</v>
      </c>
      <c r="I3031" s="16" t="str">
        <f>VLOOKUP(F3031,[1]完整分类结果!$E:$G,3,0)</f>
        <v>交通运输设备制造业</v>
      </c>
      <c r="J3031" s="16">
        <f>VLOOKUP(I3031,[2]行业排放因子!$A:$B,2,0)</f>
        <v>6.2441374348339602</v>
      </c>
      <c r="K3031" s="9" t="s">
        <v>756</v>
      </c>
    </row>
    <row r="3032" spans="1:11" ht="12.5" customHeight="1" x14ac:dyDescent="0.25">
      <c r="A3032" s="5" t="s">
        <v>11471</v>
      </c>
      <c r="B3032" s="6" t="s">
        <v>7578</v>
      </c>
      <c r="C3032" s="6" t="s">
        <v>11229</v>
      </c>
      <c r="D3032" s="6" t="s">
        <v>11463</v>
      </c>
      <c r="E3032" s="6" t="s">
        <v>11472</v>
      </c>
      <c r="F3032" s="6" t="s">
        <v>11473</v>
      </c>
      <c r="G3032" s="9" t="s">
        <v>11474</v>
      </c>
      <c r="H3032" s="9" t="s">
        <v>18</v>
      </c>
      <c r="I3032" s="16" t="str">
        <f>VLOOKUP(F3032,[1]完整分类结果!$E:$G,3,0)</f>
        <v>交通运输设备制造业</v>
      </c>
      <c r="J3032" s="16">
        <f>VLOOKUP(I3032,[2]行业排放因子!$A:$B,2,0)</f>
        <v>6.2441374348339602</v>
      </c>
      <c r="K3032" s="9" t="s">
        <v>756</v>
      </c>
    </row>
    <row r="3033" spans="1:11" ht="12.5" customHeight="1" x14ac:dyDescent="0.25">
      <c r="A3033" s="5" t="s">
        <v>11475</v>
      </c>
      <c r="B3033" s="6" t="s">
        <v>7578</v>
      </c>
      <c r="C3033" s="6" t="s">
        <v>11229</v>
      </c>
      <c r="D3033" s="6" t="s">
        <v>11463</v>
      </c>
      <c r="E3033" s="6" t="s">
        <v>11476</v>
      </c>
      <c r="F3033" s="6" t="s">
        <v>11477</v>
      </c>
      <c r="G3033" s="9" t="s">
        <v>11478</v>
      </c>
      <c r="H3033" s="9" t="s">
        <v>18</v>
      </c>
      <c r="I3033" s="16" t="str">
        <f>VLOOKUP(F3033,[1]完整分类结果!$E:$G,3,0)</f>
        <v>交通运输设备制造业</v>
      </c>
      <c r="J3033" s="16">
        <f>VLOOKUP(I3033,[2]行业排放因子!$A:$B,2,0)</f>
        <v>6.2441374348339602</v>
      </c>
      <c r="K3033" s="9" t="s">
        <v>756</v>
      </c>
    </row>
    <row r="3034" spans="1:11" ht="12.5" customHeight="1" x14ac:dyDescent="0.25">
      <c r="A3034" s="5" t="s">
        <v>11479</v>
      </c>
      <c r="B3034" s="6" t="s">
        <v>7578</v>
      </c>
      <c r="C3034" s="6" t="s">
        <v>11229</v>
      </c>
      <c r="D3034" s="6" t="s">
        <v>11463</v>
      </c>
      <c r="E3034" s="6" t="s">
        <v>11480</v>
      </c>
      <c r="F3034" s="6" t="s">
        <v>11481</v>
      </c>
      <c r="G3034" s="9"/>
      <c r="H3034" s="9" t="s">
        <v>18</v>
      </c>
      <c r="I3034" s="16" t="str">
        <f>VLOOKUP(F3034,[1]完整分类结果!$E:$G,3,0)</f>
        <v>交通运输设备制造业</v>
      </c>
      <c r="J3034" s="16">
        <f>VLOOKUP(I3034,[2]行业排放因子!$A:$B,2,0)</f>
        <v>6.2441374348339602</v>
      </c>
      <c r="K3034" s="9" t="s">
        <v>756</v>
      </c>
    </row>
    <row r="3035" spans="1:11" ht="12.5" customHeight="1" x14ac:dyDescent="0.25">
      <c r="A3035" s="5" t="s">
        <v>11482</v>
      </c>
      <c r="B3035" s="6" t="s">
        <v>7578</v>
      </c>
      <c r="C3035" s="6" t="s">
        <v>11229</v>
      </c>
      <c r="D3035" s="6" t="s">
        <v>11463</v>
      </c>
      <c r="E3035" s="6" t="s">
        <v>11483</v>
      </c>
      <c r="F3035" s="6" t="s">
        <v>11484</v>
      </c>
      <c r="G3035" s="9"/>
      <c r="H3035" s="9" t="s">
        <v>18</v>
      </c>
      <c r="I3035" s="16" t="str">
        <f>VLOOKUP(F3035,[1]完整分类结果!$E:$G,3,0)</f>
        <v>交通运输设备制造业</v>
      </c>
      <c r="J3035" s="16">
        <f>VLOOKUP(I3035,[2]行业排放因子!$A:$B,2,0)</f>
        <v>6.2441374348339602</v>
      </c>
      <c r="K3035" s="9" t="s">
        <v>756</v>
      </c>
    </row>
    <row r="3036" spans="1:11" ht="12.5" customHeight="1" x14ac:dyDescent="0.25">
      <c r="A3036" s="5" t="s">
        <v>11485</v>
      </c>
      <c r="B3036" s="6" t="s">
        <v>7578</v>
      </c>
      <c r="C3036" s="6" t="s">
        <v>11229</v>
      </c>
      <c r="D3036" s="6" t="s">
        <v>11486</v>
      </c>
      <c r="E3036" s="6" t="s">
        <v>11487</v>
      </c>
      <c r="F3036" s="6" t="s">
        <v>11488</v>
      </c>
      <c r="G3036" s="9" t="s">
        <v>11489</v>
      </c>
      <c r="H3036" s="9" t="s">
        <v>18</v>
      </c>
      <c r="I3036" s="16" t="str">
        <f>VLOOKUP(F3036,[1]完整分类结果!$E:$G,3,0)</f>
        <v>仪器仪表及文化、办公用机械制造业</v>
      </c>
      <c r="J3036" s="16">
        <f>VLOOKUP(I3036,[2]行业排放因子!$A:$B,2,0)</f>
        <v>0.32872585603058302</v>
      </c>
      <c r="K3036" s="9" t="s">
        <v>756</v>
      </c>
    </row>
    <row r="3037" spans="1:11" ht="12.5" customHeight="1" x14ac:dyDescent="0.25">
      <c r="A3037" s="5" t="s">
        <v>11490</v>
      </c>
      <c r="B3037" s="6" t="s">
        <v>7578</v>
      </c>
      <c r="C3037" s="6" t="s">
        <v>11229</v>
      </c>
      <c r="D3037" s="6" t="s">
        <v>11486</v>
      </c>
      <c r="E3037" s="6" t="s">
        <v>11491</v>
      </c>
      <c r="F3037" s="6" t="s">
        <v>11492</v>
      </c>
      <c r="G3037" s="9" t="s">
        <v>11493</v>
      </c>
      <c r="H3037" s="9" t="s">
        <v>18</v>
      </c>
      <c r="I3037" s="16" t="str">
        <f>VLOOKUP(F3037,[1]完整分类结果!$E:$G,3,0)</f>
        <v>仪器仪表及文化、办公用机械制造业</v>
      </c>
      <c r="J3037" s="16">
        <f>VLOOKUP(I3037,[2]行业排放因子!$A:$B,2,0)</f>
        <v>0.32872585603058302</v>
      </c>
      <c r="K3037" s="9" t="s">
        <v>756</v>
      </c>
    </row>
    <row r="3038" spans="1:11" ht="12.5" customHeight="1" x14ac:dyDescent="0.25">
      <c r="A3038" s="5" t="s">
        <v>11494</v>
      </c>
      <c r="B3038" s="6" t="s">
        <v>7578</v>
      </c>
      <c r="C3038" s="6" t="s">
        <v>11229</v>
      </c>
      <c r="D3038" s="6" t="s">
        <v>11486</v>
      </c>
      <c r="E3038" s="6" t="s">
        <v>11495</v>
      </c>
      <c r="F3038" s="6" t="s">
        <v>11496</v>
      </c>
      <c r="G3038" s="9" t="s">
        <v>11497</v>
      </c>
      <c r="H3038" s="9" t="s">
        <v>18</v>
      </c>
      <c r="I3038" s="16" t="str">
        <f>VLOOKUP(F3038,[1]完整分类结果!$E:$G,3,0)</f>
        <v>仪器仪表及文化、办公用机械制造业</v>
      </c>
      <c r="J3038" s="16">
        <f>VLOOKUP(I3038,[2]行业排放因子!$A:$B,2,0)</f>
        <v>0.32872585603058302</v>
      </c>
      <c r="K3038" s="9" t="s">
        <v>756</v>
      </c>
    </row>
    <row r="3039" spans="1:11" ht="12.5" customHeight="1" x14ac:dyDescent="0.25">
      <c r="A3039" s="5" t="s">
        <v>11498</v>
      </c>
      <c r="B3039" s="6" t="s">
        <v>7578</v>
      </c>
      <c r="C3039" s="6" t="s">
        <v>11229</v>
      </c>
      <c r="D3039" s="6" t="s">
        <v>11486</v>
      </c>
      <c r="E3039" s="6" t="s">
        <v>11499</v>
      </c>
      <c r="F3039" s="6" t="s">
        <v>11500</v>
      </c>
      <c r="G3039" s="9"/>
      <c r="H3039" s="9" t="s">
        <v>18</v>
      </c>
      <c r="I3039" s="16" t="str">
        <f>VLOOKUP(F3039,[1]完整分类结果!$E:$G,3,0)</f>
        <v>仪器仪表及文化、办公用机械制造业</v>
      </c>
      <c r="J3039" s="16">
        <f>VLOOKUP(I3039,[2]行业排放因子!$A:$B,2,0)</f>
        <v>0.32872585603058302</v>
      </c>
      <c r="K3039" s="9" t="s">
        <v>756</v>
      </c>
    </row>
    <row r="3040" spans="1:11" ht="12.5" customHeight="1" x14ac:dyDescent="0.25">
      <c r="A3040" s="5" t="s">
        <v>11501</v>
      </c>
      <c r="B3040" s="6" t="s">
        <v>7578</v>
      </c>
      <c r="C3040" s="6" t="s">
        <v>11229</v>
      </c>
      <c r="D3040" s="6" t="s">
        <v>11502</v>
      </c>
      <c r="E3040" s="6" t="s">
        <v>11503</v>
      </c>
      <c r="F3040" s="6" t="s">
        <v>11504</v>
      </c>
      <c r="G3040" s="9" t="s">
        <v>11505</v>
      </c>
      <c r="H3040" s="9" t="s">
        <v>18</v>
      </c>
      <c r="I3040" s="16" t="str">
        <f>VLOOKUP(F3040,[1]完整分类结果!$E:$G,3,0)</f>
        <v>仪器仪表及文化、办公用机械制造业</v>
      </c>
      <c r="J3040" s="16">
        <f>VLOOKUP(I3040,[2]行业排放因子!$A:$B,2,0)</f>
        <v>0.32872585603058302</v>
      </c>
      <c r="K3040" s="9" t="s">
        <v>756</v>
      </c>
    </row>
    <row r="3041" spans="1:11" ht="12.5" customHeight="1" x14ac:dyDescent="0.25">
      <c r="A3041" s="5" t="s">
        <v>11506</v>
      </c>
      <c r="B3041" s="6" t="s">
        <v>7578</v>
      </c>
      <c r="C3041" s="6" t="s">
        <v>11229</v>
      </c>
      <c r="D3041" s="6" t="s">
        <v>11502</v>
      </c>
      <c r="E3041" s="6" t="s">
        <v>11507</v>
      </c>
      <c r="F3041" s="6" t="s">
        <v>11508</v>
      </c>
      <c r="G3041" s="9" t="s">
        <v>11509</v>
      </c>
      <c r="H3041" s="9" t="s">
        <v>18</v>
      </c>
      <c r="I3041" s="16" t="str">
        <f>VLOOKUP(F3041,[1]完整分类结果!$E:$G,3,0)</f>
        <v>仪器仪表及文化、办公用机械制造业</v>
      </c>
      <c r="J3041" s="16">
        <f>VLOOKUP(I3041,[2]行业排放因子!$A:$B,2,0)</f>
        <v>0.32872585603058302</v>
      </c>
      <c r="K3041" s="9" t="s">
        <v>756</v>
      </c>
    </row>
    <row r="3042" spans="1:11" ht="12.5" customHeight="1" x14ac:dyDescent="0.25">
      <c r="A3042" s="5" t="s">
        <v>11510</v>
      </c>
      <c r="B3042" s="6" t="s">
        <v>7578</v>
      </c>
      <c r="C3042" s="6" t="s">
        <v>11229</v>
      </c>
      <c r="D3042" s="6" t="s">
        <v>11502</v>
      </c>
      <c r="E3042" s="6" t="s">
        <v>11511</v>
      </c>
      <c r="F3042" s="6" t="s">
        <v>11512</v>
      </c>
      <c r="G3042" s="9" t="s">
        <v>11513</v>
      </c>
      <c r="H3042" s="9" t="s">
        <v>18</v>
      </c>
      <c r="I3042" s="16" t="str">
        <f>VLOOKUP(F3042,[1]完整分类结果!$E:$G,3,0)</f>
        <v>仪器仪表及文化、办公用机械制造业</v>
      </c>
      <c r="J3042" s="16">
        <f>VLOOKUP(I3042,[2]行业排放因子!$A:$B,2,0)</f>
        <v>0.32872585603058302</v>
      </c>
      <c r="K3042" s="9" t="s">
        <v>756</v>
      </c>
    </row>
    <row r="3043" spans="1:11" ht="12.5" customHeight="1" x14ac:dyDescent="0.25">
      <c r="A3043" s="5" t="s">
        <v>11514</v>
      </c>
      <c r="B3043" s="6" t="s">
        <v>7578</v>
      </c>
      <c r="C3043" s="6" t="s">
        <v>11229</v>
      </c>
      <c r="D3043" s="6" t="s">
        <v>11502</v>
      </c>
      <c r="E3043" s="6" t="s">
        <v>11515</v>
      </c>
      <c r="F3043" s="6" t="s">
        <v>11516</v>
      </c>
      <c r="G3043" s="9" t="s">
        <v>11517</v>
      </c>
      <c r="H3043" s="9" t="s">
        <v>18</v>
      </c>
      <c r="I3043" s="16" t="str">
        <f>VLOOKUP(F3043,[1]完整分类结果!$E:$G,3,0)</f>
        <v>仪器仪表及文化、办公用机械制造业</v>
      </c>
      <c r="J3043" s="16">
        <f>VLOOKUP(I3043,[2]行业排放因子!$A:$B,2,0)</f>
        <v>0.32872585603058302</v>
      </c>
      <c r="K3043" s="9" t="s">
        <v>756</v>
      </c>
    </row>
    <row r="3044" spans="1:11" ht="12.5" customHeight="1" x14ac:dyDescent="0.25">
      <c r="A3044" s="5" t="s">
        <v>11518</v>
      </c>
      <c r="B3044" s="6" t="s">
        <v>7578</v>
      </c>
      <c r="C3044" s="6" t="s">
        <v>11229</v>
      </c>
      <c r="D3044" s="6" t="s">
        <v>11502</v>
      </c>
      <c r="E3044" s="6" t="s">
        <v>11519</v>
      </c>
      <c r="F3044" s="6" t="s">
        <v>11520</v>
      </c>
      <c r="G3044" s="9" t="s">
        <v>11521</v>
      </c>
      <c r="H3044" s="9" t="s">
        <v>18</v>
      </c>
      <c r="I3044" s="16" t="str">
        <f>VLOOKUP(F3044,[1]完整分类结果!$E:$G,3,0)</f>
        <v>仪器仪表及文化、办公用机械制造业</v>
      </c>
      <c r="J3044" s="16">
        <f>VLOOKUP(I3044,[2]行业排放因子!$A:$B,2,0)</f>
        <v>0.32872585603058302</v>
      </c>
      <c r="K3044" s="9" t="s">
        <v>756</v>
      </c>
    </row>
    <row r="3045" spans="1:11" ht="12.5" customHeight="1" x14ac:dyDescent="0.25">
      <c r="A3045" s="5" t="s">
        <v>11522</v>
      </c>
      <c r="B3045" s="6" t="s">
        <v>7578</v>
      </c>
      <c r="C3045" s="6" t="s">
        <v>11229</v>
      </c>
      <c r="D3045" s="6" t="s">
        <v>11502</v>
      </c>
      <c r="E3045" s="6" t="s">
        <v>11523</v>
      </c>
      <c r="F3045" s="6" t="s">
        <v>11524</v>
      </c>
      <c r="G3045" s="9" t="s">
        <v>11525</v>
      </c>
      <c r="H3045" s="9" t="s">
        <v>18</v>
      </c>
      <c r="I3045" s="16" t="str">
        <f>VLOOKUP(F3045,[1]完整分类结果!$E:$G,3,0)</f>
        <v>仪器仪表及文化、办公用机械制造业</v>
      </c>
      <c r="J3045" s="16">
        <f>VLOOKUP(I3045,[2]行业排放因子!$A:$B,2,0)</f>
        <v>0.32872585603058302</v>
      </c>
      <c r="K3045" s="9" t="s">
        <v>756</v>
      </c>
    </row>
    <row r="3046" spans="1:11" ht="12.5" customHeight="1" x14ac:dyDescent="0.25">
      <c r="A3046" s="5" t="s">
        <v>11526</v>
      </c>
      <c r="B3046" s="6" t="s">
        <v>7578</v>
      </c>
      <c r="C3046" s="6" t="s">
        <v>11229</v>
      </c>
      <c r="D3046" s="6" t="s">
        <v>11502</v>
      </c>
      <c r="E3046" s="6" t="s">
        <v>11527</v>
      </c>
      <c r="F3046" s="6" t="s">
        <v>11528</v>
      </c>
      <c r="G3046" s="9" t="s">
        <v>11529</v>
      </c>
      <c r="H3046" s="9" t="s">
        <v>18</v>
      </c>
      <c r="I3046" s="16" t="str">
        <f>VLOOKUP(F3046,[1]完整分类结果!$E:$G,3,0)</f>
        <v>仪器仪表及文化、办公用机械制造业</v>
      </c>
      <c r="J3046" s="16">
        <f>VLOOKUP(I3046,[2]行业排放因子!$A:$B,2,0)</f>
        <v>0.32872585603058302</v>
      </c>
      <c r="K3046" s="9" t="s">
        <v>756</v>
      </c>
    </row>
    <row r="3047" spans="1:11" ht="12.5" customHeight="1" x14ac:dyDescent="0.25">
      <c r="A3047" s="5" t="s">
        <v>11530</v>
      </c>
      <c r="B3047" s="6" t="s">
        <v>7578</v>
      </c>
      <c r="C3047" s="6" t="s">
        <v>11229</v>
      </c>
      <c r="D3047" s="6" t="s">
        <v>11502</v>
      </c>
      <c r="E3047" s="6" t="s">
        <v>11531</v>
      </c>
      <c r="F3047" s="6" t="s">
        <v>11532</v>
      </c>
      <c r="G3047" s="9" t="s">
        <v>11533</v>
      </c>
      <c r="H3047" s="9" t="s">
        <v>18</v>
      </c>
      <c r="I3047" s="16" t="str">
        <f>VLOOKUP(F3047,[1]完整分类结果!$E:$G,3,0)</f>
        <v>仪器仪表及文化、办公用机械制造业</v>
      </c>
      <c r="J3047" s="16">
        <f>VLOOKUP(I3047,[2]行业排放因子!$A:$B,2,0)</f>
        <v>0.32872585603058302</v>
      </c>
      <c r="K3047" s="9" t="s">
        <v>756</v>
      </c>
    </row>
    <row r="3048" spans="1:11" ht="12.5" customHeight="1" x14ac:dyDescent="0.25">
      <c r="A3048" s="5" t="s">
        <v>11534</v>
      </c>
      <c r="B3048" s="6" t="s">
        <v>7578</v>
      </c>
      <c r="C3048" s="6" t="s">
        <v>11229</v>
      </c>
      <c r="D3048" s="6" t="s">
        <v>11502</v>
      </c>
      <c r="E3048" s="6" t="s">
        <v>11535</v>
      </c>
      <c r="F3048" s="6" t="s">
        <v>11536</v>
      </c>
      <c r="G3048" s="9" t="s">
        <v>11537</v>
      </c>
      <c r="H3048" s="9" t="s">
        <v>18</v>
      </c>
      <c r="I3048" s="16" t="str">
        <f>VLOOKUP(F3048,[1]完整分类结果!$E:$G,3,0)</f>
        <v>仪器仪表及文化、办公用机械制造业</v>
      </c>
      <c r="J3048" s="16">
        <f>VLOOKUP(I3048,[2]行业排放因子!$A:$B,2,0)</f>
        <v>0.32872585603058302</v>
      </c>
      <c r="K3048" s="9" t="s">
        <v>756</v>
      </c>
    </row>
    <row r="3049" spans="1:11" ht="12.5" customHeight="1" x14ac:dyDescent="0.25">
      <c r="A3049" s="5" t="s">
        <v>11538</v>
      </c>
      <c r="B3049" s="6" t="s">
        <v>7578</v>
      </c>
      <c r="C3049" s="6" t="s">
        <v>11229</v>
      </c>
      <c r="D3049" s="6" t="s">
        <v>11502</v>
      </c>
      <c r="E3049" s="6" t="s">
        <v>11539</v>
      </c>
      <c r="F3049" s="6" t="s">
        <v>11540</v>
      </c>
      <c r="G3049" s="9" t="s">
        <v>11541</v>
      </c>
      <c r="H3049" s="9" t="s">
        <v>18</v>
      </c>
      <c r="I3049" s="16" t="str">
        <f>VLOOKUP(F3049,[1]完整分类结果!$E:$G,3,0)</f>
        <v>仪器仪表及文化、办公用机械制造业</v>
      </c>
      <c r="J3049" s="16">
        <f>VLOOKUP(I3049,[2]行业排放因子!$A:$B,2,0)</f>
        <v>0.32872585603058302</v>
      </c>
      <c r="K3049" s="9" t="s">
        <v>756</v>
      </c>
    </row>
    <row r="3050" spans="1:11" ht="12.5" customHeight="1" x14ac:dyDescent="0.25">
      <c r="A3050" s="5" t="s">
        <v>11542</v>
      </c>
      <c r="B3050" s="6" t="s">
        <v>7578</v>
      </c>
      <c r="C3050" s="6" t="s">
        <v>11229</v>
      </c>
      <c r="D3050" s="6" t="s">
        <v>11502</v>
      </c>
      <c r="E3050" s="6" t="s">
        <v>11543</v>
      </c>
      <c r="F3050" s="6" t="s">
        <v>11544</v>
      </c>
      <c r="G3050" s="9"/>
      <c r="H3050" s="9" t="s">
        <v>18</v>
      </c>
      <c r="I3050" s="16" t="str">
        <f>VLOOKUP(F3050,[1]完整分类结果!$E:$G,3,0)</f>
        <v>仪器仪表及文化、办公用机械制造业</v>
      </c>
      <c r="J3050" s="16">
        <f>VLOOKUP(I3050,[2]行业排放因子!$A:$B,2,0)</f>
        <v>0.32872585603058302</v>
      </c>
      <c r="K3050" s="9" t="s">
        <v>756</v>
      </c>
    </row>
    <row r="3051" spans="1:11" ht="12.5" customHeight="1" x14ac:dyDescent="0.25">
      <c r="A3051" s="5" t="s">
        <v>11545</v>
      </c>
      <c r="B3051" s="6" t="s">
        <v>7578</v>
      </c>
      <c r="C3051" s="6" t="s">
        <v>11229</v>
      </c>
      <c r="D3051" s="6" t="s">
        <v>11502</v>
      </c>
      <c r="E3051" s="6" t="s">
        <v>11546</v>
      </c>
      <c r="F3051" s="6" t="s">
        <v>11547</v>
      </c>
      <c r="G3051" s="9"/>
      <c r="H3051" s="9" t="s">
        <v>18</v>
      </c>
      <c r="I3051" s="16" t="str">
        <f>VLOOKUP(F3051,[1]完整分类结果!$E:$G,3,0)</f>
        <v>仪器仪表及文化、办公用机械制造业</v>
      </c>
      <c r="J3051" s="16">
        <f>VLOOKUP(I3051,[2]行业排放因子!$A:$B,2,0)</f>
        <v>0.32872585603058302</v>
      </c>
      <c r="K3051" s="9" t="s">
        <v>756</v>
      </c>
    </row>
    <row r="3052" spans="1:11" ht="12.5" customHeight="1" x14ac:dyDescent="0.25">
      <c r="A3052" s="5" t="s">
        <v>11548</v>
      </c>
      <c r="B3052" s="6" t="s">
        <v>7578</v>
      </c>
      <c r="C3052" s="6" t="s">
        <v>11229</v>
      </c>
      <c r="D3052" s="6" t="s">
        <v>11549</v>
      </c>
      <c r="E3052" s="6" t="s">
        <v>11550</v>
      </c>
      <c r="F3052" s="6" t="s">
        <v>11551</v>
      </c>
      <c r="G3052" s="9" t="s">
        <v>11552</v>
      </c>
      <c r="H3052" s="9" t="s">
        <v>18</v>
      </c>
      <c r="I3052" s="16" t="str">
        <f>VLOOKUP(F3052,[1]完整分类结果!$E:$G,3,0)</f>
        <v>仪器仪表及文化、办公用机械制造业</v>
      </c>
      <c r="J3052" s="16">
        <f>VLOOKUP(I3052,[2]行业排放因子!$A:$B,2,0)</f>
        <v>0.32872585603058302</v>
      </c>
      <c r="K3052" s="9" t="s">
        <v>756</v>
      </c>
    </row>
    <row r="3053" spans="1:11" ht="12.5" customHeight="1" x14ac:dyDescent="0.25">
      <c r="A3053" s="5" t="s">
        <v>11553</v>
      </c>
      <c r="B3053" s="6" t="s">
        <v>7578</v>
      </c>
      <c r="C3053" s="6" t="s">
        <v>11229</v>
      </c>
      <c r="D3053" s="6" t="s">
        <v>11549</v>
      </c>
      <c r="E3053" s="6" t="s">
        <v>11554</v>
      </c>
      <c r="F3053" s="6" t="s">
        <v>11555</v>
      </c>
      <c r="G3053" s="9" t="s">
        <v>11556</v>
      </c>
      <c r="H3053" s="9" t="s">
        <v>18</v>
      </c>
      <c r="I3053" s="16" t="str">
        <f>VLOOKUP(F3053,[1]完整分类结果!$E:$G,3,0)</f>
        <v>仪器仪表及文化、办公用机械制造业</v>
      </c>
      <c r="J3053" s="16">
        <f>VLOOKUP(I3053,[2]行业排放因子!$A:$B,2,0)</f>
        <v>0.32872585603058302</v>
      </c>
      <c r="K3053" s="9" t="s">
        <v>756</v>
      </c>
    </row>
    <row r="3054" spans="1:11" ht="12.5" customHeight="1" x14ac:dyDescent="0.25">
      <c r="A3054" s="5" t="s">
        <v>11557</v>
      </c>
      <c r="B3054" s="6" t="s">
        <v>7578</v>
      </c>
      <c r="C3054" s="6" t="s">
        <v>11229</v>
      </c>
      <c r="D3054" s="6" t="s">
        <v>11549</v>
      </c>
      <c r="E3054" s="6" t="s">
        <v>11558</v>
      </c>
      <c r="F3054" s="6" t="s">
        <v>11559</v>
      </c>
      <c r="G3054" s="9"/>
      <c r="H3054" s="9" t="s">
        <v>18</v>
      </c>
      <c r="I3054" s="16" t="str">
        <f>VLOOKUP(F3054,[1]完整分类结果!$E:$G,3,0)</f>
        <v>仪器仪表及文化、办公用机械制造业</v>
      </c>
      <c r="J3054" s="16">
        <f>VLOOKUP(I3054,[2]行业排放因子!$A:$B,2,0)</f>
        <v>0.32872585603058302</v>
      </c>
      <c r="K3054" s="9" t="s">
        <v>756</v>
      </c>
    </row>
    <row r="3055" spans="1:11" ht="12.5" customHeight="1" x14ac:dyDescent="0.25">
      <c r="A3055" s="5" t="s">
        <v>11560</v>
      </c>
      <c r="B3055" s="6" t="s">
        <v>7578</v>
      </c>
      <c r="C3055" s="6" t="s">
        <v>11229</v>
      </c>
      <c r="D3055" s="6" t="s">
        <v>11549</v>
      </c>
      <c r="E3055" s="6" t="s">
        <v>11561</v>
      </c>
      <c r="F3055" s="6" t="s">
        <v>11562</v>
      </c>
      <c r="G3055" s="9"/>
      <c r="H3055" s="9" t="s">
        <v>18</v>
      </c>
      <c r="I3055" s="16" t="str">
        <f>VLOOKUP(F3055,[1]完整分类结果!$E:$G,3,0)</f>
        <v>仪器仪表及文化、办公用机械制造业</v>
      </c>
      <c r="J3055" s="16">
        <f>VLOOKUP(I3055,[2]行业排放因子!$A:$B,2,0)</f>
        <v>0.32872585603058302</v>
      </c>
      <c r="K3055" s="9" t="s">
        <v>756</v>
      </c>
    </row>
    <row r="3056" spans="1:11" ht="12.5" customHeight="1" x14ac:dyDescent="0.25">
      <c r="A3056" s="5" t="s">
        <v>11563</v>
      </c>
      <c r="B3056" s="6" t="s">
        <v>7578</v>
      </c>
      <c r="C3056" s="6" t="s">
        <v>11229</v>
      </c>
      <c r="D3056" s="6" t="s">
        <v>11564</v>
      </c>
      <c r="E3056" s="6" t="s">
        <v>11565</v>
      </c>
      <c r="F3056" s="6" t="s">
        <v>11566</v>
      </c>
      <c r="G3056" s="9" t="s">
        <v>11567</v>
      </c>
      <c r="H3056" s="9" t="s">
        <v>18</v>
      </c>
      <c r="I3056" s="16" t="str">
        <f>VLOOKUP(F3056,[1]完整分类结果!$E:$G,3,0)</f>
        <v>仪器仪表及文化、办公用机械制造业</v>
      </c>
      <c r="J3056" s="16">
        <f>VLOOKUP(I3056,[2]行业排放因子!$A:$B,2,0)</f>
        <v>0.32872585603058302</v>
      </c>
      <c r="K3056" s="9" t="s">
        <v>756</v>
      </c>
    </row>
    <row r="3057" spans="1:11" ht="12.5" customHeight="1" x14ac:dyDescent="0.25">
      <c r="A3057" s="5" t="s">
        <v>11568</v>
      </c>
      <c r="B3057" s="6" t="s">
        <v>7578</v>
      </c>
      <c r="C3057" s="6" t="s">
        <v>11229</v>
      </c>
      <c r="D3057" s="6" t="s">
        <v>11564</v>
      </c>
      <c r="E3057" s="6" t="s">
        <v>11569</v>
      </c>
      <c r="F3057" s="6" t="s">
        <v>11570</v>
      </c>
      <c r="G3057" s="9" t="s">
        <v>11571</v>
      </c>
      <c r="H3057" s="9" t="s">
        <v>18</v>
      </c>
      <c r="I3057" s="16" t="str">
        <f>VLOOKUP(F3057,[1]完整分类结果!$E:$G,3,0)</f>
        <v>仪器仪表及文化、办公用机械制造业</v>
      </c>
      <c r="J3057" s="16">
        <f>VLOOKUP(I3057,[2]行业排放因子!$A:$B,2,0)</f>
        <v>0.32872585603058302</v>
      </c>
      <c r="K3057" s="9" t="s">
        <v>756</v>
      </c>
    </row>
    <row r="3058" spans="1:11" ht="12.5" customHeight="1" x14ac:dyDescent="0.25">
      <c r="A3058" s="5" t="s">
        <v>11572</v>
      </c>
      <c r="B3058" s="6" t="s">
        <v>7578</v>
      </c>
      <c r="C3058" s="6" t="s">
        <v>11229</v>
      </c>
      <c r="D3058" s="6" t="s">
        <v>11564</v>
      </c>
      <c r="E3058" s="6" t="s">
        <v>11573</v>
      </c>
      <c r="F3058" s="6" t="s">
        <v>11574</v>
      </c>
      <c r="G3058" s="9" t="s">
        <v>11575</v>
      </c>
      <c r="H3058" s="9" t="s">
        <v>18</v>
      </c>
      <c r="I3058" s="16" t="str">
        <f>VLOOKUP(F3058,[1]完整分类结果!$E:$G,3,0)</f>
        <v>仪器仪表及文化、办公用机械制造业</v>
      </c>
      <c r="J3058" s="16">
        <f>VLOOKUP(I3058,[2]行业排放因子!$A:$B,2,0)</f>
        <v>0.32872585603058302</v>
      </c>
      <c r="K3058" s="9" t="s">
        <v>756</v>
      </c>
    </row>
    <row r="3059" spans="1:11" ht="12.5" customHeight="1" x14ac:dyDescent="0.25">
      <c r="A3059" s="5" t="s">
        <v>11576</v>
      </c>
      <c r="B3059" s="6" t="s">
        <v>7578</v>
      </c>
      <c r="C3059" s="6" t="s">
        <v>11229</v>
      </c>
      <c r="D3059" s="6" t="s">
        <v>11577</v>
      </c>
      <c r="E3059" s="6" t="s">
        <v>11578</v>
      </c>
      <c r="F3059" s="6" t="s">
        <v>11579</v>
      </c>
      <c r="G3059" s="9" t="s">
        <v>11580</v>
      </c>
      <c r="H3059" s="9" t="s">
        <v>18</v>
      </c>
      <c r="I3059" s="16" t="str">
        <f>VLOOKUP(F3059,[1]完整分类结果!$E:$G,3,0)</f>
        <v>仪器仪表及文化、办公用机械制造业</v>
      </c>
      <c r="J3059" s="16">
        <f>VLOOKUP(I3059,[2]行业排放因子!$A:$B,2,0)</f>
        <v>0.32872585603058302</v>
      </c>
      <c r="K3059" s="9" t="s">
        <v>756</v>
      </c>
    </row>
    <row r="3060" spans="1:11" ht="12.5" customHeight="1" x14ac:dyDescent="0.25">
      <c r="A3060" s="5" t="s">
        <v>11581</v>
      </c>
      <c r="B3060" s="6" t="s">
        <v>7578</v>
      </c>
      <c r="C3060" s="6" t="s">
        <v>11229</v>
      </c>
      <c r="D3060" s="6" t="s">
        <v>11577</v>
      </c>
      <c r="E3060" s="6" t="s">
        <v>11582</v>
      </c>
      <c r="F3060" s="6" t="s">
        <v>11583</v>
      </c>
      <c r="G3060" s="9" t="s">
        <v>11584</v>
      </c>
      <c r="H3060" s="9" t="s">
        <v>18</v>
      </c>
      <c r="I3060" s="16" t="str">
        <f>VLOOKUP(F3060,[1]完整分类结果!$E:$G,3,0)</f>
        <v>仪器仪表及文化、办公用机械制造业</v>
      </c>
      <c r="J3060" s="16">
        <f>VLOOKUP(I3060,[2]行业排放因子!$A:$B,2,0)</f>
        <v>0.32872585603058302</v>
      </c>
      <c r="K3060" s="9" t="s">
        <v>756</v>
      </c>
    </row>
    <row r="3061" spans="1:11" ht="12.5" customHeight="1" x14ac:dyDescent="0.25">
      <c r="A3061" s="5" t="s">
        <v>11585</v>
      </c>
      <c r="B3061" s="6" t="s">
        <v>7578</v>
      </c>
      <c r="C3061" s="6" t="s">
        <v>11229</v>
      </c>
      <c r="D3061" s="6" t="s">
        <v>11577</v>
      </c>
      <c r="E3061" s="6" t="s">
        <v>11586</v>
      </c>
      <c r="F3061" s="6" t="s">
        <v>11587</v>
      </c>
      <c r="G3061" s="9"/>
      <c r="H3061" s="9" t="s">
        <v>18</v>
      </c>
      <c r="I3061" s="16" t="str">
        <f>VLOOKUP(F3061,[1]完整分类结果!$E:$G,3,0)</f>
        <v>仪器仪表及文化、办公用机械制造业</v>
      </c>
      <c r="J3061" s="16">
        <f>VLOOKUP(I3061,[2]行业排放因子!$A:$B,2,0)</f>
        <v>0.32872585603058302</v>
      </c>
      <c r="K3061" s="9" t="s">
        <v>756</v>
      </c>
    </row>
    <row r="3062" spans="1:11" ht="12.5" customHeight="1" x14ac:dyDescent="0.25">
      <c r="A3062" s="5" t="s">
        <v>11588</v>
      </c>
      <c r="B3062" s="6" t="s">
        <v>7578</v>
      </c>
      <c r="C3062" s="6" t="s">
        <v>11229</v>
      </c>
      <c r="D3062" s="6" t="s">
        <v>11577</v>
      </c>
      <c r="E3062" s="6" t="s">
        <v>11589</v>
      </c>
      <c r="F3062" s="6" t="s">
        <v>11590</v>
      </c>
      <c r="G3062" s="9" t="s">
        <v>11591</v>
      </c>
      <c r="H3062" s="9" t="s">
        <v>18</v>
      </c>
      <c r="I3062" s="16" t="str">
        <f>VLOOKUP(F3062,[1]完整分类结果!$E:$G,3,0)</f>
        <v>仪器仪表及文化、办公用机械制造业</v>
      </c>
      <c r="J3062" s="16">
        <f>VLOOKUP(I3062,[2]行业排放因子!$A:$B,2,0)</f>
        <v>0.32872585603058302</v>
      </c>
      <c r="K3062" s="9" t="s">
        <v>756</v>
      </c>
    </row>
    <row r="3063" spans="1:11" ht="12.5" customHeight="1" x14ac:dyDescent="0.25">
      <c r="A3063" s="5" t="s">
        <v>11592</v>
      </c>
      <c r="B3063" s="6" t="s">
        <v>7578</v>
      </c>
      <c r="C3063" s="6" t="s">
        <v>11229</v>
      </c>
      <c r="D3063" s="6" t="s">
        <v>11577</v>
      </c>
      <c r="E3063" s="6" t="s">
        <v>11593</v>
      </c>
      <c r="F3063" s="6" t="s">
        <v>11594</v>
      </c>
      <c r="G3063" s="9" t="s">
        <v>11595</v>
      </c>
      <c r="H3063" s="9" t="s">
        <v>18</v>
      </c>
      <c r="I3063" s="16" t="str">
        <f>VLOOKUP(F3063,[1]完整分类结果!$E:$G,3,0)</f>
        <v>仪器仪表及文化、办公用机械制造业</v>
      </c>
      <c r="J3063" s="16">
        <f>VLOOKUP(I3063,[2]行业排放因子!$A:$B,2,0)</f>
        <v>0.32872585603058302</v>
      </c>
      <c r="K3063" s="9" t="s">
        <v>756</v>
      </c>
    </row>
    <row r="3064" spans="1:11" ht="12.5" customHeight="1" x14ac:dyDescent="0.25">
      <c r="A3064" s="5" t="s">
        <v>11596</v>
      </c>
      <c r="B3064" s="6" t="s">
        <v>7578</v>
      </c>
      <c r="C3064" s="6" t="s">
        <v>11229</v>
      </c>
      <c r="D3064" s="6" t="s">
        <v>11577</v>
      </c>
      <c r="E3064" s="6" t="s">
        <v>11597</v>
      </c>
      <c r="F3064" s="6" t="s">
        <v>11598</v>
      </c>
      <c r="G3064" s="9"/>
      <c r="H3064" s="9" t="s">
        <v>18</v>
      </c>
      <c r="I3064" s="16" t="str">
        <f>VLOOKUP(F3064,[1]完整分类结果!$E:$G,3,0)</f>
        <v>仪器仪表及文化、办公用机械制造业</v>
      </c>
      <c r="J3064" s="16">
        <f>VLOOKUP(I3064,[2]行业排放因子!$A:$B,2,0)</f>
        <v>0.32872585603058302</v>
      </c>
      <c r="K3064" s="9" t="s">
        <v>756</v>
      </c>
    </row>
    <row r="3065" spans="1:11" ht="12.5" customHeight="1" x14ac:dyDescent="0.25">
      <c r="A3065" s="5" t="s">
        <v>11599</v>
      </c>
      <c r="B3065" s="6" t="s">
        <v>7578</v>
      </c>
      <c r="C3065" s="6" t="s">
        <v>11229</v>
      </c>
      <c r="D3065" s="6" t="s">
        <v>11600</v>
      </c>
      <c r="E3065" s="6" t="s">
        <v>11601</v>
      </c>
      <c r="F3065" s="6" t="s">
        <v>11602</v>
      </c>
      <c r="G3065" s="9" t="s">
        <v>11603</v>
      </c>
      <c r="H3065" s="9" t="s">
        <v>18</v>
      </c>
      <c r="I3065" s="16" t="str">
        <f>VLOOKUP(F3065,[1]完整分类结果!$E:$G,3,0)</f>
        <v>仪器仪表及文化、办公用机械制造业</v>
      </c>
      <c r="J3065" s="16">
        <f>VLOOKUP(I3065,[2]行业排放因子!$A:$B,2,0)</f>
        <v>0.32872585603058302</v>
      </c>
      <c r="K3065" s="9" t="s">
        <v>756</v>
      </c>
    </row>
    <row r="3066" spans="1:11" ht="12.5" customHeight="1" x14ac:dyDescent="0.25">
      <c r="A3066" s="5" t="s">
        <v>11604</v>
      </c>
      <c r="B3066" s="6" t="s">
        <v>7578</v>
      </c>
      <c r="C3066" s="6" t="s">
        <v>11229</v>
      </c>
      <c r="D3066" s="6" t="s">
        <v>11600</v>
      </c>
      <c r="E3066" s="6" t="s">
        <v>11605</v>
      </c>
      <c r="F3066" s="6" t="s">
        <v>11606</v>
      </c>
      <c r="G3066" s="9" t="s">
        <v>11607</v>
      </c>
      <c r="H3066" s="9" t="s">
        <v>18</v>
      </c>
      <c r="I3066" s="16" t="str">
        <f>VLOOKUP(F3066,[1]完整分类结果!$E:$G,3,0)</f>
        <v>仪器仪表及文化、办公用机械制造业</v>
      </c>
      <c r="J3066" s="16">
        <f>VLOOKUP(I3066,[2]行业排放因子!$A:$B,2,0)</f>
        <v>0.32872585603058302</v>
      </c>
      <c r="K3066" s="9" t="s">
        <v>756</v>
      </c>
    </row>
    <row r="3067" spans="1:11" ht="12.5" customHeight="1" x14ac:dyDescent="0.25">
      <c r="A3067" s="5" t="s">
        <v>11608</v>
      </c>
      <c r="B3067" s="6" t="s">
        <v>7578</v>
      </c>
      <c r="C3067" s="6" t="s">
        <v>11229</v>
      </c>
      <c r="D3067" s="6" t="s">
        <v>11600</v>
      </c>
      <c r="E3067" s="6" t="s">
        <v>11609</v>
      </c>
      <c r="F3067" s="6" t="s">
        <v>11610</v>
      </c>
      <c r="G3067" s="9"/>
      <c r="H3067" s="9" t="s">
        <v>18</v>
      </c>
      <c r="I3067" s="16" t="str">
        <f>VLOOKUP(F3067,[1]完整分类结果!$E:$G,3,0)</f>
        <v>仪器仪表及文化、办公用机械制造业</v>
      </c>
      <c r="J3067" s="16">
        <f>VLOOKUP(I3067,[2]行业排放因子!$A:$B,2,0)</f>
        <v>0.32872585603058302</v>
      </c>
      <c r="K3067" s="9" t="s">
        <v>756</v>
      </c>
    </row>
    <row r="3068" spans="1:11" ht="12.5" customHeight="1" x14ac:dyDescent="0.25">
      <c r="A3068" s="5" t="s">
        <v>11611</v>
      </c>
      <c r="B3068" s="6" t="s">
        <v>7578</v>
      </c>
      <c r="C3068" s="6" t="s">
        <v>11229</v>
      </c>
      <c r="D3068" s="6" t="s">
        <v>11612</v>
      </c>
      <c r="E3068" s="6" t="s">
        <v>11613</v>
      </c>
      <c r="F3068" s="6" t="s">
        <v>11614</v>
      </c>
      <c r="G3068" s="9" t="s">
        <v>11615</v>
      </c>
      <c r="H3068" s="9" t="s">
        <v>18</v>
      </c>
      <c r="I3068" s="16" t="str">
        <f>VLOOKUP(F3068,[1]完整分类结果!$E:$G,3,0)</f>
        <v>仪器仪表及文化、办公用机械制造业</v>
      </c>
      <c r="J3068" s="16">
        <f>VLOOKUP(I3068,[2]行业排放因子!$A:$B,2,0)</f>
        <v>0.32872585603058302</v>
      </c>
      <c r="K3068" s="9" t="s">
        <v>756</v>
      </c>
    </row>
    <row r="3069" spans="1:11" ht="12.5" customHeight="1" x14ac:dyDescent="0.25">
      <c r="A3069" s="5" t="s">
        <v>11616</v>
      </c>
      <c r="B3069" s="6" t="s">
        <v>7578</v>
      </c>
      <c r="C3069" s="6" t="s">
        <v>11229</v>
      </c>
      <c r="D3069" s="6" t="s">
        <v>11612</v>
      </c>
      <c r="E3069" s="6" t="s">
        <v>11617</v>
      </c>
      <c r="F3069" s="6" t="s">
        <v>11618</v>
      </c>
      <c r="G3069" s="9" t="s">
        <v>11619</v>
      </c>
      <c r="H3069" s="9" t="s">
        <v>18</v>
      </c>
      <c r="I3069" s="16" t="str">
        <f>VLOOKUP(F3069,[1]完整分类结果!$E:$G,3,0)</f>
        <v>仪器仪表及文化、办公用机械制造业</v>
      </c>
      <c r="J3069" s="16">
        <f>VLOOKUP(I3069,[2]行业排放因子!$A:$B,2,0)</f>
        <v>0.32872585603058302</v>
      </c>
      <c r="K3069" s="9" t="s">
        <v>756</v>
      </c>
    </row>
    <row r="3070" spans="1:11" ht="12.5" customHeight="1" x14ac:dyDescent="0.25">
      <c r="A3070" s="5" t="s">
        <v>11620</v>
      </c>
      <c r="B3070" s="6" t="s">
        <v>7578</v>
      </c>
      <c r="C3070" s="6" t="s">
        <v>11229</v>
      </c>
      <c r="D3070" s="6" t="s">
        <v>11612</v>
      </c>
      <c r="E3070" s="6" t="s">
        <v>11621</v>
      </c>
      <c r="F3070" s="6" t="s">
        <v>11622</v>
      </c>
      <c r="G3070" s="9" t="s">
        <v>11623</v>
      </c>
      <c r="H3070" s="9" t="s">
        <v>18</v>
      </c>
      <c r="I3070" s="16" t="str">
        <f>VLOOKUP(F3070,[1]完整分类结果!$E:$G,3,0)</f>
        <v>仪器仪表及文化、办公用机械制造业</v>
      </c>
      <c r="J3070" s="16">
        <f>VLOOKUP(I3070,[2]行业排放因子!$A:$B,2,0)</f>
        <v>0.32872585603058302</v>
      </c>
      <c r="K3070" s="9" t="s">
        <v>756</v>
      </c>
    </row>
    <row r="3071" spans="1:11" ht="12.5" customHeight="1" x14ac:dyDescent="0.25">
      <c r="A3071" s="5" t="s">
        <v>11624</v>
      </c>
      <c r="B3071" s="6" t="s">
        <v>7578</v>
      </c>
      <c r="C3071" s="6" t="s">
        <v>11229</v>
      </c>
      <c r="D3071" s="6" t="s">
        <v>11612</v>
      </c>
      <c r="E3071" s="6" t="s">
        <v>11625</v>
      </c>
      <c r="F3071" s="6" t="s">
        <v>11626</v>
      </c>
      <c r="G3071" s="9"/>
      <c r="H3071" s="9" t="s">
        <v>18</v>
      </c>
      <c r="I3071" s="16" t="str">
        <f>VLOOKUP(F3071,[1]完整分类结果!$E:$G,3,0)</f>
        <v>仪器仪表及文化、办公用机械制造业</v>
      </c>
      <c r="J3071" s="16">
        <f>VLOOKUP(I3071,[2]行业排放因子!$A:$B,2,0)</f>
        <v>0.32872585603058302</v>
      </c>
      <c r="K3071" s="9" t="s">
        <v>756</v>
      </c>
    </row>
    <row r="3072" spans="1:11" ht="12.5" customHeight="1" x14ac:dyDescent="0.25">
      <c r="A3072" s="5" t="s">
        <v>11627</v>
      </c>
      <c r="B3072" s="6" t="s">
        <v>7578</v>
      </c>
      <c r="C3072" s="6" t="s">
        <v>11229</v>
      </c>
      <c r="D3072" s="6" t="s">
        <v>11612</v>
      </c>
      <c r="E3072" s="6" t="s">
        <v>11628</v>
      </c>
      <c r="F3072" s="6" t="s">
        <v>11629</v>
      </c>
      <c r="G3072" s="9"/>
      <c r="H3072" s="9" t="s">
        <v>18</v>
      </c>
      <c r="I3072" s="16" t="str">
        <f>VLOOKUP(F3072,[1]完整分类结果!$E:$G,3,0)</f>
        <v>仪器仪表及文化、办公用机械制造业</v>
      </c>
      <c r="J3072" s="16">
        <f>VLOOKUP(I3072,[2]行业排放因子!$A:$B,2,0)</f>
        <v>0.32872585603058302</v>
      </c>
      <c r="K3072" s="9" t="s">
        <v>756</v>
      </c>
    </row>
    <row r="3073" spans="1:11" ht="12.5" customHeight="1" x14ac:dyDescent="0.25">
      <c r="A3073" s="5" t="s">
        <v>11630</v>
      </c>
      <c r="B3073" s="6" t="s">
        <v>7578</v>
      </c>
      <c r="C3073" s="6" t="s">
        <v>11229</v>
      </c>
      <c r="D3073" s="6" t="s">
        <v>11612</v>
      </c>
      <c r="E3073" s="6" t="s">
        <v>11631</v>
      </c>
      <c r="F3073" s="6" t="s">
        <v>11632</v>
      </c>
      <c r="G3073" s="9"/>
      <c r="H3073" s="9" t="s">
        <v>18</v>
      </c>
      <c r="I3073" s="16" t="str">
        <f>VLOOKUP(F3073,[1]完整分类结果!$E:$G,3,0)</f>
        <v>仪器仪表及文化、办公用机械制造业</v>
      </c>
      <c r="J3073" s="16">
        <f>VLOOKUP(I3073,[2]行业排放因子!$A:$B,2,0)</f>
        <v>0.32872585603058302</v>
      </c>
      <c r="K3073" s="9" t="s">
        <v>756</v>
      </c>
    </row>
    <row r="3074" spans="1:11" ht="12.5" customHeight="1" x14ac:dyDescent="0.25">
      <c r="A3074" s="5" t="s">
        <v>11633</v>
      </c>
      <c r="B3074" s="6" t="s">
        <v>7578</v>
      </c>
      <c r="C3074" s="6" t="s">
        <v>11229</v>
      </c>
      <c r="D3074" s="6" t="s">
        <v>11612</v>
      </c>
      <c r="E3074" s="6" t="s">
        <v>11634</v>
      </c>
      <c r="F3074" s="6" t="s">
        <v>11635</v>
      </c>
      <c r="G3074" s="9"/>
      <c r="H3074" s="9" t="s">
        <v>18</v>
      </c>
      <c r="I3074" s="16" t="str">
        <f>VLOOKUP(F3074,[1]完整分类结果!$E:$G,3,0)</f>
        <v>仪器仪表及文化、办公用机械制造业</v>
      </c>
      <c r="J3074" s="16">
        <f>VLOOKUP(I3074,[2]行业排放因子!$A:$B,2,0)</f>
        <v>0.32872585603058302</v>
      </c>
      <c r="K3074" s="9" t="s">
        <v>756</v>
      </c>
    </row>
    <row r="3075" spans="1:11" ht="12.5" customHeight="1" x14ac:dyDescent="0.25">
      <c r="A3075" s="5" t="s">
        <v>11636</v>
      </c>
      <c r="B3075" s="6" t="s">
        <v>7578</v>
      </c>
      <c r="C3075" s="6" t="s">
        <v>11229</v>
      </c>
      <c r="D3075" s="6" t="s">
        <v>11637</v>
      </c>
      <c r="E3075" s="6" t="s">
        <v>11638</v>
      </c>
      <c r="F3075" s="6" t="s">
        <v>11639</v>
      </c>
      <c r="G3075" s="9" t="s">
        <v>11640</v>
      </c>
      <c r="H3075" s="9" t="s">
        <v>18</v>
      </c>
      <c r="I3075" s="16" t="str">
        <f>VLOOKUP(F3075,[1]完整分类结果!$E:$G,3,0)</f>
        <v>仪器仪表及文化、办公用机械制造业</v>
      </c>
      <c r="J3075" s="16">
        <f>VLOOKUP(I3075,[2]行业排放因子!$A:$B,2,0)</f>
        <v>0.32872585603058302</v>
      </c>
      <c r="K3075" s="9" t="s">
        <v>756</v>
      </c>
    </row>
    <row r="3076" spans="1:11" ht="12.5" customHeight="1" x14ac:dyDescent="0.25">
      <c r="A3076" s="5" t="s">
        <v>11641</v>
      </c>
      <c r="B3076" s="6" t="s">
        <v>7578</v>
      </c>
      <c r="C3076" s="6" t="s">
        <v>11229</v>
      </c>
      <c r="D3076" s="6" t="s">
        <v>11637</v>
      </c>
      <c r="E3076" s="6" t="s">
        <v>11642</v>
      </c>
      <c r="F3076" s="6" t="s">
        <v>11643</v>
      </c>
      <c r="G3076" s="9" t="s">
        <v>11644</v>
      </c>
      <c r="H3076" s="9" t="s">
        <v>18</v>
      </c>
      <c r="I3076" s="16" t="str">
        <f>VLOOKUP(F3076,[1]完整分类结果!$E:$G,3,0)</f>
        <v>仪器仪表及文化、办公用机械制造业</v>
      </c>
      <c r="J3076" s="16">
        <f>VLOOKUP(I3076,[2]行业排放因子!$A:$B,2,0)</f>
        <v>0.32872585603058302</v>
      </c>
      <c r="K3076" s="9" t="s">
        <v>756</v>
      </c>
    </row>
    <row r="3077" spans="1:11" ht="12.5" customHeight="1" x14ac:dyDescent="0.25">
      <c r="A3077" s="5" t="s">
        <v>11645</v>
      </c>
      <c r="B3077" s="6" t="s">
        <v>7578</v>
      </c>
      <c r="C3077" s="6" t="s">
        <v>11229</v>
      </c>
      <c r="D3077" s="6" t="s">
        <v>11637</v>
      </c>
      <c r="E3077" s="6" t="s">
        <v>11646</v>
      </c>
      <c r="F3077" s="6" t="s">
        <v>11647</v>
      </c>
      <c r="G3077" s="9" t="s">
        <v>11648</v>
      </c>
      <c r="H3077" s="9" t="s">
        <v>18</v>
      </c>
      <c r="I3077" s="16" t="str">
        <f>VLOOKUP(F3077,[1]完整分类结果!$E:$G,3,0)</f>
        <v>仪器仪表及文化、办公用机械制造业</v>
      </c>
      <c r="J3077" s="16">
        <f>VLOOKUP(I3077,[2]行业排放因子!$A:$B,2,0)</f>
        <v>0.32872585603058302</v>
      </c>
      <c r="K3077" s="9" t="s">
        <v>756</v>
      </c>
    </row>
    <row r="3078" spans="1:11" ht="12.5" customHeight="1" x14ac:dyDescent="0.25">
      <c r="A3078" s="5" t="s">
        <v>11649</v>
      </c>
      <c r="B3078" s="6" t="s">
        <v>7578</v>
      </c>
      <c r="C3078" s="6" t="s">
        <v>11229</v>
      </c>
      <c r="D3078" s="6" t="s">
        <v>11637</v>
      </c>
      <c r="E3078" s="6" t="s">
        <v>11650</v>
      </c>
      <c r="F3078" s="6" t="s">
        <v>11651</v>
      </c>
      <c r="G3078" s="9" t="s">
        <v>11652</v>
      </c>
      <c r="H3078" s="9" t="s">
        <v>18</v>
      </c>
      <c r="I3078" s="16" t="str">
        <f>VLOOKUP(F3078,[1]完整分类结果!$E:$G,3,0)</f>
        <v>仪器仪表及文化、办公用机械制造业</v>
      </c>
      <c r="J3078" s="16">
        <f>VLOOKUP(I3078,[2]行业排放因子!$A:$B,2,0)</f>
        <v>0.32872585603058302</v>
      </c>
      <c r="K3078" s="9" t="s">
        <v>756</v>
      </c>
    </row>
    <row r="3079" spans="1:11" ht="12.5" customHeight="1" x14ac:dyDescent="0.25">
      <c r="A3079" s="5" t="s">
        <v>11653</v>
      </c>
      <c r="B3079" s="6" t="s">
        <v>7578</v>
      </c>
      <c r="C3079" s="6" t="s">
        <v>11229</v>
      </c>
      <c r="D3079" s="6" t="s">
        <v>11637</v>
      </c>
      <c r="E3079" s="6" t="s">
        <v>11654</v>
      </c>
      <c r="F3079" s="6" t="s">
        <v>11655</v>
      </c>
      <c r="G3079" s="9" t="s">
        <v>11656</v>
      </c>
      <c r="H3079" s="9" t="s">
        <v>18</v>
      </c>
      <c r="I3079" s="16" t="str">
        <f>VLOOKUP(F3079,[1]完整分类结果!$E:$G,3,0)</f>
        <v>仪器仪表及文化、办公用机械制造业</v>
      </c>
      <c r="J3079" s="16">
        <f>VLOOKUP(I3079,[2]行业排放因子!$A:$B,2,0)</f>
        <v>0.32872585603058302</v>
      </c>
      <c r="K3079" s="9" t="s">
        <v>3898</v>
      </c>
    </row>
    <row r="3080" spans="1:11" ht="12.5" customHeight="1" x14ac:dyDescent="0.25">
      <c r="A3080" s="5" t="s">
        <v>11657</v>
      </c>
      <c r="B3080" s="6" t="s">
        <v>7578</v>
      </c>
      <c r="C3080" s="6" t="s">
        <v>11229</v>
      </c>
      <c r="D3080" s="6" t="s">
        <v>11637</v>
      </c>
      <c r="E3080" s="6" t="s">
        <v>11658</v>
      </c>
      <c r="F3080" s="6" t="s">
        <v>11659</v>
      </c>
      <c r="G3080" s="9" t="s">
        <v>11660</v>
      </c>
      <c r="H3080" s="9" t="s">
        <v>18</v>
      </c>
      <c r="I3080" s="16" t="str">
        <f>VLOOKUP(F3080,[1]完整分类结果!$E:$G,3,0)</f>
        <v>仪器仪表及文化、办公用机械制造业</v>
      </c>
      <c r="J3080" s="16">
        <f>VLOOKUP(I3080,[2]行业排放因子!$A:$B,2,0)</f>
        <v>0.32872585603058302</v>
      </c>
      <c r="K3080" s="9" t="s">
        <v>756</v>
      </c>
    </row>
    <row r="3081" spans="1:11" ht="12.5" customHeight="1" x14ac:dyDescent="0.25">
      <c r="A3081" s="5" t="s">
        <v>11661</v>
      </c>
      <c r="B3081" s="6" t="s">
        <v>7578</v>
      </c>
      <c r="C3081" s="6" t="s">
        <v>11229</v>
      </c>
      <c r="D3081" s="6" t="s">
        <v>11637</v>
      </c>
      <c r="E3081" s="6" t="s">
        <v>11662</v>
      </c>
      <c r="F3081" s="6" t="s">
        <v>11663</v>
      </c>
      <c r="G3081" s="9" t="s">
        <v>11664</v>
      </c>
      <c r="H3081" s="9" t="s">
        <v>18</v>
      </c>
      <c r="I3081" s="16" t="str">
        <f>VLOOKUP(F3081,[1]完整分类结果!$E:$G,3,0)</f>
        <v>仪器仪表及文化、办公用机械制造业</v>
      </c>
      <c r="J3081" s="16">
        <f>VLOOKUP(I3081,[2]行业排放因子!$A:$B,2,0)</f>
        <v>0.32872585603058302</v>
      </c>
      <c r="K3081" s="9" t="s">
        <v>756</v>
      </c>
    </row>
    <row r="3082" spans="1:11" ht="12.5" customHeight="1" x14ac:dyDescent="0.25">
      <c r="A3082" s="5" t="s">
        <v>11665</v>
      </c>
      <c r="B3082" s="6" t="s">
        <v>7578</v>
      </c>
      <c r="C3082" s="6" t="s">
        <v>11229</v>
      </c>
      <c r="D3082" s="6" t="s">
        <v>11637</v>
      </c>
      <c r="E3082" s="6" t="s">
        <v>11666</v>
      </c>
      <c r="F3082" s="6" t="s">
        <v>11667</v>
      </c>
      <c r="G3082" s="9" t="s">
        <v>11668</v>
      </c>
      <c r="H3082" s="9" t="s">
        <v>18</v>
      </c>
      <c r="I3082" s="16" t="str">
        <f>VLOOKUP(F3082,[1]完整分类结果!$E:$G,3,0)</f>
        <v>仪器仪表及文化、办公用机械制造业</v>
      </c>
      <c r="J3082" s="16">
        <f>VLOOKUP(I3082,[2]行业排放因子!$A:$B,2,0)</f>
        <v>0.32872585603058302</v>
      </c>
      <c r="K3082" s="9" t="s">
        <v>756</v>
      </c>
    </row>
    <row r="3083" spans="1:11" ht="12.5" customHeight="1" x14ac:dyDescent="0.25">
      <c r="A3083" s="5" t="s">
        <v>11669</v>
      </c>
      <c r="B3083" s="6" t="s">
        <v>7578</v>
      </c>
      <c r="C3083" s="6" t="s">
        <v>11229</v>
      </c>
      <c r="D3083" s="6" t="s">
        <v>11637</v>
      </c>
      <c r="E3083" s="6" t="s">
        <v>11670</v>
      </c>
      <c r="F3083" s="6" t="s">
        <v>11671</v>
      </c>
      <c r="G3083" s="9"/>
      <c r="H3083" s="9" t="s">
        <v>18</v>
      </c>
      <c r="I3083" s="16" t="str">
        <f>VLOOKUP(F3083,[1]完整分类结果!$E:$G,3,0)</f>
        <v>仪器仪表及文化、办公用机械制造业</v>
      </c>
      <c r="J3083" s="16">
        <f>VLOOKUP(I3083,[2]行业排放因子!$A:$B,2,0)</f>
        <v>0.32872585603058302</v>
      </c>
      <c r="K3083" s="9" t="s">
        <v>756</v>
      </c>
    </row>
    <row r="3084" spans="1:11" ht="12.5" customHeight="1" x14ac:dyDescent="0.25">
      <c r="A3084" s="5" t="s">
        <v>11672</v>
      </c>
      <c r="B3084" s="6" t="s">
        <v>7578</v>
      </c>
      <c r="C3084" s="6" t="s">
        <v>11229</v>
      </c>
      <c r="D3084" s="6" t="s">
        <v>11637</v>
      </c>
      <c r="E3084" s="6" t="s">
        <v>11673</v>
      </c>
      <c r="F3084" s="6" t="s">
        <v>11674</v>
      </c>
      <c r="G3084" s="9" t="s">
        <v>11675</v>
      </c>
      <c r="H3084" s="9" t="s">
        <v>18</v>
      </c>
      <c r="I3084" s="16" t="str">
        <f>VLOOKUP(F3084,[1]完整分类结果!$E:$G,3,0)</f>
        <v>仪器仪表及文化、办公用机械制造业</v>
      </c>
      <c r="J3084" s="16">
        <f>VLOOKUP(I3084,[2]行业排放因子!$A:$B,2,0)</f>
        <v>0.32872585603058302</v>
      </c>
      <c r="K3084" s="9" t="s">
        <v>756</v>
      </c>
    </row>
    <row r="3085" spans="1:11" ht="12.5" customHeight="1" x14ac:dyDescent="0.25">
      <c r="A3085" s="5" t="s">
        <v>11676</v>
      </c>
      <c r="B3085" s="6" t="s">
        <v>7578</v>
      </c>
      <c r="C3085" s="6" t="s">
        <v>11229</v>
      </c>
      <c r="D3085" s="6" t="s">
        <v>11637</v>
      </c>
      <c r="E3085" s="6" t="s">
        <v>11677</v>
      </c>
      <c r="F3085" s="6" t="s">
        <v>11678</v>
      </c>
      <c r="G3085" s="9"/>
      <c r="H3085" s="9" t="s">
        <v>18</v>
      </c>
      <c r="I3085" s="16" t="str">
        <f>VLOOKUP(F3085,[1]完整分类结果!$E:$G,3,0)</f>
        <v>仪器仪表及文化、办公用机械制造业</v>
      </c>
      <c r="J3085" s="16">
        <f>VLOOKUP(I3085,[2]行业排放因子!$A:$B,2,0)</f>
        <v>0.32872585603058302</v>
      </c>
      <c r="K3085" s="9" t="s">
        <v>756</v>
      </c>
    </row>
    <row r="3086" spans="1:11" ht="12.5" customHeight="1" x14ac:dyDescent="0.25">
      <c r="A3086" s="5" t="s">
        <v>11679</v>
      </c>
      <c r="B3086" s="6" t="s">
        <v>7578</v>
      </c>
      <c r="C3086" s="6" t="s">
        <v>11229</v>
      </c>
      <c r="D3086" s="6" t="s">
        <v>11637</v>
      </c>
      <c r="E3086" s="6" t="s">
        <v>11680</v>
      </c>
      <c r="F3086" s="6" t="s">
        <v>11681</v>
      </c>
      <c r="G3086" s="9"/>
      <c r="H3086" s="9" t="s">
        <v>18</v>
      </c>
      <c r="I3086" s="16" t="str">
        <f>VLOOKUP(F3086,[1]完整分类结果!$E:$G,3,0)</f>
        <v>仪器仪表及文化、办公用机械制造业</v>
      </c>
      <c r="J3086" s="16">
        <f>VLOOKUP(I3086,[2]行业排放因子!$A:$B,2,0)</f>
        <v>0.32872585603058302</v>
      </c>
      <c r="K3086" s="9" t="s">
        <v>756</v>
      </c>
    </row>
    <row r="3087" spans="1:11" ht="12.5" customHeight="1" x14ac:dyDescent="0.25">
      <c r="A3087" s="5" t="s">
        <v>11682</v>
      </c>
      <c r="B3087" s="6" t="s">
        <v>7578</v>
      </c>
      <c r="C3087" s="6" t="s">
        <v>11229</v>
      </c>
      <c r="D3087" s="6" t="s">
        <v>11637</v>
      </c>
      <c r="E3087" s="6" t="s">
        <v>11683</v>
      </c>
      <c r="F3087" s="6" t="s">
        <v>11684</v>
      </c>
      <c r="G3087" s="9"/>
      <c r="H3087" s="9" t="s">
        <v>18</v>
      </c>
      <c r="I3087" s="16" t="str">
        <f>VLOOKUP(F3087,[1]完整分类结果!$E:$G,3,0)</f>
        <v>仪器仪表及文化、办公用机械制造业</v>
      </c>
      <c r="J3087" s="16">
        <f>VLOOKUP(I3087,[2]行业排放因子!$A:$B,2,0)</f>
        <v>0.32872585603058302</v>
      </c>
      <c r="K3087" s="9" t="s">
        <v>756</v>
      </c>
    </row>
    <row r="3088" spans="1:11" ht="12.5" customHeight="1" x14ac:dyDescent="0.25">
      <c r="A3088" s="5" t="s">
        <v>11685</v>
      </c>
      <c r="B3088" s="6" t="s">
        <v>7578</v>
      </c>
      <c r="C3088" s="6" t="s">
        <v>11229</v>
      </c>
      <c r="D3088" s="6" t="s">
        <v>11686</v>
      </c>
      <c r="E3088" s="6" t="s">
        <v>11687</v>
      </c>
      <c r="F3088" s="6" t="s">
        <v>11688</v>
      </c>
      <c r="G3088" s="9" t="s">
        <v>11689</v>
      </c>
      <c r="H3088" s="9" t="s">
        <v>18</v>
      </c>
      <c r="I3088" s="16" t="str">
        <f>VLOOKUP(F3088,[1]完整分类结果!$E:$G,3,0)</f>
        <v>仪器仪表及文化、办公用机械制造业</v>
      </c>
      <c r="J3088" s="16">
        <f>VLOOKUP(I3088,[2]行业排放因子!$A:$B,2,0)</f>
        <v>0.32872585603058302</v>
      </c>
      <c r="K3088" s="9" t="s">
        <v>756</v>
      </c>
    </row>
    <row r="3089" spans="1:11" ht="12.5" customHeight="1" x14ac:dyDescent="0.25">
      <c r="A3089" s="5" t="s">
        <v>11690</v>
      </c>
      <c r="B3089" s="6" t="s">
        <v>7578</v>
      </c>
      <c r="C3089" s="6" t="s">
        <v>11229</v>
      </c>
      <c r="D3089" s="6" t="s">
        <v>11686</v>
      </c>
      <c r="E3089" s="6" t="s">
        <v>11691</v>
      </c>
      <c r="F3089" s="6" t="s">
        <v>11692</v>
      </c>
      <c r="G3089" s="9"/>
      <c r="H3089" s="9" t="s">
        <v>18</v>
      </c>
      <c r="I3089" s="16" t="str">
        <f>VLOOKUP(F3089,[1]完整分类结果!$E:$G,3,0)</f>
        <v>仪器仪表及文化、办公用机械制造业</v>
      </c>
      <c r="J3089" s="16">
        <f>VLOOKUP(I3089,[2]行业排放因子!$A:$B,2,0)</f>
        <v>0.32872585603058302</v>
      </c>
      <c r="K3089" s="9" t="s">
        <v>756</v>
      </c>
    </row>
    <row r="3090" spans="1:11" ht="12.5" customHeight="1" x14ac:dyDescent="0.25">
      <c r="A3090" s="5" t="s">
        <v>11693</v>
      </c>
      <c r="B3090" s="6" t="s">
        <v>7578</v>
      </c>
      <c r="C3090" s="6" t="s">
        <v>11229</v>
      </c>
      <c r="D3090" s="6" t="s">
        <v>11694</v>
      </c>
      <c r="E3090" s="6" t="s">
        <v>11695</v>
      </c>
      <c r="F3090" s="6" t="s">
        <v>11696</v>
      </c>
      <c r="G3090" s="9" t="s">
        <v>11697</v>
      </c>
      <c r="H3090" s="9" t="s">
        <v>18</v>
      </c>
      <c r="I3090" s="16" t="str">
        <f>VLOOKUP(F3090,[1]完整分类结果!$E:$G,3,0)</f>
        <v>普通机械制造业</v>
      </c>
      <c r="J3090" s="16">
        <f>VLOOKUP(I3090,[2]行业排放因子!$A:$B,2,0)</f>
        <v>9.6615781889079599</v>
      </c>
      <c r="K3090" s="9" t="s">
        <v>756</v>
      </c>
    </row>
    <row r="3091" spans="1:11" ht="12.5" customHeight="1" x14ac:dyDescent="0.25">
      <c r="A3091" s="5" t="s">
        <v>11698</v>
      </c>
      <c r="B3091" s="6" t="s">
        <v>7578</v>
      </c>
      <c r="C3091" s="6" t="s">
        <v>11229</v>
      </c>
      <c r="D3091" s="6" t="s">
        <v>11694</v>
      </c>
      <c r="E3091" s="6" t="s">
        <v>11699</v>
      </c>
      <c r="F3091" s="6" t="s">
        <v>11700</v>
      </c>
      <c r="G3091" s="9" t="s">
        <v>11701</v>
      </c>
      <c r="H3091" s="9" t="s">
        <v>18</v>
      </c>
      <c r="I3091" s="16" t="str">
        <f>VLOOKUP(F3091,[1]完整分类结果!$E:$G,3,0)</f>
        <v>普通机械制造业</v>
      </c>
      <c r="J3091" s="16">
        <f>VLOOKUP(I3091,[2]行业排放因子!$A:$B,2,0)</f>
        <v>9.6615781889079599</v>
      </c>
      <c r="K3091" s="9" t="s">
        <v>756</v>
      </c>
    </row>
    <row r="3092" spans="1:11" ht="12.5" customHeight="1" x14ac:dyDescent="0.25">
      <c r="A3092" s="5" t="s">
        <v>11702</v>
      </c>
      <c r="B3092" s="6" t="s">
        <v>7578</v>
      </c>
      <c r="C3092" s="6" t="s">
        <v>11229</v>
      </c>
      <c r="D3092" s="6" t="s">
        <v>11694</v>
      </c>
      <c r="E3092" s="6" t="s">
        <v>11703</v>
      </c>
      <c r="F3092" s="6" t="s">
        <v>11704</v>
      </c>
      <c r="G3092" s="9" t="s">
        <v>11705</v>
      </c>
      <c r="H3092" s="9" t="s">
        <v>18</v>
      </c>
      <c r="I3092" s="16" t="str">
        <f>VLOOKUP(F3092,[1]完整分类结果!$E:$G,3,0)</f>
        <v>普通机械制造业</v>
      </c>
      <c r="J3092" s="16">
        <f>VLOOKUP(I3092,[2]行业排放因子!$A:$B,2,0)</f>
        <v>9.6615781889079599</v>
      </c>
      <c r="K3092" s="9" t="s">
        <v>756</v>
      </c>
    </row>
    <row r="3093" spans="1:11" ht="12.5" customHeight="1" x14ac:dyDescent="0.25">
      <c r="A3093" s="5" t="s">
        <v>11706</v>
      </c>
      <c r="B3093" s="6" t="s">
        <v>7578</v>
      </c>
      <c r="C3093" s="6" t="s">
        <v>11229</v>
      </c>
      <c r="D3093" s="6" t="s">
        <v>11694</v>
      </c>
      <c r="E3093" s="6" t="s">
        <v>11707</v>
      </c>
      <c r="F3093" s="6" t="s">
        <v>11708</v>
      </c>
      <c r="G3093" s="9" t="s">
        <v>11709</v>
      </c>
      <c r="H3093" s="9" t="s">
        <v>18</v>
      </c>
      <c r="I3093" s="16" t="str">
        <f>VLOOKUP(F3093,[1]完整分类结果!$E:$G,3,0)</f>
        <v>普通机械制造业</v>
      </c>
      <c r="J3093" s="16">
        <f>VLOOKUP(I3093,[2]行业排放因子!$A:$B,2,0)</f>
        <v>9.6615781889079599</v>
      </c>
      <c r="K3093" s="9" t="s">
        <v>756</v>
      </c>
    </row>
    <row r="3094" spans="1:11" ht="12.5" customHeight="1" x14ac:dyDescent="0.25">
      <c r="A3094" s="5" t="s">
        <v>11710</v>
      </c>
      <c r="B3094" s="6" t="s">
        <v>7578</v>
      </c>
      <c r="C3094" s="6" t="s">
        <v>11229</v>
      </c>
      <c r="D3094" s="6" t="s">
        <v>11694</v>
      </c>
      <c r="E3094" s="6" t="s">
        <v>11711</v>
      </c>
      <c r="F3094" s="6" t="s">
        <v>11712</v>
      </c>
      <c r="G3094" s="9" t="s">
        <v>11713</v>
      </c>
      <c r="H3094" s="9" t="s">
        <v>18</v>
      </c>
      <c r="I3094" s="16" t="str">
        <f>VLOOKUP(F3094,[1]完整分类结果!$E:$G,3,0)</f>
        <v>普通机械制造业</v>
      </c>
      <c r="J3094" s="16">
        <f>VLOOKUP(I3094,[2]行业排放因子!$A:$B,2,0)</f>
        <v>9.6615781889079599</v>
      </c>
      <c r="K3094" s="9" t="s">
        <v>756</v>
      </c>
    </row>
    <row r="3095" spans="1:11" ht="12.5" customHeight="1" x14ac:dyDescent="0.25">
      <c r="A3095" s="5" t="s">
        <v>11714</v>
      </c>
      <c r="B3095" s="6" t="s">
        <v>7578</v>
      </c>
      <c r="C3095" s="6" t="s">
        <v>11229</v>
      </c>
      <c r="D3095" s="6" t="s">
        <v>11694</v>
      </c>
      <c r="E3095" s="6" t="s">
        <v>11715</v>
      </c>
      <c r="F3095" s="6" t="s">
        <v>11716</v>
      </c>
      <c r="G3095" s="9" t="s">
        <v>11717</v>
      </c>
      <c r="H3095" s="9" t="s">
        <v>18</v>
      </c>
      <c r="I3095" s="16" t="str">
        <f>VLOOKUP(F3095,[1]完整分类结果!$E:$G,3,0)</f>
        <v>普通机械制造业</v>
      </c>
      <c r="J3095" s="16">
        <f>VLOOKUP(I3095,[2]行业排放因子!$A:$B,2,0)</f>
        <v>9.6615781889079599</v>
      </c>
      <c r="K3095" s="9" t="s">
        <v>756</v>
      </c>
    </row>
    <row r="3096" spans="1:11" ht="12.5" customHeight="1" x14ac:dyDescent="0.25">
      <c r="A3096" s="5" t="s">
        <v>11718</v>
      </c>
      <c r="B3096" s="6" t="s">
        <v>7578</v>
      </c>
      <c r="C3096" s="6" t="s">
        <v>11229</v>
      </c>
      <c r="D3096" s="6" t="s">
        <v>11694</v>
      </c>
      <c r="E3096" s="6" t="s">
        <v>11719</v>
      </c>
      <c r="F3096" s="6" t="s">
        <v>11720</v>
      </c>
      <c r="G3096" s="9" t="s">
        <v>11721</v>
      </c>
      <c r="H3096" s="9" t="s">
        <v>18</v>
      </c>
      <c r="I3096" s="16" t="str">
        <f>VLOOKUP(F3096,[1]完整分类结果!$E:$G,3,0)</f>
        <v>普通机械制造业</v>
      </c>
      <c r="J3096" s="16">
        <f>VLOOKUP(I3096,[2]行业排放因子!$A:$B,2,0)</f>
        <v>9.6615781889079599</v>
      </c>
      <c r="K3096" s="9" t="s">
        <v>756</v>
      </c>
    </row>
    <row r="3097" spans="1:11" ht="12.5" customHeight="1" x14ac:dyDescent="0.25">
      <c r="A3097" s="5" t="s">
        <v>11722</v>
      </c>
      <c r="B3097" s="6" t="s">
        <v>7578</v>
      </c>
      <c r="C3097" s="6" t="s">
        <v>11229</v>
      </c>
      <c r="D3097" s="6" t="s">
        <v>11694</v>
      </c>
      <c r="E3097" s="6" t="s">
        <v>11723</v>
      </c>
      <c r="F3097" s="6" t="s">
        <v>11724</v>
      </c>
      <c r="G3097" s="9" t="s">
        <v>11725</v>
      </c>
      <c r="H3097" s="9" t="s">
        <v>18</v>
      </c>
      <c r="I3097" s="16" t="str">
        <f>VLOOKUP(F3097,[1]完整分类结果!$E:$G,3,0)</f>
        <v>普通机械制造业</v>
      </c>
      <c r="J3097" s="16">
        <f>VLOOKUP(I3097,[2]行业排放因子!$A:$B,2,0)</f>
        <v>9.6615781889079599</v>
      </c>
      <c r="K3097" s="9" t="s">
        <v>756</v>
      </c>
    </row>
    <row r="3098" spans="1:11" ht="12.5" customHeight="1" x14ac:dyDescent="0.25">
      <c r="A3098" s="5" t="s">
        <v>11726</v>
      </c>
      <c r="B3098" s="6" t="s">
        <v>7578</v>
      </c>
      <c r="C3098" s="6" t="s">
        <v>11229</v>
      </c>
      <c r="D3098" s="6" t="s">
        <v>11694</v>
      </c>
      <c r="E3098" s="6" t="s">
        <v>11727</v>
      </c>
      <c r="F3098" s="6" t="s">
        <v>11728</v>
      </c>
      <c r="G3098" s="9" t="s">
        <v>11729</v>
      </c>
      <c r="H3098" s="9" t="s">
        <v>18</v>
      </c>
      <c r="I3098" s="16" t="str">
        <f>VLOOKUP(F3098,[1]完整分类结果!$E:$G,3,0)</f>
        <v>普通机械制造业</v>
      </c>
      <c r="J3098" s="16">
        <f>VLOOKUP(I3098,[2]行业排放因子!$A:$B,2,0)</f>
        <v>9.6615781889079599</v>
      </c>
      <c r="K3098" s="9" t="s">
        <v>756</v>
      </c>
    </row>
    <row r="3099" spans="1:11" ht="12.5" customHeight="1" x14ac:dyDescent="0.25">
      <c r="A3099" s="5" t="s">
        <v>11730</v>
      </c>
      <c r="B3099" s="6" t="s">
        <v>7578</v>
      </c>
      <c r="C3099" s="6" t="s">
        <v>11229</v>
      </c>
      <c r="D3099" s="6" t="s">
        <v>11731</v>
      </c>
      <c r="E3099" s="6" t="s">
        <v>11732</v>
      </c>
      <c r="F3099" s="6" t="s">
        <v>11733</v>
      </c>
      <c r="G3099" s="9" t="s">
        <v>11734</v>
      </c>
      <c r="H3099" s="9" t="s">
        <v>18</v>
      </c>
      <c r="I3099" s="16" t="str">
        <f>VLOOKUP(F3099,[1]完整分类结果!$E:$G,3,0)</f>
        <v>仪器仪表及文化、办公用机械制造业</v>
      </c>
      <c r="J3099" s="16">
        <f>VLOOKUP(I3099,[2]行业排放因子!$A:$B,2,0)</f>
        <v>0.32872585603058302</v>
      </c>
      <c r="K3099" s="9" t="s">
        <v>756</v>
      </c>
    </row>
    <row r="3100" spans="1:11" ht="12.5" customHeight="1" x14ac:dyDescent="0.25">
      <c r="A3100" s="5" t="s">
        <v>11735</v>
      </c>
      <c r="B3100" s="6" t="s">
        <v>7578</v>
      </c>
      <c r="C3100" s="6" t="s">
        <v>11229</v>
      </c>
      <c r="D3100" s="6" t="s">
        <v>11731</v>
      </c>
      <c r="E3100" s="6" t="s">
        <v>11736</v>
      </c>
      <c r="F3100" s="6" t="s">
        <v>11737</v>
      </c>
      <c r="G3100" s="9" t="s">
        <v>11738</v>
      </c>
      <c r="H3100" s="9" t="s">
        <v>18</v>
      </c>
      <c r="I3100" s="16" t="str">
        <f>VLOOKUP(F3100,[1]完整分类结果!$E:$G,3,0)</f>
        <v>仪器仪表及文化、办公用机械制造业</v>
      </c>
      <c r="J3100" s="16">
        <f>VLOOKUP(I3100,[2]行业排放因子!$A:$B,2,0)</f>
        <v>0.32872585603058302</v>
      </c>
      <c r="K3100" s="9" t="s">
        <v>756</v>
      </c>
    </row>
    <row r="3101" spans="1:11" ht="12.5" customHeight="1" x14ac:dyDescent="0.25">
      <c r="A3101" s="5" t="s">
        <v>11739</v>
      </c>
      <c r="B3101" s="6" t="s">
        <v>7578</v>
      </c>
      <c r="C3101" s="6" t="s">
        <v>11229</v>
      </c>
      <c r="D3101" s="6" t="s">
        <v>11731</v>
      </c>
      <c r="E3101" s="6" t="s">
        <v>11740</v>
      </c>
      <c r="F3101" s="6" t="s">
        <v>11741</v>
      </c>
      <c r="G3101" s="9" t="s">
        <v>11742</v>
      </c>
      <c r="H3101" s="9" t="s">
        <v>18</v>
      </c>
      <c r="I3101" s="16" t="str">
        <f>VLOOKUP(F3101,[1]完整分类结果!$E:$G,3,0)</f>
        <v>仪器仪表及文化、办公用机械制造业</v>
      </c>
      <c r="J3101" s="16">
        <f>VLOOKUP(I3101,[2]行业排放因子!$A:$B,2,0)</f>
        <v>0.32872585603058302</v>
      </c>
      <c r="K3101" s="9" t="s">
        <v>756</v>
      </c>
    </row>
    <row r="3102" spans="1:11" ht="12.5" customHeight="1" x14ac:dyDescent="0.25">
      <c r="A3102" s="5" t="s">
        <v>11743</v>
      </c>
      <c r="B3102" s="6" t="s">
        <v>7578</v>
      </c>
      <c r="C3102" s="6" t="s">
        <v>11229</v>
      </c>
      <c r="D3102" s="6" t="s">
        <v>11731</v>
      </c>
      <c r="E3102" s="6" t="s">
        <v>11744</v>
      </c>
      <c r="F3102" s="6" t="s">
        <v>11745</v>
      </c>
      <c r="G3102" s="9" t="s">
        <v>11746</v>
      </c>
      <c r="H3102" s="9" t="s">
        <v>18</v>
      </c>
      <c r="I3102" s="16" t="str">
        <f>VLOOKUP(F3102,[1]完整分类结果!$E:$G,3,0)</f>
        <v>仪器仪表及文化、办公用机械制造业</v>
      </c>
      <c r="J3102" s="16">
        <f>VLOOKUP(I3102,[2]行业排放因子!$A:$B,2,0)</f>
        <v>0.32872585603058302</v>
      </c>
      <c r="K3102" s="9" t="s">
        <v>756</v>
      </c>
    </row>
    <row r="3103" spans="1:11" ht="12.5" customHeight="1" x14ac:dyDescent="0.25">
      <c r="A3103" s="5" t="s">
        <v>11747</v>
      </c>
      <c r="B3103" s="6" t="s">
        <v>7578</v>
      </c>
      <c r="C3103" s="6" t="s">
        <v>11229</v>
      </c>
      <c r="D3103" s="6" t="s">
        <v>11731</v>
      </c>
      <c r="E3103" s="6" t="s">
        <v>11748</v>
      </c>
      <c r="F3103" s="6" t="s">
        <v>11749</v>
      </c>
      <c r="G3103" s="9" t="s">
        <v>11750</v>
      </c>
      <c r="H3103" s="9" t="s">
        <v>18</v>
      </c>
      <c r="I3103" s="16" t="str">
        <f>VLOOKUP(F3103,[1]完整分类结果!$E:$G,3,0)</f>
        <v>仪器仪表及文化、办公用机械制造业</v>
      </c>
      <c r="J3103" s="16">
        <f>VLOOKUP(I3103,[2]行业排放因子!$A:$B,2,0)</f>
        <v>0.32872585603058302</v>
      </c>
      <c r="K3103" s="9" t="s">
        <v>756</v>
      </c>
    </row>
    <row r="3104" spans="1:11" ht="12.5" customHeight="1" x14ac:dyDescent="0.25">
      <c r="A3104" s="5" t="s">
        <v>11751</v>
      </c>
      <c r="B3104" s="6" t="s">
        <v>7578</v>
      </c>
      <c r="C3104" s="6" t="s">
        <v>11229</v>
      </c>
      <c r="D3104" s="6" t="s">
        <v>11731</v>
      </c>
      <c r="E3104" s="6" t="s">
        <v>11752</v>
      </c>
      <c r="F3104" s="6" t="s">
        <v>11753</v>
      </c>
      <c r="G3104" s="9" t="s">
        <v>11754</v>
      </c>
      <c r="H3104" s="9" t="s">
        <v>18</v>
      </c>
      <c r="I3104" s="16" t="str">
        <f>VLOOKUP(F3104,[1]完整分类结果!$E:$G,3,0)</f>
        <v>仪器仪表及文化、办公用机械制造业</v>
      </c>
      <c r="J3104" s="16">
        <f>VLOOKUP(I3104,[2]行业排放因子!$A:$B,2,0)</f>
        <v>0.32872585603058302</v>
      </c>
      <c r="K3104" s="9" t="s">
        <v>756</v>
      </c>
    </row>
    <row r="3105" spans="1:11" ht="12.5" customHeight="1" x14ac:dyDescent="0.25">
      <c r="A3105" s="5" t="s">
        <v>11755</v>
      </c>
      <c r="B3105" s="6" t="s">
        <v>7578</v>
      </c>
      <c r="C3105" s="6" t="s">
        <v>11229</v>
      </c>
      <c r="D3105" s="6" t="s">
        <v>11731</v>
      </c>
      <c r="E3105" s="6" t="s">
        <v>11756</v>
      </c>
      <c r="F3105" s="6" t="s">
        <v>11757</v>
      </c>
      <c r="G3105" s="9"/>
      <c r="H3105" s="9" t="s">
        <v>18</v>
      </c>
      <c r="I3105" s="16" t="str">
        <f>VLOOKUP(F3105,[1]完整分类结果!$E:$G,3,0)</f>
        <v>仪器仪表及文化、办公用机械制造业</v>
      </c>
      <c r="J3105" s="16">
        <f>VLOOKUP(I3105,[2]行业排放因子!$A:$B,2,0)</f>
        <v>0.32872585603058302</v>
      </c>
      <c r="K3105" s="9" t="s">
        <v>756</v>
      </c>
    </row>
    <row r="3106" spans="1:11" ht="12.5" customHeight="1" x14ac:dyDescent="0.25">
      <c r="A3106" s="5" t="s">
        <v>11758</v>
      </c>
      <c r="B3106" s="6" t="s">
        <v>7578</v>
      </c>
      <c r="C3106" s="6" t="s">
        <v>11229</v>
      </c>
      <c r="D3106" s="6" t="s">
        <v>11731</v>
      </c>
      <c r="E3106" s="6" t="s">
        <v>11759</v>
      </c>
      <c r="F3106" s="6" t="s">
        <v>11760</v>
      </c>
      <c r="G3106" s="9" t="s">
        <v>11761</v>
      </c>
      <c r="H3106" s="9" t="s">
        <v>18</v>
      </c>
      <c r="I3106" s="16" t="str">
        <f>VLOOKUP(F3106,[1]完整分类结果!$E:$G,3,0)</f>
        <v>仪器仪表及文化、办公用机械制造业</v>
      </c>
      <c r="J3106" s="16">
        <f>VLOOKUP(I3106,[2]行业排放因子!$A:$B,2,0)</f>
        <v>0.32872585603058302</v>
      </c>
      <c r="K3106" s="9" t="s">
        <v>756</v>
      </c>
    </row>
    <row r="3107" spans="1:11" ht="12.5" customHeight="1" x14ac:dyDescent="0.25">
      <c r="A3107" s="5" t="s">
        <v>11762</v>
      </c>
      <c r="B3107" s="6" t="s">
        <v>7578</v>
      </c>
      <c r="C3107" s="6" t="s">
        <v>11229</v>
      </c>
      <c r="D3107" s="6" t="s">
        <v>11763</v>
      </c>
      <c r="E3107" s="6" t="s">
        <v>11764</v>
      </c>
      <c r="F3107" s="6" t="s">
        <v>11765</v>
      </c>
      <c r="G3107" s="9" t="s">
        <v>11766</v>
      </c>
      <c r="H3107" s="9" t="s">
        <v>18</v>
      </c>
      <c r="I3107" s="16" t="str">
        <f>VLOOKUP(F3107,[1]完整分类结果!$E:$G,3,0)</f>
        <v>普通机械制造业</v>
      </c>
      <c r="J3107" s="16">
        <f>VLOOKUP(I3107,[2]行业排放因子!$A:$B,2,0)</f>
        <v>9.6615781889079599</v>
      </c>
      <c r="K3107" s="9" t="s">
        <v>756</v>
      </c>
    </row>
    <row r="3108" spans="1:11" ht="12.5" customHeight="1" x14ac:dyDescent="0.25">
      <c r="A3108" s="5" t="s">
        <v>11767</v>
      </c>
      <c r="B3108" s="6" t="s">
        <v>7578</v>
      </c>
      <c r="C3108" s="6" t="s">
        <v>11229</v>
      </c>
      <c r="D3108" s="6" t="s">
        <v>11763</v>
      </c>
      <c r="E3108" s="6" t="s">
        <v>11768</v>
      </c>
      <c r="F3108" s="6" t="s">
        <v>11769</v>
      </c>
      <c r="G3108" s="9" t="s">
        <v>11770</v>
      </c>
      <c r="H3108" s="9" t="s">
        <v>18</v>
      </c>
      <c r="I3108" s="16" t="str">
        <f>VLOOKUP(F3108,[1]完整分类结果!$E:$G,3,0)</f>
        <v>普通机械制造业</v>
      </c>
      <c r="J3108" s="16">
        <f>VLOOKUP(I3108,[2]行业排放因子!$A:$B,2,0)</f>
        <v>9.6615781889079599</v>
      </c>
      <c r="K3108" s="9" t="s">
        <v>756</v>
      </c>
    </row>
    <row r="3109" spans="1:11" ht="12.5" customHeight="1" x14ac:dyDescent="0.25">
      <c r="A3109" s="5" t="s">
        <v>11771</v>
      </c>
      <c r="B3109" s="6" t="s">
        <v>7578</v>
      </c>
      <c r="C3109" s="6" t="s">
        <v>11229</v>
      </c>
      <c r="D3109" s="6" t="s">
        <v>11763</v>
      </c>
      <c r="E3109" s="6" t="s">
        <v>11772</v>
      </c>
      <c r="F3109" s="6" t="s">
        <v>11773</v>
      </c>
      <c r="G3109" s="9" t="s">
        <v>11774</v>
      </c>
      <c r="H3109" s="9" t="s">
        <v>18</v>
      </c>
      <c r="I3109" s="16" t="str">
        <f>VLOOKUP(F3109,[1]完整分类结果!$E:$G,3,0)</f>
        <v>普通机械制造业</v>
      </c>
      <c r="J3109" s="16">
        <f>VLOOKUP(I3109,[2]行业排放因子!$A:$B,2,0)</f>
        <v>9.6615781889079599</v>
      </c>
      <c r="K3109" s="9" t="s">
        <v>756</v>
      </c>
    </row>
    <row r="3110" spans="1:11" ht="12.5" customHeight="1" x14ac:dyDescent="0.25">
      <c r="A3110" s="5" t="s">
        <v>11775</v>
      </c>
      <c r="B3110" s="6" t="s">
        <v>7578</v>
      </c>
      <c r="C3110" s="6" t="s">
        <v>11229</v>
      </c>
      <c r="D3110" s="6" t="s">
        <v>11763</v>
      </c>
      <c r="E3110" s="6" t="s">
        <v>11776</v>
      </c>
      <c r="F3110" s="6" t="s">
        <v>11777</v>
      </c>
      <c r="G3110" s="9" t="s">
        <v>11778</v>
      </c>
      <c r="H3110" s="9" t="s">
        <v>18</v>
      </c>
      <c r="I3110" s="16" t="str">
        <f>VLOOKUP(F3110,[1]完整分类结果!$E:$G,3,0)</f>
        <v>普通机械制造业</v>
      </c>
      <c r="J3110" s="16">
        <f>VLOOKUP(I3110,[2]行业排放因子!$A:$B,2,0)</f>
        <v>9.6615781889079599</v>
      </c>
      <c r="K3110" s="9" t="s">
        <v>756</v>
      </c>
    </row>
    <row r="3111" spans="1:11" ht="12.5" customHeight="1" x14ac:dyDescent="0.25">
      <c r="A3111" s="5" t="s">
        <v>11779</v>
      </c>
      <c r="B3111" s="6" t="s">
        <v>7578</v>
      </c>
      <c r="C3111" s="6" t="s">
        <v>11229</v>
      </c>
      <c r="D3111" s="6" t="s">
        <v>11780</v>
      </c>
      <c r="E3111" s="6" t="s">
        <v>11781</v>
      </c>
      <c r="F3111" s="6" t="s">
        <v>11782</v>
      </c>
      <c r="G3111" s="9" t="s">
        <v>11783</v>
      </c>
      <c r="H3111" s="9" t="s">
        <v>18</v>
      </c>
      <c r="I3111" s="16" t="str">
        <f>VLOOKUP(F3111,[1]完整分类结果!$E:$G,3,0)</f>
        <v>普通机械制造业</v>
      </c>
      <c r="J3111" s="16">
        <f>VLOOKUP(I3111,[2]行业排放因子!$A:$B,2,0)</f>
        <v>9.6615781889079599</v>
      </c>
      <c r="K3111" s="9" t="s">
        <v>756</v>
      </c>
    </row>
    <row r="3112" spans="1:11" ht="12.5" customHeight="1" x14ac:dyDescent="0.25">
      <c r="A3112" s="5" t="s">
        <v>11784</v>
      </c>
      <c r="B3112" s="6" t="s">
        <v>7578</v>
      </c>
      <c r="C3112" s="6" t="s">
        <v>11229</v>
      </c>
      <c r="D3112" s="6" t="s">
        <v>11780</v>
      </c>
      <c r="E3112" s="6" t="s">
        <v>11785</v>
      </c>
      <c r="F3112" s="6" t="s">
        <v>11786</v>
      </c>
      <c r="G3112" s="9" t="s">
        <v>11787</v>
      </c>
      <c r="H3112" s="9" t="s">
        <v>18</v>
      </c>
      <c r="I3112" s="16" t="str">
        <f>VLOOKUP(F3112,[1]完整分类结果!$E:$G,3,0)</f>
        <v>普通机械制造业</v>
      </c>
      <c r="J3112" s="16">
        <f>VLOOKUP(I3112,[2]行业排放因子!$A:$B,2,0)</f>
        <v>9.6615781889079599</v>
      </c>
      <c r="K3112" s="9" t="s">
        <v>756</v>
      </c>
    </row>
    <row r="3113" spans="1:11" ht="12.5" customHeight="1" x14ac:dyDescent="0.25">
      <c r="A3113" s="5" t="s">
        <v>11788</v>
      </c>
      <c r="B3113" s="6" t="s">
        <v>7578</v>
      </c>
      <c r="C3113" s="6" t="s">
        <v>11229</v>
      </c>
      <c r="D3113" s="6" t="s">
        <v>11780</v>
      </c>
      <c r="E3113" s="6" t="s">
        <v>11789</v>
      </c>
      <c r="F3113" s="6" t="s">
        <v>11790</v>
      </c>
      <c r="G3113" s="9" t="s">
        <v>11791</v>
      </c>
      <c r="H3113" s="9" t="s">
        <v>18</v>
      </c>
      <c r="I3113" s="16" t="str">
        <f>VLOOKUP(F3113,[1]完整分类结果!$E:$G,3,0)</f>
        <v>普通机械制造业</v>
      </c>
      <c r="J3113" s="16">
        <f>VLOOKUP(I3113,[2]行业排放因子!$A:$B,2,0)</f>
        <v>9.6615781889079599</v>
      </c>
      <c r="K3113" s="9" t="s">
        <v>756</v>
      </c>
    </row>
    <row r="3114" spans="1:11" ht="12.5" customHeight="1" x14ac:dyDescent="0.25">
      <c r="A3114" s="5" t="s">
        <v>11792</v>
      </c>
      <c r="B3114" s="6" t="s">
        <v>7578</v>
      </c>
      <c r="C3114" s="6" t="s">
        <v>11229</v>
      </c>
      <c r="D3114" s="6" t="s">
        <v>11780</v>
      </c>
      <c r="E3114" s="6" t="s">
        <v>11793</v>
      </c>
      <c r="F3114" s="6" t="s">
        <v>11794</v>
      </c>
      <c r="G3114" s="9" t="s">
        <v>11795</v>
      </c>
      <c r="H3114" s="9" t="s">
        <v>18</v>
      </c>
      <c r="I3114" s="16" t="str">
        <f>VLOOKUP(F3114,[1]完整分类结果!$E:$G,3,0)</f>
        <v>普通机械制造业</v>
      </c>
      <c r="J3114" s="16">
        <f>VLOOKUP(I3114,[2]行业排放因子!$A:$B,2,0)</f>
        <v>9.6615781889079599</v>
      </c>
      <c r="K3114" s="9" t="s">
        <v>756</v>
      </c>
    </row>
    <row r="3115" spans="1:11" ht="12.5" customHeight="1" x14ac:dyDescent="0.25">
      <c r="A3115" s="5" t="s">
        <v>11796</v>
      </c>
      <c r="B3115" s="6" t="s">
        <v>7578</v>
      </c>
      <c r="C3115" s="6" t="s">
        <v>11229</v>
      </c>
      <c r="D3115" s="6" t="s">
        <v>11780</v>
      </c>
      <c r="E3115" s="6" t="s">
        <v>11797</v>
      </c>
      <c r="F3115" s="6" t="s">
        <v>11798</v>
      </c>
      <c r="G3115" s="9" t="s">
        <v>11799</v>
      </c>
      <c r="H3115" s="9" t="s">
        <v>18</v>
      </c>
      <c r="I3115" s="16" t="str">
        <f>VLOOKUP(F3115,[1]完整分类结果!$E:$G,3,0)</f>
        <v>普通机械制造业</v>
      </c>
      <c r="J3115" s="16">
        <f>VLOOKUP(I3115,[2]行业排放因子!$A:$B,2,0)</f>
        <v>9.6615781889079599</v>
      </c>
      <c r="K3115" s="9" t="s">
        <v>756</v>
      </c>
    </row>
    <row r="3116" spans="1:11" ht="12.5" customHeight="1" x14ac:dyDescent="0.25">
      <c r="A3116" s="5" t="s">
        <v>11800</v>
      </c>
      <c r="B3116" s="6" t="s">
        <v>7578</v>
      </c>
      <c r="C3116" s="6" t="s">
        <v>11229</v>
      </c>
      <c r="D3116" s="6" t="s">
        <v>11801</v>
      </c>
      <c r="E3116" s="6" t="s">
        <v>11802</v>
      </c>
      <c r="F3116" s="6" t="s">
        <v>11803</v>
      </c>
      <c r="G3116" s="9" t="s">
        <v>11804</v>
      </c>
      <c r="H3116" s="9" t="s">
        <v>18</v>
      </c>
      <c r="I3116" s="16" t="str">
        <f>VLOOKUP(F3116,[1]完整分类结果!$E:$G,3,0)</f>
        <v>普通机械制造业</v>
      </c>
      <c r="J3116" s="16">
        <f>VLOOKUP(I3116,[2]行业排放因子!$A:$B,2,0)</f>
        <v>9.6615781889079599</v>
      </c>
      <c r="K3116" s="9" t="s">
        <v>756</v>
      </c>
    </row>
    <row r="3117" spans="1:11" ht="12.5" customHeight="1" x14ac:dyDescent="0.25">
      <c r="A3117" s="5" t="s">
        <v>11805</v>
      </c>
      <c r="B3117" s="6" t="s">
        <v>7578</v>
      </c>
      <c r="C3117" s="6" t="s">
        <v>11229</v>
      </c>
      <c r="D3117" s="6" t="s">
        <v>11801</v>
      </c>
      <c r="E3117" s="6" t="s">
        <v>11806</v>
      </c>
      <c r="F3117" s="6" t="s">
        <v>11807</v>
      </c>
      <c r="G3117" s="9" t="s">
        <v>11808</v>
      </c>
      <c r="H3117" s="9" t="s">
        <v>18</v>
      </c>
      <c r="I3117" s="16" t="str">
        <f>VLOOKUP(F3117,[1]完整分类结果!$E:$G,3,0)</f>
        <v>普通机械制造业</v>
      </c>
      <c r="J3117" s="16">
        <f>VLOOKUP(I3117,[2]行业排放因子!$A:$B,2,0)</f>
        <v>9.6615781889079599</v>
      </c>
      <c r="K3117" s="9" t="s">
        <v>756</v>
      </c>
    </row>
    <row r="3118" spans="1:11" ht="12.5" customHeight="1" x14ac:dyDescent="0.25">
      <c r="A3118" s="5" t="s">
        <v>11809</v>
      </c>
      <c r="B3118" s="6" t="s">
        <v>7578</v>
      </c>
      <c r="C3118" s="6" t="s">
        <v>11229</v>
      </c>
      <c r="D3118" s="6" t="s">
        <v>11801</v>
      </c>
      <c r="E3118" s="6" t="s">
        <v>11810</v>
      </c>
      <c r="F3118" s="6" t="s">
        <v>11811</v>
      </c>
      <c r="G3118" s="9" t="s">
        <v>11812</v>
      </c>
      <c r="H3118" s="9" t="s">
        <v>18</v>
      </c>
      <c r="I3118" s="16" t="str">
        <f>VLOOKUP(F3118,[1]完整分类结果!$E:$G,3,0)</f>
        <v>普通机械制造业</v>
      </c>
      <c r="J3118" s="16">
        <f>VLOOKUP(I3118,[2]行业排放因子!$A:$B,2,0)</f>
        <v>9.6615781889079599</v>
      </c>
      <c r="K3118" s="9" t="s">
        <v>756</v>
      </c>
    </row>
    <row r="3119" spans="1:11" ht="12.5" customHeight="1" x14ac:dyDescent="0.25">
      <c r="A3119" s="5" t="s">
        <v>11813</v>
      </c>
      <c r="B3119" s="6" t="s">
        <v>7578</v>
      </c>
      <c r="C3119" s="6" t="s">
        <v>11229</v>
      </c>
      <c r="D3119" s="6" t="s">
        <v>11801</v>
      </c>
      <c r="E3119" s="6" t="s">
        <v>11814</v>
      </c>
      <c r="F3119" s="6" t="s">
        <v>11815</v>
      </c>
      <c r="G3119" s="9" t="s">
        <v>11816</v>
      </c>
      <c r="H3119" s="9" t="s">
        <v>18</v>
      </c>
      <c r="I3119" s="16" t="str">
        <f>VLOOKUP(F3119,[1]完整分类结果!$E:$G,3,0)</f>
        <v>普通机械制造业</v>
      </c>
      <c r="J3119" s="16">
        <f>VLOOKUP(I3119,[2]行业排放因子!$A:$B,2,0)</f>
        <v>9.6615781889079599</v>
      </c>
      <c r="K3119" s="9" t="s">
        <v>756</v>
      </c>
    </row>
    <row r="3120" spans="1:11" ht="12.5" customHeight="1" x14ac:dyDescent="0.25">
      <c r="A3120" s="5" t="s">
        <v>11817</v>
      </c>
      <c r="B3120" s="6" t="s">
        <v>7578</v>
      </c>
      <c r="C3120" s="6" t="s">
        <v>11229</v>
      </c>
      <c r="D3120" s="6" t="s">
        <v>11801</v>
      </c>
      <c r="E3120" s="6" t="s">
        <v>11818</v>
      </c>
      <c r="F3120" s="6" t="s">
        <v>11819</v>
      </c>
      <c r="G3120" s="9" t="s">
        <v>11820</v>
      </c>
      <c r="H3120" s="9" t="s">
        <v>18</v>
      </c>
      <c r="I3120" s="16" t="str">
        <f>VLOOKUP(F3120,[1]完整分类结果!$E:$G,3,0)</f>
        <v>普通机械制造业</v>
      </c>
      <c r="J3120" s="16">
        <f>VLOOKUP(I3120,[2]行业排放因子!$A:$B,2,0)</f>
        <v>9.6615781889079599</v>
      </c>
      <c r="K3120" s="9" t="s">
        <v>756</v>
      </c>
    </row>
    <row r="3121" spans="1:11" ht="12.5" customHeight="1" x14ac:dyDescent="0.25">
      <c r="A3121" s="5" t="s">
        <v>11821</v>
      </c>
      <c r="B3121" s="6" t="s">
        <v>7578</v>
      </c>
      <c r="C3121" s="6" t="s">
        <v>11229</v>
      </c>
      <c r="D3121" s="6" t="s">
        <v>11801</v>
      </c>
      <c r="E3121" s="6" t="s">
        <v>11822</v>
      </c>
      <c r="F3121" s="6" t="s">
        <v>11823</v>
      </c>
      <c r="G3121" s="9" t="s">
        <v>11824</v>
      </c>
      <c r="H3121" s="9" t="s">
        <v>18</v>
      </c>
      <c r="I3121" s="16" t="str">
        <f>VLOOKUP(F3121,[1]完整分类结果!$E:$G,3,0)</f>
        <v>普通机械制造业</v>
      </c>
      <c r="J3121" s="16">
        <f>VLOOKUP(I3121,[2]行业排放因子!$A:$B,2,0)</f>
        <v>9.6615781889079599</v>
      </c>
      <c r="K3121" s="9" t="s">
        <v>756</v>
      </c>
    </row>
    <row r="3122" spans="1:11" ht="12.5" customHeight="1" x14ac:dyDescent="0.25">
      <c r="A3122" s="5" t="s">
        <v>11825</v>
      </c>
      <c r="B3122" s="6" t="s">
        <v>7578</v>
      </c>
      <c r="C3122" s="6" t="s">
        <v>11229</v>
      </c>
      <c r="D3122" s="6" t="s">
        <v>11801</v>
      </c>
      <c r="E3122" s="6" t="s">
        <v>11826</v>
      </c>
      <c r="F3122" s="6" t="s">
        <v>11827</v>
      </c>
      <c r="G3122" s="9" t="s">
        <v>11828</v>
      </c>
      <c r="H3122" s="9" t="s">
        <v>18</v>
      </c>
      <c r="I3122" s="16" t="str">
        <f>VLOOKUP(F3122,[1]完整分类结果!$E:$G,3,0)</f>
        <v>普通机械制造业</v>
      </c>
      <c r="J3122" s="16">
        <f>VLOOKUP(I3122,[2]行业排放因子!$A:$B,2,0)</f>
        <v>9.6615781889079599</v>
      </c>
      <c r="K3122" s="9" t="s">
        <v>756</v>
      </c>
    </row>
    <row r="3123" spans="1:11" ht="12.5" customHeight="1" x14ac:dyDescent="0.25">
      <c r="A3123" s="5" t="s">
        <v>11829</v>
      </c>
      <c r="B3123" s="6" t="s">
        <v>7578</v>
      </c>
      <c r="C3123" s="6" t="s">
        <v>11229</v>
      </c>
      <c r="D3123" s="6" t="s">
        <v>11830</v>
      </c>
      <c r="E3123" s="6" t="s">
        <v>11831</v>
      </c>
      <c r="F3123" s="6" t="s">
        <v>11832</v>
      </c>
      <c r="G3123" s="9" t="s">
        <v>11833</v>
      </c>
      <c r="H3123" s="9" t="s">
        <v>18</v>
      </c>
      <c r="I3123" s="16" t="str">
        <f>VLOOKUP(F3123,[1]完整分类结果!$E:$G,3,0)</f>
        <v>普通机械制造业</v>
      </c>
      <c r="J3123" s="16">
        <f>VLOOKUP(I3123,[2]行业排放因子!$A:$B,2,0)</f>
        <v>9.6615781889079599</v>
      </c>
      <c r="K3123" s="9" t="s">
        <v>756</v>
      </c>
    </row>
    <row r="3124" spans="1:11" ht="12.5" customHeight="1" x14ac:dyDescent="0.25">
      <c r="A3124" s="5" t="s">
        <v>11834</v>
      </c>
      <c r="B3124" s="6" t="s">
        <v>7578</v>
      </c>
      <c r="C3124" s="6" t="s">
        <v>11229</v>
      </c>
      <c r="D3124" s="6" t="s">
        <v>11830</v>
      </c>
      <c r="E3124" s="6" t="s">
        <v>11835</v>
      </c>
      <c r="F3124" s="6" t="s">
        <v>11836</v>
      </c>
      <c r="G3124" s="9" t="s">
        <v>11837</v>
      </c>
      <c r="H3124" s="9" t="s">
        <v>18</v>
      </c>
      <c r="I3124" s="16" t="str">
        <f>VLOOKUP(F3124,[1]完整分类结果!$E:$G,3,0)</f>
        <v>普通机械制造业</v>
      </c>
      <c r="J3124" s="16">
        <f>VLOOKUP(I3124,[2]行业排放因子!$A:$B,2,0)</f>
        <v>9.6615781889079599</v>
      </c>
      <c r="K3124" s="9" t="s">
        <v>756</v>
      </c>
    </row>
    <row r="3125" spans="1:11" ht="12.5" customHeight="1" x14ac:dyDescent="0.25">
      <c r="A3125" s="5" t="s">
        <v>11838</v>
      </c>
      <c r="B3125" s="6" t="s">
        <v>7578</v>
      </c>
      <c r="C3125" s="6" t="s">
        <v>11229</v>
      </c>
      <c r="D3125" s="6" t="s">
        <v>11830</v>
      </c>
      <c r="E3125" s="6" t="s">
        <v>11839</v>
      </c>
      <c r="F3125" s="6" t="s">
        <v>11840</v>
      </c>
      <c r="G3125" s="9"/>
      <c r="H3125" s="9" t="s">
        <v>18</v>
      </c>
      <c r="I3125" s="16" t="str">
        <f>VLOOKUP(F3125,[1]完整分类结果!$E:$G,3,0)</f>
        <v>普通机械制造业</v>
      </c>
      <c r="J3125" s="16">
        <f>VLOOKUP(I3125,[2]行业排放因子!$A:$B,2,0)</f>
        <v>9.6615781889079599</v>
      </c>
      <c r="K3125" s="9" t="s">
        <v>756</v>
      </c>
    </row>
    <row r="3126" spans="1:11" ht="12.5" customHeight="1" x14ac:dyDescent="0.25">
      <c r="A3126" s="5" t="s">
        <v>11841</v>
      </c>
      <c r="B3126" s="6" t="s">
        <v>7578</v>
      </c>
      <c r="C3126" s="6" t="s">
        <v>11229</v>
      </c>
      <c r="D3126" s="6" t="s">
        <v>11842</v>
      </c>
      <c r="E3126" s="6" t="s">
        <v>11843</v>
      </c>
      <c r="F3126" s="6" t="s">
        <v>11844</v>
      </c>
      <c r="G3126" s="9" t="s">
        <v>11845</v>
      </c>
      <c r="H3126" s="9" t="s">
        <v>18</v>
      </c>
      <c r="I3126" s="16" t="str">
        <f>VLOOKUP(F3126,[1]完整分类结果!$E:$G,3,0)</f>
        <v>普通机械制造业</v>
      </c>
      <c r="J3126" s="16">
        <f>VLOOKUP(I3126,[2]行业排放因子!$A:$B,2,0)</f>
        <v>9.6615781889079599</v>
      </c>
      <c r="K3126" s="9" t="s">
        <v>756</v>
      </c>
    </row>
    <row r="3127" spans="1:11" ht="12.5" customHeight="1" x14ac:dyDescent="0.25">
      <c r="A3127" s="5" t="s">
        <v>11846</v>
      </c>
      <c r="B3127" s="6" t="s">
        <v>7578</v>
      </c>
      <c r="C3127" s="6" t="s">
        <v>11229</v>
      </c>
      <c r="D3127" s="6" t="s">
        <v>11842</v>
      </c>
      <c r="E3127" s="6" t="s">
        <v>11847</v>
      </c>
      <c r="F3127" s="6" t="s">
        <v>11848</v>
      </c>
      <c r="G3127" s="9" t="s">
        <v>11849</v>
      </c>
      <c r="H3127" s="9" t="s">
        <v>18</v>
      </c>
      <c r="I3127" s="16" t="str">
        <f>VLOOKUP(F3127,[1]完整分类结果!$E:$G,3,0)</f>
        <v>普通机械制造业</v>
      </c>
      <c r="J3127" s="16">
        <f>VLOOKUP(I3127,[2]行业排放因子!$A:$B,2,0)</f>
        <v>9.6615781889079599</v>
      </c>
      <c r="K3127" s="9" t="s">
        <v>756</v>
      </c>
    </row>
    <row r="3128" spans="1:11" ht="12.5" customHeight="1" x14ac:dyDescent="0.25">
      <c r="A3128" s="5" t="s">
        <v>11850</v>
      </c>
      <c r="B3128" s="6" t="s">
        <v>7578</v>
      </c>
      <c r="C3128" s="6" t="s">
        <v>11229</v>
      </c>
      <c r="D3128" s="6" t="s">
        <v>11842</v>
      </c>
      <c r="E3128" s="6" t="s">
        <v>11851</v>
      </c>
      <c r="F3128" s="6" t="s">
        <v>11852</v>
      </c>
      <c r="G3128" s="9" t="s">
        <v>11853</v>
      </c>
      <c r="H3128" s="9" t="s">
        <v>18</v>
      </c>
      <c r="I3128" s="16" t="str">
        <f>VLOOKUP(F3128,[1]完整分类结果!$E:$G,3,0)</f>
        <v>普通机械制造业</v>
      </c>
      <c r="J3128" s="16">
        <f>VLOOKUP(I3128,[2]行业排放因子!$A:$B,2,0)</f>
        <v>9.6615781889079599</v>
      </c>
      <c r="K3128" s="9" t="s">
        <v>756</v>
      </c>
    </row>
    <row r="3129" spans="1:11" ht="12.5" customHeight="1" x14ac:dyDescent="0.25">
      <c r="A3129" s="5" t="s">
        <v>11854</v>
      </c>
      <c r="B3129" s="6" t="s">
        <v>7578</v>
      </c>
      <c r="C3129" s="6" t="s">
        <v>11229</v>
      </c>
      <c r="D3129" s="6" t="s">
        <v>11842</v>
      </c>
      <c r="E3129" s="6" t="s">
        <v>11855</v>
      </c>
      <c r="F3129" s="6" t="s">
        <v>11856</v>
      </c>
      <c r="G3129" s="9" t="s">
        <v>11857</v>
      </c>
      <c r="H3129" s="9" t="s">
        <v>18</v>
      </c>
      <c r="I3129" s="16" t="str">
        <f>VLOOKUP(F3129,[1]完整分类结果!$E:$G,3,0)</f>
        <v>普通机械制造业</v>
      </c>
      <c r="J3129" s="16">
        <f>VLOOKUP(I3129,[2]行业排放因子!$A:$B,2,0)</f>
        <v>9.6615781889079599</v>
      </c>
      <c r="K3129" s="9" t="s">
        <v>756</v>
      </c>
    </row>
    <row r="3130" spans="1:11" ht="12.5" customHeight="1" x14ac:dyDescent="0.25">
      <c r="A3130" s="5" t="s">
        <v>11858</v>
      </c>
      <c r="B3130" s="6" t="s">
        <v>7578</v>
      </c>
      <c r="C3130" s="6" t="s">
        <v>11229</v>
      </c>
      <c r="D3130" s="6" t="s">
        <v>11842</v>
      </c>
      <c r="E3130" s="6" t="s">
        <v>11859</v>
      </c>
      <c r="F3130" s="6" t="s">
        <v>11860</v>
      </c>
      <c r="G3130" s="9"/>
      <c r="H3130" s="9" t="s">
        <v>18</v>
      </c>
      <c r="I3130" s="16" t="str">
        <f>VLOOKUP(F3130,[1]完整分类结果!$E:$G,3,0)</f>
        <v>普通机械制造业</v>
      </c>
      <c r="J3130" s="16">
        <f>VLOOKUP(I3130,[2]行业排放因子!$A:$B,2,0)</f>
        <v>9.6615781889079599</v>
      </c>
      <c r="K3130" s="9" t="s">
        <v>756</v>
      </c>
    </row>
    <row r="3131" spans="1:11" ht="12.5" customHeight="1" x14ac:dyDescent="0.25">
      <c r="A3131" s="5" t="s">
        <v>11861</v>
      </c>
      <c r="B3131" s="6" t="s">
        <v>7578</v>
      </c>
      <c r="C3131" s="6" t="s">
        <v>11229</v>
      </c>
      <c r="D3131" s="6" t="s">
        <v>11862</v>
      </c>
      <c r="E3131" s="6" t="s">
        <v>11863</v>
      </c>
      <c r="F3131" s="6" t="s">
        <v>11862</v>
      </c>
      <c r="G3131" s="9"/>
      <c r="H3131" s="9" t="s">
        <v>18</v>
      </c>
      <c r="I3131" s="16" t="str">
        <f>VLOOKUP(F3131,[1]完整分类结果!$E:$G,3,0)</f>
        <v>普通机械制造业</v>
      </c>
      <c r="J3131" s="16">
        <f>VLOOKUP(I3131,[2]行业排放因子!$A:$B,2,0)</f>
        <v>9.6615781889079599</v>
      </c>
      <c r="K3131" s="9" t="s">
        <v>756</v>
      </c>
    </row>
    <row r="3132" spans="1:11" ht="12.5" customHeight="1" x14ac:dyDescent="0.25">
      <c r="A3132" s="5" t="s">
        <v>11864</v>
      </c>
      <c r="B3132" s="6" t="s">
        <v>7578</v>
      </c>
      <c r="C3132" s="6" t="s">
        <v>11229</v>
      </c>
      <c r="D3132" s="6" t="s">
        <v>11865</v>
      </c>
      <c r="E3132" s="6" t="s">
        <v>11866</v>
      </c>
      <c r="F3132" s="6" t="s">
        <v>11865</v>
      </c>
      <c r="G3132" s="9"/>
      <c r="H3132" s="9" t="s">
        <v>18</v>
      </c>
      <c r="I3132" s="16" t="str">
        <f>VLOOKUP(F3132,[1]完整分类结果!$E:$G,3,0)</f>
        <v>普通机械制造业</v>
      </c>
      <c r="J3132" s="16">
        <f>VLOOKUP(I3132,[2]行业排放因子!$A:$B,2,0)</f>
        <v>9.6615781889079599</v>
      </c>
      <c r="K3132" s="9" t="s">
        <v>756</v>
      </c>
    </row>
    <row r="3133" spans="1:11" ht="12.5" customHeight="1" x14ac:dyDescent="0.25">
      <c r="A3133" s="5" t="s">
        <v>11867</v>
      </c>
      <c r="B3133" s="6" t="s">
        <v>7578</v>
      </c>
      <c r="C3133" s="6" t="s">
        <v>11229</v>
      </c>
      <c r="D3133" s="6" t="s">
        <v>11868</v>
      </c>
      <c r="E3133" s="6" t="s">
        <v>11869</v>
      </c>
      <c r="F3133" s="6" t="s">
        <v>11870</v>
      </c>
      <c r="G3133" s="9"/>
      <c r="H3133" s="9" t="s">
        <v>18</v>
      </c>
      <c r="I3133" s="16" t="str">
        <f>VLOOKUP(F3133,[1]完整分类结果!$E:$G,3,0)</f>
        <v>普通机械制造业</v>
      </c>
      <c r="J3133" s="16">
        <f>VLOOKUP(I3133,[2]行业排放因子!$A:$B,2,0)</f>
        <v>9.6615781889079599</v>
      </c>
      <c r="K3133" s="9" t="s">
        <v>756</v>
      </c>
    </row>
    <row r="3134" spans="1:11" ht="12.5" customHeight="1" x14ac:dyDescent="0.25">
      <c r="A3134" s="5" t="s">
        <v>11871</v>
      </c>
      <c r="B3134" s="6" t="s">
        <v>7578</v>
      </c>
      <c r="C3134" s="6" t="s">
        <v>11229</v>
      </c>
      <c r="D3134" s="6" t="s">
        <v>11868</v>
      </c>
      <c r="E3134" s="6" t="s">
        <v>11872</v>
      </c>
      <c r="F3134" s="6" t="s">
        <v>11873</v>
      </c>
      <c r="G3134" s="9" t="s">
        <v>11874</v>
      </c>
      <c r="H3134" s="9" t="s">
        <v>18</v>
      </c>
      <c r="I3134" s="16" t="str">
        <f>VLOOKUP(F3134,[1]完整分类结果!$E:$G,3,0)</f>
        <v>普通机械制造业</v>
      </c>
      <c r="J3134" s="16">
        <f>VLOOKUP(I3134,[2]行业排放因子!$A:$B,2,0)</f>
        <v>9.6615781889079599</v>
      </c>
      <c r="K3134" s="9" t="s">
        <v>756</v>
      </c>
    </row>
    <row r="3135" spans="1:11" ht="12.5" customHeight="1" x14ac:dyDescent="0.25">
      <c r="A3135" s="5" t="s">
        <v>11875</v>
      </c>
      <c r="B3135" s="6" t="s">
        <v>7578</v>
      </c>
      <c r="C3135" s="6" t="s">
        <v>11229</v>
      </c>
      <c r="D3135" s="6" t="s">
        <v>11876</v>
      </c>
      <c r="E3135" s="6" t="s">
        <v>11877</v>
      </c>
      <c r="F3135" s="6" t="s">
        <v>11878</v>
      </c>
      <c r="G3135" s="9" t="s">
        <v>11879</v>
      </c>
      <c r="H3135" s="9" t="s">
        <v>18</v>
      </c>
      <c r="I3135" s="16" t="str">
        <f>VLOOKUP(F3135,[1]完整分类结果!$E:$G,3,0)</f>
        <v>普通机械制造业</v>
      </c>
      <c r="J3135" s="16">
        <f>VLOOKUP(I3135,[2]行业排放因子!$A:$B,2,0)</f>
        <v>9.6615781889079599</v>
      </c>
      <c r="K3135" s="9" t="s">
        <v>756</v>
      </c>
    </row>
    <row r="3136" spans="1:11" ht="12.5" customHeight="1" x14ac:dyDescent="0.25">
      <c r="A3136" s="5" t="s">
        <v>11880</v>
      </c>
      <c r="B3136" s="6" t="s">
        <v>7578</v>
      </c>
      <c r="C3136" s="6" t="s">
        <v>11229</v>
      </c>
      <c r="D3136" s="6" t="s">
        <v>11876</v>
      </c>
      <c r="E3136" s="6" t="s">
        <v>11881</v>
      </c>
      <c r="F3136" s="6" t="s">
        <v>11882</v>
      </c>
      <c r="G3136" s="9" t="s">
        <v>11883</v>
      </c>
      <c r="H3136" s="9" t="s">
        <v>18</v>
      </c>
      <c r="I3136" s="16" t="str">
        <f>VLOOKUP(F3136,[1]完整分类结果!$E:$G,3,0)</f>
        <v>普通机械制造业</v>
      </c>
      <c r="J3136" s="16">
        <f>VLOOKUP(I3136,[2]行业排放因子!$A:$B,2,0)</f>
        <v>9.6615781889079599</v>
      </c>
      <c r="K3136" s="9" t="s">
        <v>756</v>
      </c>
    </row>
    <row r="3137" spans="1:11" ht="12.5" customHeight="1" x14ac:dyDescent="0.25">
      <c r="A3137" s="5" t="s">
        <v>11884</v>
      </c>
      <c r="B3137" s="6" t="s">
        <v>7578</v>
      </c>
      <c r="C3137" s="6" t="s">
        <v>11229</v>
      </c>
      <c r="D3137" s="6" t="s">
        <v>11876</v>
      </c>
      <c r="E3137" s="6" t="s">
        <v>11885</v>
      </c>
      <c r="F3137" s="6" t="s">
        <v>11886</v>
      </c>
      <c r="G3137" s="9" t="s">
        <v>11887</v>
      </c>
      <c r="H3137" s="9" t="s">
        <v>18</v>
      </c>
      <c r="I3137" s="16" t="str">
        <f>VLOOKUP(F3137,[1]完整分类结果!$E:$G,3,0)</f>
        <v>普通机械制造业</v>
      </c>
      <c r="J3137" s="16">
        <f>VLOOKUP(I3137,[2]行业排放因子!$A:$B,2,0)</f>
        <v>9.6615781889079599</v>
      </c>
      <c r="K3137" s="9" t="s">
        <v>756</v>
      </c>
    </row>
    <row r="3138" spans="1:11" ht="12.5" customHeight="1" x14ac:dyDescent="0.25">
      <c r="A3138" s="5" t="s">
        <v>11888</v>
      </c>
      <c r="B3138" s="6" t="s">
        <v>7578</v>
      </c>
      <c r="C3138" s="6" t="s">
        <v>11229</v>
      </c>
      <c r="D3138" s="6" t="s">
        <v>11876</v>
      </c>
      <c r="E3138" s="6" t="s">
        <v>11889</v>
      </c>
      <c r="F3138" s="6" t="s">
        <v>11890</v>
      </c>
      <c r="G3138" s="9"/>
      <c r="H3138" s="9" t="s">
        <v>18</v>
      </c>
      <c r="I3138" s="16" t="str">
        <f>VLOOKUP(F3138,[1]完整分类结果!$E:$G,3,0)</f>
        <v>普通机械制造业</v>
      </c>
      <c r="J3138" s="16">
        <f>VLOOKUP(I3138,[2]行业排放因子!$A:$B,2,0)</f>
        <v>9.6615781889079599</v>
      </c>
      <c r="K3138" s="9" t="s">
        <v>756</v>
      </c>
    </row>
    <row r="3139" spans="1:11" ht="12.5" customHeight="1" x14ac:dyDescent="0.25">
      <c r="A3139" s="5" t="s">
        <v>11891</v>
      </c>
      <c r="B3139" s="6" t="s">
        <v>7578</v>
      </c>
      <c r="C3139" s="6" t="s">
        <v>11229</v>
      </c>
      <c r="D3139" s="6" t="s">
        <v>11892</v>
      </c>
      <c r="E3139" s="6" t="s">
        <v>11893</v>
      </c>
      <c r="F3139" s="6" t="s">
        <v>11894</v>
      </c>
      <c r="G3139" s="9"/>
      <c r="H3139" s="9" t="s">
        <v>18</v>
      </c>
      <c r="I3139" s="16" t="str">
        <f>VLOOKUP(F3139,[1]完整分类结果!$E:$G,3,0)</f>
        <v>仪器仪表及文化、办公用机械制造业</v>
      </c>
      <c r="J3139" s="16">
        <f>VLOOKUP(I3139,[2]行业排放因子!$A:$B,2,0)</f>
        <v>0.32872585603058302</v>
      </c>
      <c r="K3139" s="9" t="s">
        <v>756</v>
      </c>
    </row>
    <row r="3140" spans="1:11" ht="12.5" customHeight="1" x14ac:dyDescent="0.25">
      <c r="A3140" s="5" t="s">
        <v>11895</v>
      </c>
      <c r="B3140" s="6" t="s">
        <v>7578</v>
      </c>
      <c r="C3140" s="6" t="s">
        <v>11896</v>
      </c>
      <c r="D3140" s="6" t="s">
        <v>11897</v>
      </c>
      <c r="E3140" s="6" t="s">
        <v>11898</v>
      </c>
      <c r="F3140" s="6" t="s">
        <v>11896</v>
      </c>
      <c r="G3140" s="9"/>
      <c r="H3140" s="9" t="s">
        <v>18</v>
      </c>
      <c r="I3140" s="16" t="str">
        <f>VLOOKUP(F3140,[1]完整分类结果!$E:$G,3,0)</f>
        <v>普通机械制造业</v>
      </c>
      <c r="J3140" s="16">
        <f>VLOOKUP(I3140,[2]行业排放因子!$A:$B,2,0)</f>
        <v>9.6615781889079599</v>
      </c>
      <c r="K3140" s="9" t="s">
        <v>756</v>
      </c>
    </row>
    <row r="3141" spans="1:11" ht="12.5" customHeight="1" x14ac:dyDescent="0.25">
      <c r="A3141" s="5" t="s">
        <v>11899</v>
      </c>
      <c r="B3141" s="6" t="s">
        <v>11900</v>
      </c>
      <c r="C3141" s="6" t="s">
        <v>11901</v>
      </c>
      <c r="D3141" s="6" t="s">
        <v>11902</v>
      </c>
      <c r="E3141" s="6" t="s">
        <v>11903</v>
      </c>
      <c r="F3141" s="6" t="s">
        <v>11904</v>
      </c>
      <c r="G3141" s="9" t="s">
        <v>11905</v>
      </c>
      <c r="H3141" s="9" t="s">
        <v>11906</v>
      </c>
      <c r="I3141" s="16" t="str">
        <f>VLOOKUP(F3141,[1]完整分类结果!$E:$G,3,0)</f>
        <v>电力、蒸汽、热水生产和供应业</v>
      </c>
      <c r="J3141" s="16">
        <f>VLOOKUP(I3141,[2]行业排放因子!$A:$B,2,0)</f>
        <v>5442.3377311036202</v>
      </c>
      <c r="K3141" s="9" t="s">
        <v>756</v>
      </c>
    </row>
    <row r="3142" spans="1:11" ht="12.5" customHeight="1" x14ac:dyDescent="0.25">
      <c r="A3142" s="5" t="s">
        <v>11907</v>
      </c>
      <c r="B3142" s="6" t="s">
        <v>11900</v>
      </c>
      <c r="C3142" s="6" t="s">
        <v>11901</v>
      </c>
      <c r="D3142" s="6" t="s">
        <v>11902</v>
      </c>
      <c r="E3142" s="6" t="s">
        <v>11908</v>
      </c>
      <c r="F3142" s="6" t="s">
        <v>11909</v>
      </c>
      <c r="G3142" s="9"/>
      <c r="H3142" s="9" t="s">
        <v>11906</v>
      </c>
      <c r="I3142" s="16" t="str">
        <f>VLOOKUP(F3142,[1]完整分类结果!$E:$G,3,0)</f>
        <v>电力、蒸汽、热水生产和供应业</v>
      </c>
      <c r="J3142" s="16">
        <f>VLOOKUP(I3142,[2]行业排放因子!$A:$B,2,0)</f>
        <v>5442.3377311036202</v>
      </c>
      <c r="K3142" s="9" t="s">
        <v>756</v>
      </c>
    </row>
    <row r="3143" spans="1:11" ht="12.5" customHeight="1" x14ac:dyDescent="0.25">
      <c r="A3143" s="5" t="s">
        <v>11910</v>
      </c>
      <c r="B3143" s="6" t="s">
        <v>11900</v>
      </c>
      <c r="C3143" s="6" t="s">
        <v>11901</v>
      </c>
      <c r="D3143" s="6" t="s">
        <v>11902</v>
      </c>
      <c r="E3143" s="6" t="s">
        <v>11911</v>
      </c>
      <c r="F3143" s="6" t="s">
        <v>11912</v>
      </c>
      <c r="G3143" s="9"/>
      <c r="H3143" s="9" t="s">
        <v>11906</v>
      </c>
      <c r="I3143" s="16" t="str">
        <f>VLOOKUP(F3143,[1]完整分类结果!$E:$G,3,0)</f>
        <v>电力、蒸汽、热水生产和供应业</v>
      </c>
      <c r="J3143" s="16">
        <f>VLOOKUP(I3143,[2]行业排放因子!$A:$B,2,0)</f>
        <v>5442.3377311036202</v>
      </c>
      <c r="K3143" s="9" t="s">
        <v>756</v>
      </c>
    </row>
    <row r="3144" spans="1:11" ht="12.5" customHeight="1" x14ac:dyDescent="0.25">
      <c r="A3144" s="5" t="s">
        <v>11913</v>
      </c>
      <c r="B3144" s="6" t="s">
        <v>11900</v>
      </c>
      <c r="C3144" s="6" t="s">
        <v>11901</v>
      </c>
      <c r="D3144" s="6" t="s">
        <v>11902</v>
      </c>
      <c r="E3144" s="6" t="s">
        <v>11914</v>
      </c>
      <c r="F3144" s="6" t="s">
        <v>11915</v>
      </c>
      <c r="G3144" s="9"/>
      <c r="H3144" s="9" t="s">
        <v>11906</v>
      </c>
      <c r="I3144" s="16" t="str">
        <f>VLOOKUP(F3144,[1]完整分类结果!$E:$G,3,0)</f>
        <v>电力、蒸汽、热水生产和供应业</v>
      </c>
      <c r="J3144" s="16">
        <f>VLOOKUP(I3144,[2]行业排放因子!$A:$B,2,0)</f>
        <v>5442.3377311036202</v>
      </c>
      <c r="K3144" s="9" t="s">
        <v>756</v>
      </c>
    </row>
    <row r="3145" spans="1:11" ht="12.5" customHeight="1" x14ac:dyDescent="0.25">
      <c r="A3145" s="5" t="s">
        <v>11916</v>
      </c>
      <c r="B3145" s="6" t="s">
        <v>11900</v>
      </c>
      <c r="C3145" s="6" t="s">
        <v>11901</v>
      </c>
      <c r="D3145" s="6" t="s">
        <v>11902</v>
      </c>
      <c r="E3145" s="6" t="s">
        <v>11917</v>
      </c>
      <c r="F3145" s="6" t="s">
        <v>11918</v>
      </c>
      <c r="G3145" s="9"/>
      <c r="H3145" s="9" t="s">
        <v>11906</v>
      </c>
      <c r="I3145" s="16" t="str">
        <f>VLOOKUP(F3145,[1]完整分类结果!$E:$G,3,0)</f>
        <v>电力、蒸汽、热水生产和供应业</v>
      </c>
      <c r="J3145" s="16">
        <f>VLOOKUP(I3145,[2]行业排放因子!$A:$B,2,0)</f>
        <v>5442.3377311036202</v>
      </c>
      <c r="K3145" s="9" t="s">
        <v>756</v>
      </c>
    </row>
    <row r="3146" spans="1:11" ht="12.5" customHeight="1" x14ac:dyDescent="0.25">
      <c r="A3146" s="5" t="s">
        <v>11919</v>
      </c>
      <c r="B3146" s="6" t="s">
        <v>11900</v>
      </c>
      <c r="C3146" s="6" t="s">
        <v>11901</v>
      </c>
      <c r="D3146" s="6" t="s">
        <v>11902</v>
      </c>
      <c r="E3146" s="6" t="s">
        <v>11920</v>
      </c>
      <c r="F3146" s="6" t="s">
        <v>11921</v>
      </c>
      <c r="G3146" s="9"/>
      <c r="H3146" s="9" t="s">
        <v>11906</v>
      </c>
      <c r="I3146" s="16" t="str">
        <f>VLOOKUP(F3146,[1]完整分类结果!$E:$G,3,0)</f>
        <v>电力、蒸汽、热水生产和供应业</v>
      </c>
      <c r="J3146" s="16">
        <f>VLOOKUP(I3146,[2]行业排放因子!$A:$B,2,0)</f>
        <v>5442.3377311036202</v>
      </c>
      <c r="K3146" s="9" t="s">
        <v>756</v>
      </c>
    </row>
    <row r="3147" spans="1:11" ht="12.5" customHeight="1" x14ac:dyDescent="0.25">
      <c r="A3147" s="5" t="s">
        <v>11922</v>
      </c>
      <c r="B3147" s="6" t="s">
        <v>11900</v>
      </c>
      <c r="C3147" s="6" t="s">
        <v>11901</v>
      </c>
      <c r="D3147" s="6" t="s">
        <v>11902</v>
      </c>
      <c r="E3147" s="6" t="s">
        <v>11923</v>
      </c>
      <c r="F3147" s="6" t="s">
        <v>11924</v>
      </c>
      <c r="G3147" s="9"/>
      <c r="H3147" s="9" t="s">
        <v>11906</v>
      </c>
      <c r="I3147" s="16" t="str">
        <f>VLOOKUP(F3147,[1]完整分类结果!$E:$G,3,0)</f>
        <v>电力、蒸汽、热水生产和供应业</v>
      </c>
      <c r="J3147" s="16">
        <f>VLOOKUP(I3147,[2]行业排放因子!$A:$B,2,0)</f>
        <v>5442.3377311036202</v>
      </c>
      <c r="K3147" s="9" t="s">
        <v>756</v>
      </c>
    </row>
    <row r="3148" spans="1:11" ht="12.5" customHeight="1" x14ac:dyDescent="0.25">
      <c r="A3148" s="5" t="s">
        <v>11925</v>
      </c>
      <c r="B3148" s="6" t="s">
        <v>11900</v>
      </c>
      <c r="C3148" s="6" t="s">
        <v>11901</v>
      </c>
      <c r="D3148" s="6" t="s">
        <v>11902</v>
      </c>
      <c r="E3148" s="6" t="s">
        <v>11926</v>
      </c>
      <c r="F3148" s="6" t="s">
        <v>11927</v>
      </c>
      <c r="G3148" s="9"/>
      <c r="H3148" s="9" t="s">
        <v>11906</v>
      </c>
      <c r="I3148" s="16" t="str">
        <f>VLOOKUP(F3148,[1]完整分类结果!$E:$G,3,0)</f>
        <v>电力、蒸汽、热水生产和供应业</v>
      </c>
      <c r="J3148" s="16">
        <f>VLOOKUP(I3148,[2]行业排放因子!$A:$B,2,0)</f>
        <v>5442.3377311036202</v>
      </c>
      <c r="K3148" s="9" t="s">
        <v>756</v>
      </c>
    </row>
    <row r="3149" spans="1:11" ht="12.5" customHeight="1" x14ac:dyDescent="0.25">
      <c r="A3149" s="5" t="s">
        <v>11928</v>
      </c>
      <c r="B3149" s="6" t="s">
        <v>11900</v>
      </c>
      <c r="C3149" s="6" t="s">
        <v>11901</v>
      </c>
      <c r="D3149" s="6" t="s">
        <v>11902</v>
      </c>
      <c r="E3149" s="6" t="s">
        <v>11929</v>
      </c>
      <c r="F3149" s="6" t="s">
        <v>11930</v>
      </c>
      <c r="G3149" s="9"/>
      <c r="H3149" s="9" t="s">
        <v>11906</v>
      </c>
      <c r="I3149" s="16" t="str">
        <f>VLOOKUP(F3149,[1]完整分类结果!$E:$G,3,0)</f>
        <v>电力、蒸汽、热水生产和供应业</v>
      </c>
      <c r="J3149" s="16">
        <f>VLOOKUP(I3149,[2]行业排放因子!$A:$B,2,0)</f>
        <v>5442.3377311036202</v>
      </c>
      <c r="K3149" s="9" t="s">
        <v>756</v>
      </c>
    </row>
    <row r="3150" spans="1:11" ht="12.5" customHeight="1" x14ac:dyDescent="0.25">
      <c r="A3150" s="5" t="s">
        <v>11931</v>
      </c>
      <c r="B3150" s="6" t="s">
        <v>11900</v>
      </c>
      <c r="C3150" s="6" t="s">
        <v>11901</v>
      </c>
      <c r="D3150" s="6" t="s">
        <v>11902</v>
      </c>
      <c r="E3150" s="6" t="s">
        <v>11932</v>
      </c>
      <c r="F3150" s="6" t="s">
        <v>11933</v>
      </c>
      <c r="G3150" s="9"/>
      <c r="H3150" s="9" t="s">
        <v>11906</v>
      </c>
      <c r="I3150" s="16" t="str">
        <f>VLOOKUP(F3150,[1]完整分类结果!$E:$G,3,0)</f>
        <v>电力、蒸汽、热水生产和供应业</v>
      </c>
      <c r="J3150" s="16">
        <f>VLOOKUP(I3150,[2]行业排放因子!$A:$B,2,0)</f>
        <v>5442.3377311036202</v>
      </c>
      <c r="K3150" s="9" t="s">
        <v>756</v>
      </c>
    </row>
    <row r="3151" spans="1:11" ht="12.5" customHeight="1" x14ac:dyDescent="0.25">
      <c r="A3151" s="5" t="s">
        <v>11934</v>
      </c>
      <c r="B3151" s="6" t="s">
        <v>11900</v>
      </c>
      <c r="C3151" s="6" t="s">
        <v>11901</v>
      </c>
      <c r="D3151" s="6" t="s">
        <v>11902</v>
      </c>
      <c r="E3151" s="6" t="s">
        <v>11935</v>
      </c>
      <c r="F3151" s="6" t="s">
        <v>11936</v>
      </c>
      <c r="G3151" s="9"/>
      <c r="H3151" s="9" t="s">
        <v>11906</v>
      </c>
      <c r="I3151" s="16" t="str">
        <f>VLOOKUP(F3151,[1]完整分类结果!$E:$G,3,0)</f>
        <v>电力、蒸汽、热水生产和供应业</v>
      </c>
      <c r="J3151" s="16">
        <f>VLOOKUP(I3151,[2]行业排放因子!$A:$B,2,0)</f>
        <v>5442.3377311036202</v>
      </c>
      <c r="K3151" s="9" t="s">
        <v>756</v>
      </c>
    </row>
    <row r="3152" spans="1:11" ht="12.5" customHeight="1" x14ac:dyDescent="0.25">
      <c r="A3152" s="5" t="s">
        <v>11937</v>
      </c>
      <c r="B3152" s="6" t="s">
        <v>11900</v>
      </c>
      <c r="C3152" s="6" t="s">
        <v>11901</v>
      </c>
      <c r="D3152" s="6" t="s">
        <v>11902</v>
      </c>
      <c r="E3152" s="6" t="s">
        <v>11938</v>
      </c>
      <c r="F3152" s="6" t="s">
        <v>11939</v>
      </c>
      <c r="G3152" s="9"/>
      <c r="H3152" s="9" t="s">
        <v>11906</v>
      </c>
      <c r="I3152" s="16" t="str">
        <f>VLOOKUP(F3152,[1]完整分类结果!$E:$G,3,0)</f>
        <v>电力、蒸汽、热水生产和供应业</v>
      </c>
      <c r="J3152" s="16">
        <f>VLOOKUP(I3152,[2]行业排放因子!$A:$B,2,0)</f>
        <v>5442.3377311036202</v>
      </c>
      <c r="K3152" s="9" t="s">
        <v>756</v>
      </c>
    </row>
    <row r="3153" spans="1:11" ht="12.5" customHeight="1" x14ac:dyDescent="0.25">
      <c r="A3153" s="5" t="s">
        <v>11940</v>
      </c>
      <c r="B3153" s="6" t="s">
        <v>11900</v>
      </c>
      <c r="C3153" s="6" t="s">
        <v>11901</v>
      </c>
      <c r="D3153" s="6" t="s">
        <v>11902</v>
      </c>
      <c r="E3153" s="6" t="s">
        <v>11941</v>
      </c>
      <c r="F3153" s="6" t="s">
        <v>11942</v>
      </c>
      <c r="G3153" s="9" t="s">
        <v>11943</v>
      </c>
      <c r="H3153" s="9" t="s">
        <v>11906</v>
      </c>
      <c r="I3153" s="16" t="str">
        <f>VLOOKUP(F3153,[1]完整分类结果!$E:$G,3,0)</f>
        <v>电力、蒸汽、热水生产和供应业</v>
      </c>
      <c r="J3153" s="16">
        <f>VLOOKUP(I3153,[2]行业排放因子!$A:$B,2,0)</f>
        <v>5442.3377311036202</v>
      </c>
      <c r="K3153" s="9" t="s">
        <v>756</v>
      </c>
    </row>
    <row r="3154" spans="1:11" ht="12.5" customHeight="1" x14ac:dyDescent="0.25">
      <c r="A3154" s="5" t="s">
        <v>11944</v>
      </c>
      <c r="B3154" s="6" t="s">
        <v>11900</v>
      </c>
      <c r="C3154" s="6" t="s">
        <v>11901</v>
      </c>
      <c r="D3154" s="6" t="s">
        <v>11945</v>
      </c>
      <c r="E3154" s="6" t="s">
        <v>11946</v>
      </c>
      <c r="F3154" s="6" t="s">
        <v>11947</v>
      </c>
      <c r="G3154" s="9" t="s">
        <v>11948</v>
      </c>
      <c r="H3154" s="9" t="s">
        <v>11906</v>
      </c>
      <c r="I3154" s="16" t="str">
        <f>VLOOKUP(F3154,[1]完整分类结果!$E:$G,3,0)</f>
        <v>电力、蒸汽、热水生产和供应业</v>
      </c>
      <c r="J3154" s="16">
        <f>VLOOKUP(I3154,[2]行业排放因子!$A:$B,2,0)</f>
        <v>5442.3377311036202</v>
      </c>
      <c r="K3154" s="9" t="s">
        <v>756</v>
      </c>
    </row>
    <row r="3155" spans="1:11" ht="12.5" customHeight="1" x14ac:dyDescent="0.25">
      <c r="A3155" s="5" t="s">
        <v>11949</v>
      </c>
      <c r="B3155" s="6" t="s">
        <v>11900</v>
      </c>
      <c r="C3155" s="6" t="s">
        <v>11901</v>
      </c>
      <c r="D3155" s="6" t="s">
        <v>11945</v>
      </c>
      <c r="E3155" s="6" t="s">
        <v>11950</v>
      </c>
      <c r="F3155" s="6" t="s">
        <v>11951</v>
      </c>
      <c r="G3155" s="9" t="s">
        <v>11948</v>
      </c>
      <c r="H3155" s="9" t="s">
        <v>11906</v>
      </c>
      <c r="I3155" s="16" t="str">
        <f>VLOOKUP(F3155,[1]完整分类结果!$E:$G,3,0)</f>
        <v>电力、蒸汽、热水生产和供应业</v>
      </c>
      <c r="J3155" s="16">
        <f>VLOOKUP(I3155,[2]行业排放因子!$A:$B,2,0)</f>
        <v>5442.3377311036202</v>
      </c>
      <c r="K3155" s="9" t="s">
        <v>756</v>
      </c>
    </row>
    <row r="3156" spans="1:11" ht="12.5" customHeight="1" x14ac:dyDescent="0.25">
      <c r="A3156" s="5" t="s">
        <v>11952</v>
      </c>
      <c r="B3156" s="6" t="s">
        <v>11900</v>
      </c>
      <c r="C3156" s="6" t="s">
        <v>11901</v>
      </c>
      <c r="D3156" s="6" t="s">
        <v>11945</v>
      </c>
      <c r="E3156" s="6" t="s">
        <v>11953</v>
      </c>
      <c r="F3156" s="6" t="s">
        <v>11954</v>
      </c>
      <c r="G3156" s="9" t="s">
        <v>11955</v>
      </c>
      <c r="H3156" s="9" t="s">
        <v>11906</v>
      </c>
      <c r="I3156" s="16" t="str">
        <f>VLOOKUP(F3156,[1]完整分类结果!$E:$G,3,0)</f>
        <v>电力、蒸汽、热水生产和供应业</v>
      </c>
      <c r="J3156" s="16">
        <f>VLOOKUP(I3156,[2]行业排放因子!$A:$B,2,0)</f>
        <v>5442.3377311036202</v>
      </c>
      <c r="K3156" s="9" t="s">
        <v>756</v>
      </c>
    </row>
    <row r="3157" spans="1:11" ht="12.5" customHeight="1" x14ac:dyDescent="0.25">
      <c r="A3157" s="5" t="s">
        <v>11956</v>
      </c>
      <c r="B3157" s="6" t="s">
        <v>11900</v>
      </c>
      <c r="C3157" s="6" t="s">
        <v>11901</v>
      </c>
      <c r="D3157" s="6" t="s">
        <v>11957</v>
      </c>
      <c r="E3157" s="6" t="s">
        <v>11958</v>
      </c>
      <c r="F3157" s="6" t="s">
        <v>11959</v>
      </c>
      <c r="G3157" s="9" t="s">
        <v>11960</v>
      </c>
      <c r="H3157" s="9" t="s">
        <v>11906</v>
      </c>
      <c r="I3157" s="16" t="str">
        <f>VLOOKUP(F3157,[1]完整分类结果!$E:$G,3,0)</f>
        <v>电力、蒸汽、热水生产和供应业</v>
      </c>
      <c r="J3157" s="16">
        <f>VLOOKUP(I3157,[2]行业排放因子!$A:$B,2,0)</f>
        <v>5442.3377311036202</v>
      </c>
      <c r="K3157" s="9" t="s">
        <v>756</v>
      </c>
    </row>
    <row r="3158" spans="1:11" ht="12.5" customHeight="1" x14ac:dyDescent="0.25">
      <c r="A3158" s="5" t="s">
        <v>11961</v>
      </c>
      <c r="B3158" s="6" t="s">
        <v>11900</v>
      </c>
      <c r="C3158" s="6" t="s">
        <v>11901</v>
      </c>
      <c r="D3158" s="6" t="s">
        <v>11962</v>
      </c>
      <c r="E3158" s="6" t="s">
        <v>11963</v>
      </c>
      <c r="F3158" s="6" t="s">
        <v>11964</v>
      </c>
      <c r="G3158" s="9" t="s">
        <v>11965</v>
      </c>
      <c r="H3158" s="9" t="s">
        <v>11906</v>
      </c>
      <c r="I3158" s="16" t="str">
        <f>VLOOKUP(F3158,[1]完整分类结果!$E:$G,3,0)</f>
        <v>电力、蒸汽、热水生产和供应业</v>
      </c>
      <c r="J3158" s="16">
        <f>VLOOKUP(I3158,[2]行业排放因子!$A:$B,2,0)</f>
        <v>5442.3377311036202</v>
      </c>
      <c r="K3158" s="9" t="s">
        <v>756</v>
      </c>
    </row>
    <row r="3159" spans="1:11" ht="12.5" customHeight="1" x14ac:dyDescent="0.25">
      <c r="A3159" s="5" t="s">
        <v>11966</v>
      </c>
      <c r="B3159" s="6" t="s">
        <v>11900</v>
      </c>
      <c r="C3159" s="6" t="s">
        <v>11901</v>
      </c>
      <c r="D3159" s="6" t="s">
        <v>11962</v>
      </c>
      <c r="E3159" s="6" t="s">
        <v>11967</v>
      </c>
      <c r="F3159" s="6" t="s">
        <v>11968</v>
      </c>
      <c r="G3159" s="9"/>
      <c r="H3159" s="9" t="s">
        <v>11906</v>
      </c>
      <c r="I3159" s="16" t="str">
        <f>VLOOKUP(F3159,[1]完整分类结果!$E:$G,3,0)</f>
        <v>电力、蒸汽、热水生产和供应业</v>
      </c>
      <c r="J3159" s="16">
        <f>VLOOKUP(I3159,[2]行业排放因子!$A:$B,2,0)</f>
        <v>5442.3377311036202</v>
      </c>
      <c r="K3159" s="9" t="s">
        <v>756</v>
      </c>
    </row>
    <row r="3160" spans="1:11" ht="12.5" customHeight="1" x14ac:dyDescent="0.25">
      <c r="A3160" s="5" t="s">
        <v>11969</v>
      </c>
      <c r="B3160" s="6" t="s">
        <v>11900</v>
      </c>
      <c r="C3160" s="6" t="s">
        <v>11901</v>
      </c>
      <c r="D3160" s="6" t="s">
        <v>11970</v>
      </c>
      <c r="E3160" s="6" t="s">
        <v>11971</v>
      </c>
      <c r="F3160" s="6" t="s">
        <v>11970</v>
      </c>
      <c r="G3160" s="9"/>
      <c r="H3160" s="9" t="s">
        <v>11906</v>
      </c>
      <c r="I3160" s="16" t="str">
        <f>VLOOKUP(F3160,[1]完整分类结果!$E:$G,3,0)</f>
        <v>电力、蒸汽、热水生产和供应业</v>
      </c>
      <c r="J3160" s="16">
        <f>VLOOKUP(I3160,[2]行业排放因子!$A:$B,2,0)</f>
        <v>5442.3377311036202</v>
      </c>
      <c r="K3160" s="9" t="s">
        <v>756</v>
      </c>
    </row>
    <row r="3161" spans="1:11" ht="12.5" customHeight="1" x14ac:dyDescent="0.25">
      <c r="A3161" s="5" t="s">
        <v>11972</v>
      </c>
      <c r="B3161" s="6" t="s">
        <v>11900</v>
      </c>
      <c r="C3161" s="6" t="s">
        <v>11973</v>
      </c>
      <c r="D3161" s="6" t="s">
        <v>11973</v>
      </c>
      <c r="E3161" s="6" t="s">
        <v>11974</v>
      </c>
      <c r="F3161" s="6" t="s">
        <v>11975</v>
      </c>
      <c r="G3161" s="9" t="s">
        <v>11976</v>
      </c>
      <c r="H3161" s="9" t="s">
        <v>755</v>
      </c>
      <c r="I3161" s="16" t="str">
        <f>VLOOKUP(F3161,[1]完整分类结果!$E:$G,3,0)</f>
        <v>煤气生产和供应业</v>
      </c>
      <c r="J3161" s="16">
        <f>VLOOKUP(I3161,[2]行业排放因子!$A:$B,2,0)</f>
        <v>1.7587208652852899</v>
      </c>
      <c r="K3161" s="9" t="s">
        <v>756</v>
      </c>
    </row>
    <row r="3162" spans="1:11" ht="12.5" customHeight="1" x14ac:dyDescent="0.25">
      <c r="A3162" s="5" t="s">
        <v>11977</v>
      </c>
      <c r="B3162" s="6" t="s">
        <v>11900</v>
      </c>
      <c r="C3162" s="6" t="s">
        <v>11973</v>
      </c>
      <c r="D3162" s="6" t="s">
        <v>11973</v>
      </c>
      <c r="E3162" s="6" t="s">
        <v>11978</v>
      </c>
      <c r="F3162" s="6" t="s">
        <v>11979</v>
      </c>
      <c r="G3162" s="9" t="s">
        <v>11980</v>
      </c>
      <c r="H3162" s="9" t="s">
        <v>755</v>
      </c>
      <c r="I3162" s="16" t="str">
        <f>VLOOKUP(F3162,[1]完整分类结果!$E:$G,3,0)</f>
        <v>煤气生产和供应业</v>
      </c>
      <c r="J3162" s="16">
        <f>VLOOKUP(I3162,[2]行业排放因子!$A:$B,2,0)</f>
        <v>1.7587208652852899</v>
      </c>
      <c r="K3162" s="9" t="s">
        <v>756</v>
      </c>
    </row>
    <row r="3163" spans="1:11" ht="12.5" customHeight="1" x14ac:dyDescent="0.25">
      <c r="A3163" s="5" t="s">
        <v>11981</v>
      </c>
      <c r="B3163" s="6" t="s">
        <v>11900</v>
      </c>
      <c r="C3163" s="6" t="s">
        <v>11973</v>
      </c>
      <c r="D3163" s="6" t="s">
        <v>11973</v>
      </c>
      <c r="E3163" s="6" t="s">
        <v>11982</v>
      </c>
      <c r="F3163" s="6" t="s">
        <v>11983</v>
      </c>
      <c r="G3163" s="9" t="s">
        <v>11984</v>
      </c>
      <c r="H3163" s="9" t="s">
        <v>755</v>
      </c>
      <c r="I3163" s="16" t="str">
        <f>VLOOKUP(F3163,[1]完整分类结果!$E:$G,3,0)</f>
        <v>煤气生产和供应业</v>
      </c>
      <c r="J3163" s="16">
        <f>VLOOKUP(I3163,[2]行业排放因子!$A:$B,2,0)</f>
        <v>1.7587208652852899</v>
      </c>
      <c r="K3163" s="9" t="s">
        <v>756</v>
      </c>
    </row>
    <row r="3164" spans="1:11" ht="12.5" customHeight="1" x14ac:dyDescent="0.25">
      <c r="A3164" s="5" t="s">
        <v>11985</v>
      </c>
      <c r="B3164" s="6" t="s">
        <v>11900</v>
      </c>
      <c r="C3164" s="6" t="s">
        <v>11973</v>
      </c>
      <c r="D3164" s="6" t="s">
        <v>11973</v>
      </c>
      <c r="E3164" s="6" t="s">
        <v>11986</v>
      </c>
      <c r="F3164" s="6" t="s">
        <v>11987</v>
      </c>
      <c r="G3164" s="9" t="s">
        <v>11988</v>
      </c>
      <c r="H3164" s="9" t="s">
        <v>755</v>
      </c>
      <c r="I3164" s="16" t="str">
        <f>VLOOKUP(F3164,[1]完整分类结果!$E:$G,3,0)</f>
        <v>煤气生产和供应业</v>
      </c>
      <c r="J3164" s="16">
        <f>VLOOKUP(I3164,[2]行业排放因子!$A:$B,2,0)</f>
        <v>1.7587208652852899</v>
      </c>
      <c r="K3164" s="9" t="s">
        <v>756</v>
      </c>
    </row>
    <row r="3165" spans="1:11" ht="12.5" customHeight="1" x14ac:dyDescent="0.25">
      <c r="A3165" s="5" t="s">
        <v>11989</v>
      </c>
      <c r="B3165" s="6" t="s">
        <v>11900</v>
      </c>
      <c r="C3165" s="6" t="s">
        <v>11973</v>
      </c>
      <c r="D3165" s="6" t="s">
        <v>11973</v>
      </c>
      <c r="E3165" s="6" t="s">
        <v>11990</v>
      </c>
      <c r="F3165" s="6" t="s">
        <v>11991</v>
      </c>
      <c r="G3165" s="9" t="s">
        <v>11992</v>
      </c>
      <c r="H3165" s="9" t="s">
        <v>755</v>
      </c>
      <c r="I3165" s="16" t="str">
        <f>VLOOKUP(F3165,[1]完整分类结果!$E:$G,3,0)</f>
        <v>煤气生产和供应业</v>
      </c>
      <c r="J3165" s="16">
        <f>VLOOKUP(I3165,[2]行业排放因子!$A:$B,2,0)</f>
        <v>1.7587208652852899</v>
      </c>
      <c r="K3165" s="9" t="s">
        <v>756</v>
      </c>
    </row>
    <row r="3166" spans="1:11" ht="12.5" customHeight="1" x14ac:dyDescent="0.25">
      <c r="A3166" s="5" t="s">
        <v>11993</v>
      </c>
      <c r="B3166" s="6" t="s">
        <v>11900</v>
      </c>
      <c r="C3166" s="6" t="s">
        <v>11973</v>
      </c>
      <c r="D3166" s="6" t="s">
        <v>11973</v>
      </c>
      <c r="E3166" s="6" t="s">
        <v>11994</v>
      </c>
      <c r="F3166" s="6" t="s">
        <v>11995</v>
      </c>
      <c r="G3166" s="9" t="s">
        <v>11996</v>
      </c>
      <c r="H3166" s="9" t="s">
        <v>755</v>
      </c>
      <c r="I3166" s="16" t="str">
        <f>VLOOKUP(F3166,[1]完整分类结果!$E:$G,3,0)</f>
        <v>煤气生产和供应业</v>
      </c>
      <c r="J3166" s="16">
        <f>VLOOKUP(I3166,[2]行业排放因子!$A:$B,2,0)</f>
        <v>1.7587208652852899</v>
      </c>
      <c r="K3166" s="9" t="s">
        <v>756</v>
      </c>
    </row>
    <row r="3167" spans="1:11" ht="12.5" customHeight="1" x14ac:dyDescent="0.25">
      <c r="A3167" s="5" t="s">
        <v>11997</v>
      </c>
      <c r="B3167" s="6" t="s">
        <v>11900</v>
      </c>
      <c r="C3167" s="6" t="s">
        <v>11973</v>
      </c>
      <c r="D3167" s="6" t="s">
        <v>11973</v>
      </c>
      <c r="E3167" s="6" t="s">
        <v>11998</v>
      </c>
      <c r="F3167" s="6" t="s">
        <v>11999</v>
      </c>
      <c r="G3167" s="9"/>
      <c r="H3167" s="9" t="s">
        <v>755</v>
      </c>
      <c r="I3167" s="16" t="str">
        <f>VLOOKUP(F3167,[1]完整分类结果!$E:$G,3,0)</f>
        <v>煤气生产和供应业</v>
      </c>
      <c r="J3167" s="16">
        <f>VLOOKUP(I3167,[2]行业排放因子!$A:$B,2,0)</f>
        <v>1.7587208652852899</v>
      </c>
      <c r="K3167" s="9" t="s">
        <v>756</v>
      </c>
    </row>
    <row r="3168" spans="1:11" ht="12.5" customHeight="1" x14ac:dyDescent="0.25">
      <c r="A3168" s="5" t="s">
        <v>12000</v>
      </c>
      <c r="B3168" s="6" t="s">
        <v>11900</v>
      </c>
      <c r="C3168" s="6" t="s">
        <v>11973</v>
      </c>
      <c r="D3168" s="6" t="s">
        <v>11973</v>
      </c>
      <c r="E3168" s="6" t="s">
        <v>12001</v>
      </c>
      <c r="F3168" s="6" t="s">
        <v>12002</v>
      </c>
      <c r="G3168" s="9" t="s">
        <v>12003</v>
      </c>
      <c r="H3168" s="9" t="s">
        <v>755</v>
      </c>
      <c r="I3168" s="16" t="str">
        <f>VLOOKUP(F3168,[1]完整分类结果!$E:$G,3,0)</f>
        <v>煤气生产和供应业</v>
      </c>
      <c r="J3168" s="16">
        <f>VLOOKUP(I3168,[2]行业排放因子!$A:$B,2,0)</f>
        <v>1.7587208652852899</v>
      </c>
      <c r="K3168" s="9" t="s">
        <v>756</v>
      </c>
    </row>
    <row r="3169" spans="1:11" ht="12.5" customHeight="1" x14ac:dyDescent="0.25">
      <c r="A3169" s="5" t="s">
        <v>12004</v>
      </c>
      <c r="B3169" s="6" t="s">
        <v>11900</v>
      </c>
      <c r="C3169" s="6" t="s">
        <v>11973</v>
      </c>
      <c r="D3169" s="6" t="s">
        <v>11973</v>
      </c>
      <c r="E3169" s="6" t="s">
        <v>12005</v>
      </c>
      <c r="F3169" s="6" t="s">
        <v>12006</v>
      </c>
      <c r="G3169" s="9"/>
      <c r="H3169" s="9" t="s">
        <v>755</v>
      </c>
      <c r="I3169" s="16" t="str">
        <f>VLOOKUP(F3169,[1]完整分类结果!$E:$G,3,0)</f>
        <v>煤气生产和供应业</v>
      </c>
      <c r="J3169" s="16">
        <f>VLOOKUP(I3169,[2]行业排放因子!$A:$B,2,0)</f>
        <v>1.7587208652852899</v>
      </c>
      <c r="K3169" s="9" t="s">
        <v>756</v>
      </c>
    </row>
    <row r="3170" spans="1:11" ht="12.5" customHeight="1" x14ac:dyDescent="0.25">
      <c r="A3170" s="5" t="s">
        <v>12007</v>
      </c>
      <c r="B3170" s="6" t="s">
        <v>11900</v>
      </c>
      <c r="C3170" s="6" t="s">
        <v>11973</v>
      </c>
      <c r="D3170" s="6" t="s">
        <v>11973</v>
      </c>
      <c r="E3170" s="6" t="s">
        <v>12008</v>
      </c>
      <c r="F3170" s="6" t="s">
        <v>12009</v>
      </c>
      <c r="G3170" s="9"/>
      <c r="H3170" s="9" t="s">
        <v>755</v>
      </c>
      <c r="I3170" s="16" t="str">
        <f>VLOOKUP(F3170,[1]完整分类结果!$E:$G,3,0)</f>
        <v>煤气生产和供应业</v>
      </c>
      <c r="J3170" s="16">
        <f>VLOOKUP(I3170,[2]行业排放因子!$A:$B,2,0)</f>
        <v>1.7587208652852899</v>
      </c>
      <c r="K3170" s="9" t="s">
        <v>756</v>
      </c>
    </row>
    <row r="3171" spans="1:11" ht="12.5" customHeight="1" x14ac:dyDescent="0.25">
      <c r="A3171" s="5" t="s">
        <v>12010</v>
      </c>
      <c r="B3171" s="6" t="s">
        <v>11900</v>
      </c>
      <c r="C3171" s="6" t="s">
        <v>11973</v>
      </c>
      <c r="D3171" s="6" t="s">
        <v>11973</v>
      </c>
      <c r="E3171" s="6" t="s">
        <v>12011</v>
      </c>
      <c r="F3171" s="6" t="s">
        <v>12012</v>
      </c>
      <c r="G3171" s="9"/>
      <c r="H3171" s="9" t="s">
        <v>755</v>
      </c>
      <c r="I3171" s="16" t="str">
        <f>VLOOKUP(F3171,[1]完整分类结果!$E:$G,3,0)</f>
        <v>煤气生产和供应业</v>
      </c>
      <c r="J3171" s="16">
        <f>VLOOKUP(I3171,[2]行业排放因子!$A:$B,2,0)</f>
        <v>1.7587208652852899</v>
      </c>
      <c r="K3171" s="9" t="s">
        <v>756</v>
      </c>
    </row>
    <row r="3172" spans="1:11" ht="12.5" customHeight="1" x14ac:dyDescent="0.25">
      <c r="A3172" s="5" t="s">
        <v>12013</v>
      </c>
      <c r="B3172" s="6" t="s">
        <v>11900</v>
      </c>
      <c r="C3172" s="6" t="s">
        <v>12014</v>
      </c>
      <c r="D3172" s="6" t="s">
        <v>12015</v>
      </c>
      <c r="E3172" s="6" t="s">
        <v>12016</v>
      </c>
      <c r="F3172" s="6" t="s">
        <v>12017</v>
      </c>
      <c r="G3172" s="9"/>
      <c r="H3172" s="9" t="s">
        <v>18</v>
      </c>
      <c r="I3172" s="16" t="str">
        <f>VLOOKUP(F3172,[1]完整分类结果!$E:$G,3,0)</f>
        <v>自来水生产和供应业</v>
      </c>
      <c r="J3172" s="16">
        <f>VLOOKUP(I3172,[2]行业排放因子!$A:$B,2,0)</f>
        <v>0.46705982726400702</v>
      </c>
      <c r="K3172" s="9" t="s">
        <v>756</v>
      </c>
    </row>
    <row r="3173" spans="1:11" ht="12.5" customHeight="1" x14ac:dyDescent="0.25">
      <c r="A3173" s="5" t="s">
        <v>12018</v>
      </c>
      <c r="B3173" s="6" t="s">
        <v>11900</v>
      </c>
      <c r="C3173" s="6" t="s">
        <v>12014</v>
      </c>
      <c r="D3173" s="6" t="s">
        <v>12015</v>
      </c>
      <c r="E3173" s="6" t="s">
        <v>12019</v>
      </c>
      <c r="F3173" s="6" t="s">
        <v>12020</v>
      </c>
      <c r="G3173" s="9"/>
      <c r="H3173" s="9" t="s">
        <v>18</v>
      </c>
      <c r="I3173" s="16" t="str">
        <f>VLOOKUP(F3173,[1]完整分类结果!$E:$G,3,0)</f>
        <v>自来水生产和供应业</v>
      </c>
      <c r="J3173" s="16">
        <f>VLOOKUP(I3173,[2]行业排放因子!$A:$B,2,0)</f>
        <v>0.46705982726400702</v>
      </c>
      <c r="K3173" s="9" t="s">
        <v>756</v>
      </c>
    </row>
    <row r="3174" spans="1:11" ht="12.5" customHeight="1" x14ac:dyDescent="0.25">
      <c r="A3174" s="5" t="s">
        <v>12021</v>
      </c>
      <c r="B3174" s="6" t="s">
        <v>11900</v>
      </c>
      <c r="C3174" s="6" t="s">
        <v>12014</v>
      </c>
      <c r="D3174" s="6" t="s">
        <v>12015</v>
      </c>
      <c r="E3174" s="6" t="s">
        <v>12022</v>
      </c>
      <c r="F3174" s="6" t="s">
        <v>12023</v>
      </c>
      <c r="G3174" s="9"/>
      <c r="H3174" s="9" t="s">
        <v>18</v>
      </c>
      <c r="I3174" s="16" t="str">
        <f>VLOOKUP(F3174,[1]完整分类结果!$E:$G,3,0)</f>
        <v>自来水生产和供应业</v>
      </c>
      <c r="J3174" s="16">
        <f>VLOOKUP(I3174,[2]行业排放因子!$A:$B,2,0)</f>
        <v>0.46705982726400702</v>
      </c>
      <c r="K3174" s="9" t="s">
        <v>756</v>
      </c>
    </row>
    <row r="3175" spans="1:11" ht="12.5" customHeight="1" x14ac:dyDescent="0.25">
      <c r="A3175" s="5" t="s">
        <v>12024</v>
      </c>
      <c r="B3175" s="6" t="s">
        <v>11900</v>
      </c>
      <c r="C3175" s="6" t="s">
        <v>12014</v>
      </c>
      <c r="D3175" s="6" t="s">
        <v>12015</v>
      </c>
      <c r="E3175" s="6" t="s">
        <v>12025</v>
      </c>
      <c r="F3175" s="6" t="s">
        <v>12026</v>
      </c>
      <c r="G3175" s="9" t="s">
        <v>12027</v>
      </c>
      <c r="H3175" s="9" t="s">
        <v>18</v>
      </c>
      <c r="I3175" s="16" t="str">
        <f>VLOOKUP(F3175,[1]完整分类结果!$E:$G,3,0)</f>
        <v>自来水生产和供应业</v>
      </c>
      <c r="J3175" s="16">
        <f>VLOOKUP(I3175,[2]行业排放因子!$A:$B,2,0)</f>
        <v>0.46705982726400702</v>
      </c>
      <c r="K3175" s="9" t="s">
        <v>756</v>
      </c>
    </row>
    <row r="3176" spans="1:11" ht="12.5" customHeight="1" x14ac:dyDescent="0.25">
      <c r="A3176" s="5" t="s">
        <v>12028</v>
      </c>
      <c r="B3176" s="6" t="s">
        <v>11900</v>
      </c>
      <c r="C3176" s="6" t="s">
        <v>12014</v>
      </c>
      <c r="D3176" s="6" t="s">
        <v>12015</v>
      </c>
      <c r="E3176" s="6" t="s">
        <v>12029</v>
      </c>
      <c r="F3176" s="6" t="s">
        <v>12030</v>
      </c>
      <c r="G3176" s="9"/>
      <c r="H3176" s="9" t="s">
        <v>18</v>
      </c>
      <c r="I3176" s="16" t="str">
        <f>VLOOKUP(F3176,[1]完整分类结果!$E:$G,3,0)</f>
        <v>自来水生产和供应业</v>
      </c>
      <c r="J3176" s="16">
        <f>VLOOKUP(I3176,[2]行业排放因子!$A:$B,2,0)</f>
        <v>0.46705982726400702</v>
      </c>
      <c r="K3176" s="9" t="s">
        <v>756</v>
      </c>
    </row>
    <row r="3177" spans="1:11" ht="12.5" customHeight="1" x14ac:dyDescent="0.25">
      <c r="A3177" s="5" t="s">
        <v>12031</v>
      </c>
      <c r="B3177" s="6" t="s">
        <v>11900</v>
      </c>
      <c r="C3177" s="6" t="s">
        <v>12014</v>
      </c>
      <c r="D3177" s="6" t="s">
        <v>12015</v>
      </c>
      <c r="E3177" s="6" t="s">
        <v>12032</v>
      </c>
      <c r="F3177" s="6" t="s">
        <v>12033</v>
      </c>
      <c r="G3177" s="9"/>
      <c r="H3177" s="9" t="s">
        <v>18</v>
      </c>
      <c r="I3177" s="16" t="str">
        <f>VLOOKUP(F3177,[1]完整分类结果!$E:$G,3,0)</f>
        <v>自来水生产和供应业</v>
      </c>
      <c r="J3177" s="16">
        <f>VLOOKUP(I3177,[2]行业排放因子!$A:$B,2,0)</f>
        <v>0.46705982726400702</v>
      </c>
      <c r="K3177" s="9" t="s">
        <v>756</v>
      </c>
    </row>
    <row r="3178" spans="1:11" ht="12.5" customHeight="1" x14ac:dyDescent="0.25">
      <c r="A3178" s="5" t="s">
        <v>12034</v>
      </c>
      <c r="B3178" s="6" t="s">
        <v>11900</v>
      </c>
      <c r="C3178" s="6" t="s">
        <v>12014</v>
      </c>
      <c r="D3178" s="6" t="s">
        <v>12015</v>
      </c>
      <c r="E3178" s="6" t="s">
        <v>12035</v>
      </c>
      <c r="F3178" s="6" t="s">
        <v>12036</v>
      </c>
      <c r="G3178" s="9"/>
      <c r="H3178" s="9" t="s">
        <v>18</v>
      </c>
      <c r="I3178" s="16" t="str">
        <f>VLOOKUP(F3178,[1]完整分类结果!$E:$G,3,0)</f>
        <v>自来水生产和供应业</v>
      </c>
      <c r="J3178" s="16">
        <f>VLOOKUP(I3178,[2]行业排放因子!$A:$B,2,0)</f>
        <v>0.46705982726400702</v>
      </c>
      <c r="K3178" s="9" t="s">
        <v>756</v>
      </c>
    </row>
    <row r="3179" spans="1:11" ht="12.5" customHeight="1" x14ac:dyDescent="0.25">
      <c r="A3179" s="5" t="s">
        <v>12037</v>
      </c>
      <c r="B3179" s="6" t="s">
        <v>11900</v>
      </c>
      <c r="C3179" s="6" t="s">
        <v>12014</v>
      </c>
      <c r="D3179" s="6" t="s">
        <v>12015</v>
      </c>
      <c r="E3179" s="6" t="s">
        <v>12038</v>
      </c>
      <c r="F3179" s="6" t="s">
        <v>12039</v>
      </c>
      <c r="G3179" s="9"/>
      <c r="H3179" s="9" t="s">
        <v>18</v>
      </c>
      <c r="I3179" s="16" t="str">
        <f>VLOOKUP(F3179,[1]完整分类结果!$E:$G,3,0)</f>
        <v>自来水生产和供应业</v>
      </c>
      <c r="J3179" s="16">
        <f>VLOOKUP(I3179,[2]行业排放因子!$A:$B,2,0)</f>
        <v>0.46705982726400702</v>
      </c>
      <c r="K3179" s="9" t="s">
        <v>756</v>
      </c>
    </row>
    <row r="3180" spans="1:11" ht="12.5" customHeight="1" x14ac:dyDescent="0.25">
      <c r="A3180" s="5" t="s">
        <v>12040</v>
      </c>
      <c r="B3180" s="6" t="s">
        <v>11900</v>
      </c>
      <c r="C3180" s="6" t="s">
        <v>12014</v>
      </c>
      <c r="D3180" s="6" t="s">
        <v>12015</v>
      </c>
      <c r="E3180" s="6" t="s">
        <v>12041</v>
      </c>
      <c r="F3180" s="6" t="s">
        <v>12042</v>
      </c>
      <c r="G3180" s="9"/>
      <c r="H3180" s="9" t="s">
        <v>18</v>
      </c>
      <c r="I3180" s="16" t="str">
        <f>VLOOKUP(F3180,[1]完整分类结果!$E:$G,3,0)</f>
        <v>自来水生产和供应业</v>
      </c>
      <c r="J3180" s="16">
        <f>VLOOKUP(I3180,[2]行业排放因子!$A:$B,2,0)</f>
        <v>0.46705982726400702</v>
      </c>
      <c r="K3180" s="9" t="s">
        <v>756</v>
      </c>
    </row>
    <row r="3181" spans="1:11" ht="12.5" customHeight="1" x14ac:dyDescent="0.25">
      <c r="A3181" s="5" t="s">
        <v>12043</v>
      </c>
      <c r="B3181" s="6" t="s">
        <v>12044</v>
      </c>
      <c r="C3181" s="6" t="s">
        <v>12045</v>
      </c>
      <c r="D3181" s="6" t="s">
        <v>12046</v>
      </c>
      <c r="E3181" s="9" t="s">
        <v>12047</v>
      </c>
      <c r="F3181" s="6" t="s">
        <v>12046</v>
      </c>
      <c r="G3181" s="9" t="s">
        <v>12048</v>
      </c>
      <c r="H3181" s="9" t="s">
        <v>18</v>
      </c>
      <c r="I3181" s="16" t="str">
        <f>VLOOKUP(F3181,[1]完整分类结果!$E:$G,3,0)</f>
        <v>废品废料</v>
      </c>
      <c r="J3181" s="16">
        <f>VLOOKUP(I3181,[2]行业排放因子!$A:$B,2,0)</f>
        <v>7.1376022803708201</v>
      </c>
      <c r="K3181" s="9" t="s">
        <v>756</v>
      </c>
    </row>
    <row r="3182" spans="1:11" ht="12.5" customHeight="1" x14ac:dyDescent="0.25">
      <c r="A3182" s="5" t="s">
        <v>12049</v>
      </c>
      <c r="B3182" s="6" t="s">
        <v>12044</v>
      </c>
      <c r="C3182" s="6" t="s">
        <v>12045</v>
      </c>
      <c r="D3182" s="6" t="s">
        <v>12050</v>
      </c>
      <c r="E3182" s="9" t="s">
        <v>12051</v>
      </c>
      <c r="F3182" s="6" t="s">
        <v>12050</v>
      </c>
      <c r="G3182" s="9" t="s">
        <v>12052</v>
      </c>
      <c r="H3182" s="9" t="s">
        <v>18</v>
      </c>
      <c r="I3182" s="16" t="str">
        <f>VLOOKUP(F3182,[1]完整分类结果!$E:$G,3,0)</f>
        <v>废品废料</v>
      </c>
      <c r="J3182" s="16">
        <f>VLOOKUP(I3182,[2]行业排放因子!$A:$B,2,0)</f>
        <v>7.1376022803708201</v>
      </c>
      <c r="K3182" s="9" t="s">
        <v>756</v>
      </c>
    </row>
    <row r="3183" spans="1:11" ht="12.5" customHeight="1" x14ac:dyDescent="0.25">
      <c r="A3183" s="5" t="s">
        <v>12053</v>
      </c>
      <c r="B3183" s="6" t="s">
        <v>12044</v>
      </c>
      <c r="C3183" s="6" t="s">
        <v>12045</v>
      </c>
      <c r="D3183" s="6" t="s">
        <v>12054</v>
      </c>
      <c r="E3183" s="9" t="s">
        <v>12055</v>
      </c>
      <c r="F3183" s="6" t="s">
        <v>12054</v>
      </c>
      <c r="G3183" s="9" t="s">
        <v>12056</v>
      </c>
      <c r="H3183" s="9" t="s">
        <v>18</v>
      </c>
      <c r="I3183" s="16" t="str">
        <f>VLOOKUP(F3183,[1]完整分类结果!$E:$G,3,0)</f>
        <v>废品废料</v>
      </c>
      <c r="J3183" s="16">
        <f>VLOOKUP(I3183,[2]行业排放因子!$A:$B,2,0)</f>
        <v>7.1376022803708201</v>
      </c>
      <c r="K3183" s="9" t="s">
        <v>756</v>
      </c>
    </row>
    <row r="3184" spans="1:11" ht="12.5" customHeight="1" x14ac:dyDescent="0.25">
      <c r="A3184" s="5" t="s">
        <v>12057</v>
      </c>
      <c r="B3184" s="6" t="s">
        <v>12044</v>
      </c>
      <c r="C3184" s="6" t="s">
        <v>12045</v>
      </c>
      <c r="D3184" s="6" t="s">
        <v>12058</v>
      </c>
      <c r="E3184" s="9" t="s">
        <v>12059</v>
      </c>
      <c r="F3184" s="6" t="s">
        <v>12058</v>
      </c>
      <c r="G3184" s="9" t="s">
        <v>12060</v>
      </c>
      <c r="H3184" s="9" t="s">
        <v>18</v>
      </c>
      <c r="I3184" s="16" t="str">
        <f>VLOOKUP(F3184,[1]完整分类结果!$E:$G,3,0)</f>
        <v>废品废料</v>
      </c>
      <c r="J3184" s="16">
        <f>VLOOKUP(I3184,[2]行业排放因子!$A:$B,2,0)</f>
        <v>7.1376022803708201</v>
      </c>
      <c r="K3184" s="9" t="s">
        <v>756</v>
      </c>
    </row>
    <row r="3185" spans="1:11" ht="12.5" customHeight="1" x14ac:dyDescent="0.25">
      <c r="A3185" s="5" t="s">
        <v>12061</v>
      </c>
      <c r="B3185" s="6" t="s">
        <v>12044</v>
      </c>
      <c r="C3185" s="6" t="s">
        <v>12045</v>
      </c>
      <c r="D3185" s="6" t="s">
        <v>12062</v>
      </c>
      <c r="E3185" s="9" t="s">
        <v>12063</v>
      </c>
      <c r="F3185" s="6" t="s">
        <v>12062</v>
      </c>
      <c r="G3185" s="9" t="s">
        <v>12064</v>
      </c>
      <c r="H3185" s="9" t="s">
        <v>18</v>
      </c>
      <c r="I3185" s="16" t="str">
        <f>VLOOKUP(F3185,[1]完整分类结果!$E:$G,3,0)</f>
        <v>废品废料</v>
      </c>
      <c r="J3185" s="16">
        <f>VLOOKUP(I3185,[2]行业排放因子!$A:$B,2,0)</f>
        <v>7.1376022803708201</v>
      </c>
      <c r="K3185" s="9" t="s">
        <v>756</v>
      </c>
    </row>
    <row r="3186" spans="1:11" ht="12.5" customHeight="1" x14ac:dyDescent="0.25">
      <c r="A3186" s="5" t="s">
        <v>12065</v>
      </c>
      <c r="B3186" s="6" t="s">
        <v>12044</v>
      </c>
      <c r="C3186" s="6" t="s">
        <v>12045</v>
      </c>
      <c r="D3186" s="6" t="s">
        <v>12066</v>
      </c>
      <c r="E3186" s="9" t="s">
        <v>12067</v>
      </c>
      <c r="F3186" s="6" t="s">
        <v>12066</v>
      </c>
      <c r="G3186" s="9"/>
      <c r="H3186" s="9" t="s">
        <v>18</v>
      </c>
      <c r="I3186" s="16" t="str">
        <f>VLOOKUP(F3186,[1]完整分类结果!$E:$G,3,0)</f>
        <v>废品废料</v>
      </c>
      <c r="J3186" s="16">
        <f>VLOOKUP(I3186,[2]行业排放因子!$A:$B,2,0)</f>
        <v>7.1376022803708201</v>
      </c>
      <c r="K3186" s="9" t="s">
        <v>756</v>
      </c>
    </row>
    <row r="3187" spans="1:11" ht="12.5" customHeight="1" x14ac:dyDescent="0.25">
      <c r="A3187" s="5" t="s">
        <v>12068</v>
      </c>
      <c r="B3187" s="6" t="s">
        <v>12044</v>
      </c>
      <c r="C3187" s="6" t="s">
        <v>12069</v>
      </c>
      <c r="D3187" s="6" t="s">
        <v>12070</v>
      </c>
      <c r="E3187" s="9" t="s">
        <v>12071</v>
      </c>
      <c r="F3187" s="6" t="s">
        <v>12070</v>
      </c>
      <c r="G3187" s="9"/>
      <c r="H3187" s="9" t="s">
        <v>18</v>
      </c>
      <c r="I3187" s="16" t="str">
        <f>VLOOKUP(F3187,[1]完整分类结果!$E:$G,3,0)</f>
        <v>废品废料</v>
      </c>
      <c r="J3187" s="16">
        <f>VLOOKUP(I3187,[2]行业排放因子!$A:$B,2,0)</f>
        <v>7.1376022803708201</v>
      </c>
      <c r="K3187" s="9" t="s">
        <v>756</v>
      </c>
    </row>
    <row r="3188" spans="1:11" ht="12.5" customHeight="1" x14ac:dyDescent="0.25">
      <c r="A3188" s="5" t="s">
        <v>12072</v>
      </c>
      <c r="B3188" s="6" t="s">
        <v>12044</v>
      </c>
      <c r="C3188" s="6" t="s">
        <v>12069</v>
      </c>
      <c r="D3188" s="6" t="s">
        <v>12073</v>
      </c>
      <c r="E3188" s="9" t="s">
        <v>12074</v>
      </c>
      <c r="F3188" s="6" t="s">
        <v>12073</v>
      </c>
      <c r="G3188" s="9"/>
      <c r="H3188" s="9" t="s">
        <v>18</v>
      </c>
      <c r="I3188" s="16" t="str">
        <f>VLOOKUP(F3188,[1]完整分类结果!$E:$G,3,0)</f>
        <v>废品废料</v>
      </c>
      <c r="J3188" s="16">
        <f>VLOOKUP(I3188,[2]行业排放因子!$A:$B,2,0)</f>
        <v>7.1376022803708201</v>
      </c>
      <c r="K3188" s="9" t="s">
        <v>756</v>
      </c>
    </row>
    <row r="3189" spans="1:11" ht="12.5" customHeight="1" x14ac:dyDescent="0.25">
      <c r="A3189" s="5" t="s">
        <v>12075</v>
      </c>
      <c r="B3189" s="6" t="s">
        <v>12044</v>
      </c>
      <c r="C3189" s="6" t="s">
        <v>12069</v>
      </c>
      <c r="D3189" s="6" t="s">
        <v>12076</v>
      </c>
      <c r="E3189" s="9" t="s">
        <v>12077</v>
      </c>
      <c r="F3189" s="6" t="s">
        <v>12076</v>
      </c>
      <c r="G3189" s="9"/>
      <c r="H3189" s="9" t="s">
        <v>18</v>
      </c>
      <c r="I3189" s="16" t="str">
        <f>VLOOKUP(F3189,[1]完整分类结果!$E:$G,3,0)</f>
        <v>废品废料</v>
      </c>
      <c r="J3189" s="16">
        <f>VLOOKUP(I3189,[2]行业排放因子!$A:$B,2,0)</f>
        <v>7.1376022803708201</v>
      </c>
      <c r="K3189" s="9" t="s">
        <v>756</v>
      </c>
    </row>
    <row r="3190" spans="1:11" ht="12.5" customHeight="1" x14ac:dyDescent="0.25">
      <c r="A3190" s="5" t="s">
        <v>12078</v>
      </c>
      <c r="B3190" s="6" t="s">
        <v>12044</v>
      </c>
      <c r="C3190" s="6" t="s">
        <v>12069</v>
      </c>
      <c r="D3190" s="6" t="s">
        <v>12079</v>
      </c>
      <c r="E3190" s="9" t="s">
        <v>12080</v>
      </c>
      <c r="F3190" s="6" t="s">
        <v>12079</v>
      </c>
      <c r="G3190" s="9"/>
      <c r="H3190" s="9" t="s">
        <v>18</v>
      </c>
      <c r="I3190" s="16" t="str">
        <f>VLOOKUP(F3190,[1]完整分类结果!$E:$G,3,0)</f>
        <v>废品废料</v>
      </c>
      <c r="J3190" s="16">
        <f>VLOOKUP(I3190,[2]行业排放因子!$A:$B,2,0)</f>
        <v>7.1376022803708201</v>
      </c>
      <c r="K3190" s="9" t="s">
        <v>756</v>
      </c>
    </row>
    <row r="3191" spans="1:11" ht="12.5" customHeight="1" x14ac:dyDescent="0.25">
      <c r="A3191" s="5" t="s">
        <v>12081</v>
      </c>
      <c r="B3191" s="6" t="s">
        <v>12044</v>
      </c>
      <c r="C3191" s="6" t="s">
        <v>12069</v>
      </c>
      <c r="D3191" s="6" t="s">
        <v>12082</v>
      </c>
      <c r="E3191" s="9" t="s">
        <v>12083</v>
      </c>
      <c r="F3191" s="6" t="s">
        <v>12082</v>
      </c>
      <c r="G3191" s="9" t="s">
        <v>12084</v>
      </c>
      <c r="H3191" s="9" t="s">
        <v>18</v>
      </c>
      <c r="I3191" s="16" t="str">
        <f>VLOOKUP(F3191,[1]完整分类结果!$E:$G,3,0)</f>
        <v>废品废料</v>
      </c>
      <c r="J3191" s="16">
        <f>VLOOKUP(I3191,[2]行业排放因子!$A:$B,2,0)</f>
        <v>7.1376022803708201</v>
      </c>
      <c r="K3191" s="9" t="s">
        <v>756</v>
      </c>
    </row>
    <row r="3192" spans="1:11" ht="12.5" customHeight="1" x14ac:dyDescent="0.25">
      <c r="A3192" s="5" t="s">
        <v>12085</v>
      </c>
      <c r="B3192" s="6" t="s">
        <v>12044</v>
      </c>
      <c r="C3192" s="6" t="s">
        <v>12069</v>
      </c>
      <c r="D3192" s="6" t="s">
        <v>12086</v>
      </c>
      <c r="E3192" s="9" t="s">
        <v>12087</v>
      </c>
      <c r="F3192" s="6" t="s">
        <v>12086</v>
      </c>
      <c r="G3192" s="9"/>
      <c r="H3192" s="9" t="s">
        <v>18</v>
      </c>
      <c r="I3192" s="16" t="str">
        <f>VLOOKUP(F3192,[1]完整分类结果!$E:$G,3,0)</f>
        <v>废品废料</v>
      </c>
      <c r="J3192" s="16">
        <f>VLOOKUP(I3192,[2]行业排放因子!$A:$B,2,0)</f>
        <v>7.1376022803708201</v>
      </c>
      <c r="K3192" s="9" t="s">
        <v>756</v>
      </c>
    </row>
    <row r="3193" spans="1:11" ht="12.5" customHeight="1" x14ac:dyDescent="0.25">
      <c r="A3193" s="5" t="s">
        <v>12088</v>
      </c>
      <c r="B3193" s="6" t="s">
        <v>12044</v>
      </c>
      <c r="C3193" s="6" t="s">
        <v>12089</v>
      </c>
      <c r="D3193" s="6" t="s">
        <v>12089</v>
      </c>
      <c r="E3193" s="9" t="s">
        <v>12090</v>
      </c>
      <c r="F3193" s="6" t="s">
        <v>12089</v>
      </c>
      <c r="G3193" s="9"/>
      <c r="H3193" s="9" t="s">
        <v>18</v>
      </c>
      <c r="I3193" s="16" t="str">
        <f>VLOOKUP(F3193,[1]完整分类结果!$E:$G,3,0)</f>
        <v>废品废料</v>
      </c>
      <c r="J3193" s="16">
        <f>VLOOKUP(I3193,[2]行业排放因子!$A:$B,2,0)</f>
        <v>7.1376022803708201</v>
      </c>
      <c r="K3193" s="9" t="s">
        <v>756</v>
      </c>
    </row>
    <row r="3194" spans="1:11" ht="12.5" customHeight="1" x14ac:dyDescent="0.25">
      <c r="A3194" s="5" t="s">
        <v>12091</v>
      </c>
      <c r="B3194" s="6" t="s">
        <v>12044</v>
      </c>
      <c r="C3194" s="6" t="s">
        <v>12092</v>
      </c>
      <c r="D3194" s="6" t="s">
        <v>12092</v>
      </c>
      <c r="E3194" s="9" t="s">
        <v>12093</v>
      </c>
      <c r="F3194" s="6" t="s">
        <v>12092</v>
      </c>
      <c r="G3194" s="9"/>
      <c r="H3194" s="9" t="s">
        <v>18</v>
      </c>
      <c r="I3194" s="16" t="str">
        <f>VLOOKUP(F3194,[1]完整分类结果!$E:$G,3,0)</f>
        <v>废品废料</v>
      </c>
      <c r="J3194" s="16">
        <f>VLOOKUP(I3194,[2]行业排放因子!$A:$B,2,0)</f>
        <v>7.1376022803708201</v>
      </c>
      <c r="K3194" s="9" t="s">
        <v>756</v>
      </c>
    </row>
    <row r="3195" spans="1:11" ht="12.5" customHeight="1" x14ac:dyDescent="0.25">
      <c r="A3195" s="5" t="s">
        <v>12094</v>
      </c>
      <c r="B3195" s="6" t="s">
        <v>12044</v>
      </c>
      <c r="C3195" s="6" t="s">
        <v>12095</v>
      </c>
      <c r="D3195" s="6" t="s">
        <v>12095</v>
      </c>
      <c r="E3195" s="9" t="s">
        <v>12096</v>
      </c>
      <c r="F3195" s="6" t="s">
        <v>12095</v>
      </c>
      <c r="G3195" s="9"/>
      <c r="H3195" s="9" t="s">
        <v>18</v>
      </c>
      <c r="I3195" s="16" t="str">
        <f>VLOOKUP(F3195,[1]完整分类结果!$E:$G,3,0)</f>
        <v>废品废料</v>
      </c>
      <c r="J3195" s="16">
        <f>VLOOKUP(I3195,[2]行业排放因子!$A:$B,2,0)</f>
        <v>7.1376022803708201</v>
      </c>
      <c r="K3195" s="9" t="s">
        <v>756</v>
      </c>
    </row>
    <row r="3196" spans="1:11" ht="12.5" customHeight="1" x14ac:dyDescent="0.25">
      <c r="A3196" s="5" t="s">
        <v>12097</v>
      </c>
      <c r="B3196" s="6" t="s">
        <v>12044</v>
      </c>
      <c r="C3196" s="6" t="s">
        <v>12098</v>
      </c>
      <c r="D3196" s="6" t="s">
        <v>12099</v>
      </c>
      <c r="E3196" s="9" t="s">
        <v>12100</v>
      </c>
      <c r="F3196" s="6" t="s">
        <v>12099</v>
      </c>
      <c r="G3196" s="9"/>
      <c r="H3196" s="9" t="s">
        <v>18</v>
      </c>
      <c r="I3196" s="16" t="str">
        <f>VLOOKUP(F3196,[1]完整分类结果!$E:$G,3,0)</f>
        <v>废品废料</v>
      </c>
      <c r="J3196" s="16">
        <f>VLOOKUP(I3196,[2]行业排放因子!$A:$B,2,0)</f>
        <v>7.1376022803708201</v>
      </c>
      <c r="K3196" s="9" t="s">
        <v>3898</v>
      </c>
    </row>
    <row r="3197" spans="1:11" ht="12.5" customHeight="1" x14ac:dyDescent="0.25">
      <c r="A3197" s="5" t="s">
        <v>12101</v>
      </c>
      <c r="B3197" s="6" t="s">
        <v>12044</v>
      </c>
      <c r="C3197" s="6" t="s">
        <v>12098</v>
      </c>
      <c r="D3197" s="6" t="s">
        <v>12102</v>
      </c>
      <c r="E3197" s="9" t="s">
        <v>12103</v>
      </c>
      <c r="F3197" s="6" t="s">
        <v>12102</v>
      </c>
      <c r="G3197" s="9"/>
      <c r="H3197" s="9" t="s">
        <v>18</v>
      </c>
      <c r="I3197" s="16" t="str">
        <f>VLOOKUP(F3197,[1]完整分类结果!$E:$G,3,0)</f>
        <v>废品废料</v>
      </c>
      <c r="J3197" s="16">
        <f>VLOOKUP(I3197,[2]行业排放因子!$A:$B,2,0)</f>
        <v>7.1376022803708201</v>
      </c>
      <c r="K3197" s="9" t="s">
        <v>3898</v>
      </c>
    </row>
    <row r="3198" spans="1:11" ht="12.5" customHeight="1" x14ac:dyDescent="0.25">
      <c r="A3198" s="5" t="s">
        <v>12104</v>
      </c>
      <c r="B3198" s="6" t="s">
        <v>12044</v>
      </c>
      <c r="C3198" s="6" t="s">
        <v>12098</v>
      </c>
      <c r="D3198" s="6" t="s">
        <v>12105</v>
      </c>
      <c r="E3198" s="9" t="s">
        <v>12106</v>
      </c>
      <c r="F3198" s="6" t="s">
        <v>12105</v>
      </c>
      <c r="G3198" s="9"/>
      <c r="H3198" s="9" t="s">
        <v>18</v>
      </c>
      <c r="I3198" s="16" t="str">
        <f>VLOOKUP(F3198,[1]完整分类结果!$E:$G,3,0)</f>
        <v>废品废料</v>
      </c>
      <c r="J3198" s="16">
        <f>VLOOKUP(I3198,[2]行业排放因子!$A:$B,2,0)</f>
        <v>7.1376022803708201</v>
      </c>
      <c r="K3198" s="9" t="s">
        <v>3898</v>
      </c>
    </row>
    <row r="3199" spans="1:11" ht="12.5" customHeight="1" x14ac:dyDescent="0.25">
      <c r="A3199" s="5" t="s">
        <v>12107</v>
      </c>
      <c r="B3199" s="6" t="s">
        <v>12044</v>
      </c>
      <c r="C3199" s="6" t="s">
        <v>12098</v>
      </c>
      <c r="D3199" s="6" t="s">
        <v>12108</v>
      </c>
      <c r="E3199" s="9" t="s">
        <v>12109</v>
      </c>
      <c r="F3199" s="6" t="s">
        <v>12108</v>
      </c>
      <c r="G3199" s="9"/>
      <c r="H3199" s="9" t="s">
        <v>18</v>
      </c>
      <c r="I3199" s="16" t="str">
        <f>VLOOKUP(F3199,[1]完整分类结果!$E:$G,3,0)</f>
        <v>废品废料</v>
      </c>
      <c r="J3199" s="16">
        <f>VLOOKUP(I3199,[2]行业排放因子!$A:$B,2,0)</f>
        <v>7.1376022803708201</v>
      </c>
      <c r="K3199" s="9" t="s">
        <v>3898</v>
      </c>
    </row>
    <row r="3200" spans="1:11" ht="12.5" customHeight="1" x14ac:dyDescent="0.25">
      <c r="A3200" s="5" t="s">
        <v>12110</v>
      </c>
      <c r="B3200" s="6" t="s">
        <v>12044</v>
      </c>
      <c r="C3200" s="6" t="s">
        <v>12098</v>
      </c>
      <c r="D3200" s="6" t="s">
        <v>12111</v>
      </c>
      <c r="E3200" s="9" t="s">
        <v>12112</v>
      </c>
      <c r="F3200" s="6" t="s">
        <v>12111</v>
      </c>
      <c r="G3200" s="9"/>
      <c r="H3200" s="9" t="s">
        <v>18</v>
      </c>
      <c r="I3200" s="16" t="str">
        <f>VLOOKUP(F3200,[1]完整分类结果!$E:$G,3,0)</f>
        <v>废品废料</v>
      </c>
      <c r="J3200" s="16">
        <f>VLOOKUP(I3200,[2]行业排放因子!$A:$B,2,0)</f>
        <v>7.1376022803708201</v>
      </c>
      <c r="K3200" s="9" t="s">
        <v>3898</v>
      </c>
    </row>
    <row r="3201" spans="1:11" ht="12.5" customHeight="1" x14ac:dyDescent="0.25">
      <c r="A3201" s="5" t="s">
        <v>12113</v>
      </c>
      <c r="B3201" s="6" t="s">
        <v>12044</v>
      </c>
      <c r="C3201" s="6" t="s">
        <v>12098</v>
      </c>
      <c r="D3201" s="6" t="s">
        <v>12114</v>
      </c>
      <c r="E3201" s="9" t="s">
        <v>12115</v>
      </c>
      <c r="F3201" s="6" t="s">
        <v>12114</v>
      </c>
      <c r="G3201" s="9"/>
      <c r="H3201" s="9" t="s">
        <v>18</v>
      </c>
      <c r="I3201" s="16" t="str">
        <f>VLOOKUP(F3201,[1]完整分类结果!$E:$G,3,0)</f>
        <v>废品废料</v>
      </c>
      <c r="J3201" s="16">
        <f>VLOOKUP(I3201,[2]行业排放因子!$A:$B,2,0)</f>
        <v>7.1376022803708201</v>
      </c>
      <c r="K3201" s="9" t="s">
        <v>3898</v>
      </c>
    </row>
    <row r="3202" spans="1:11" ht="12.5" customHeight="1" x14ac:dyDescent="0.25">
      <c r="A3202" s="5" t="s">
        <v>12116</v>
      </c>
      <c r="B3202" s="6" t="s">
        <v>12044</v>
      </c>
      <c r="C3202" s="6" t="s">
        <v>12098</v>
      </c>
      <c r="D3202" s="6" t="s">
        <v>12117</v>
      </c>
      <c r="E3202" s="9" t="s">
        <v>12118</v>
      </c>
      <c r="F3202" s="6" t="s">
        <v>12117</v>
      </c>
      <c r="G3202" s="9"/>
      <c r="H3202" s="9" t="s">
        <v>18</v>
      </c>
      <c r="I3202" s="16" t="str">
        <f>VLOOKUP(F3202,[1]完整分类结果!$E:$G,3,0)</f>
        <v>废品废料</v>
      </c>
      <c r="J3202" s="16">
        <f>VLOOKUP(I3202,[2]行业排放因子!$A:$B,2,0)</f>
        <v>7.1376022803708201</v>
      </c>
      <c r="K3202" s="9" t="s">
        <v>756</v>
      </c>
    </row>
    <row r="3203" spans="1:11" ht="12.5" customHeight="1" x14ac:dyDescent="0.25">
      <c r="A3203" s="5" t="s">
        <v>12119</v>
      </c>
      <c r="B3203" s="6" t="s">
        <v>12044</v>
      </c>
      <c r="C3203" s="6" t="s">
        <v>12120</v>
      </c>
      <c r="D3203" s="6" t="s">
        <v>12121</v>
      </c>
      <c r="E3203" s="9" t="s">
        <v>12122</v>
      </c>
      <c r="F3203" s="6" t="s">
        <v>12121</v>
      </c>
      <c r="G3203" s="9"/>
      <c r="H3203" s="9" t="s">
        <v>18</v>
      </c>
      <c r="I3203" s="16" t="str">
        <f>VLOOKUP(F3203,[1]完整分类结果!$E:$G,3,0)</f>
        <v>废品废料</v>
      </c>
      <c r="J3203" s="16">
        <f>VLOOKUP(I3203,[2]行业排放因子!$A:$B,2,0)</f>
        <v>7.1376022803708201</v>
      </c>
      <c r="K3203" s="9" t="s">
        <v>756</v>
      </c>
    </row>
    <row r="3204" spans="1:11" ht="12.5" customHeight="1" x14ac:dyDescent="0.25">
      <c r="A3204" s="5" t="s">
        <v>12123</v>
      </c>
      <c r="B3204" s="6" t="s">
        <v>12044</v>
      </c>
      <c r="C3204" s="6" t="s">
        <v>12120</v>
      </c>
      <c r="D3204" s="6" t="s">
        <v>12124</v>
      </c>
      <c r="E3204" s="9" t="s">
        <v>12125</v>
      </c>
      <c r="F3204" s="6" t="s">
        <v>12124</v>
      </c>
      <c r="G3204" s="9"/>
      <c r="H3204" s="9" t="s">
        <v>18</v>
      </c>
      <c r="I3204" s="16" t="str">
        <f>VLOOKUP(F3204,[1]完整分类结果!$E:$G,3,0)</f>
        <v>废品废料</v>
      </c>
      <c r="J3204" s="16">
        <f>VLOOKUP(I3204,[2]行业排放因子!$A:$B,2,0)</f>
        <v>7.1376022803708201</v>
      </c>
      <c r="K3204" s="9" t="s">
        <v>756</v>
      </c>
    </row>
    <row r="3205" spans="1:11" ht="12.5" customHeight="1" x14ac:dyDescent="0.25">
      <c r="A3205" s="5" t="s">
        <v>12126</v>
      </c>
      <c r="B3205" s="6" t="s">
        <v>12044</v>
      </c>
      <c r="C3205" s="6" t="s">
        <v>12120</v>
      </c>
      <c r="D3205" s="6" t="s">
        <v>12127</v>
      </c>
      <c r="E3205" s="9" t="s">
        <v>12128</v>
      </c>
      <c r="F3205" s="6" t="s">
        <v>12127</v>
      </c>
      <c r="G3205" s="9"/>
      <c r="H3205" s="9" t="s">
        <v>18</v>
      </c>
      <c r="I3205" s="16" t="str">
        <f>VLOOKUP(F3205,[1]完整分类结果!$E:$G,3,0)</f>
        <v>废品废料</v>
      </c>
      <c r="J3205" s="16">
        <f>VLOOKUP(I3205,[2]行业排放因子!$A:$B,2,0)</f>
        <v>7.1376022803708201</v>
      </c>
      <c r="K3205" s="9" t="s">
        <v>756</v>
      </c>
    </row>
    <row r="3206" spans="1:11" ht="12.5" customHeight="1" x14ac:dyDescent="0.25">
      <c r="A3206" s="5" t="s">
        <v>12129</v>
      </c>
      <c r="B3206" s="6" t="s">
        <v>12044</v>
      </c>
      <c r="C3206" s="6" t="s">
        <v>12130</v>
      </c>
      <c r="D3206" s="6" t="s">
        <v>12131</v>
      </c>
      <c r="E3206" s="9" t="s">
        <v>12132</v>
      </c>
      <c r="F3206" s="6" t="s">
        <v>12131</v>
      </c>
      <c r="G3206" s="9"/>
      <c r="H3206" s="9" t="s">
        <v>18</v>
      </c>
      <c r="I3206" s="16" t="str">
        <f>VLOOKUP(F3206,[1]完整分类结果!$E:$G,3,0)</f>
        <v>废品废料</v>
      </c>
      <c r="J3206" s="16">
        <f>VLOOKUP(I3206,[2]行业排放因子!$A:$B,2,0)</f>
        <v>7.1376022803708201</v>
      </c>
      <c r="K3206" s="9" t="s">
        <v>779</v>
      </c>
    </row>
    <row r="3207" spans="1:11" ht="12.5" customHeight="1" x14ac:dyDescent="0.25">
      <c r="A3207" s="5" t="s">
        <v>12133</v>
      </c>
      <c r="B3207" s="6" t="s">
        <v>12044</v>
      </c>
      <c r="C3207" s="6" t="s">
        <v>12130</v>
      </c>
      <c r="D3207" s="6" t="s">
        <v>12134</v>
      </c>
      <c r="E3207" s="9" t="s">
        <v>12135</v>
      </c>
      <c r="F3207" s="6" t="s">
        <v>12134</v>
      </c>
      <c r="G3207" s="9"/>
      <c r="H3207" s="9" t="s">
        <v>18</v>
      </c>
      <c r="I3207" s="16" t="str">
        <f>VLOOKUP(F3207,[1]完整分类结果!$E:$G,3,0)</f>
        <v>废品废料</v>
      </c>
      <c r="J3207" s="16">
        <f>VLOOKUP(I3207,[2]行业排放因子!$A:$B,2,0)</f>
        <v>7.1376022803708201</v>
      </c>
      <c r="K3207" s="9" t="s">
        <v>756</v>
      </c>
    </row>
    <row r="3208" spans="1:11" ht="12.5" customHeight="1" x14ac:dyDescent="0.25">
      <c r="A3208" s="5" t="s">
        <v>12136</v>
      </c>
      <c r="B3208" s="6" t="s">
        <v>12044</v>
      </c>
      <c r="C3208" s="6" t="s">
        <v>12130</v>
      </c>
      <c r="D3208" s="6" t="s">
        <v>12137</v>
      </c>
      <c r="E3208" s="9" t="s">
        <v>12138</v>
      </c>
      <c r="F3208" s="6" t="s">
        <v>12137</v>
      </c>
      <c r="G3208" s="9"/>
      <c r="H3208" s="9" t="s">
        <v>18</v>
      </c>
      <c r="I3208" s="16" t="str">
        <f>VLOOKUP(F3208,[1]完整分类结果!$E:$G,3,0)</f>
        <v>废品废料</v>
      </c>
      <c r="J3208" s="16">
        <f>VLOOKUP(I3208,[2]行业排放因子!$A:$B,2,0)</f>
        <v>7.1376022803708201</v>
      </c>
      <c r="K3208" s="9" t="s">
        <v>756</v>
      </c>
    </row>
    <row r="3209" spans="1:11" ht="12.5" customHeight="1" x14ac:dyDescent="0.25">
      <c r="A3209" s="5" t="s">
        <v>12139</v>
      </c>
      <c r="B3209" s="6" t="s">
        <v>12044</v>
      </c>
      <c r="C3209" s="6" t="s">
        <v>12130</v>
      </c>
      <c r="D3209" s="6" t="s">
        <v>12140</v>
      </c>
      <c r="E3209" s="9" t="s">
        <v>12141</v>
      </c>
      <c r="F3209" s="6" t="s">
        <v>12140</v>
      </c>
      <c r="G3209" s="9"/>
      <c r="H3209" s="9" t="s">
        <v>18</v>
      </c>
      <c r="I3209" s="16" t="str">
        <f>VLOOKUP(F3209,[1]完整分类结果!$E:$G,3,0)</f>
        <v>废品废料</v>
      </c>
      <c r="J3209" s="16">
        <f>VLOOKUP(I3209,[2]行业排放因子!$A:$B,2,0)</f>
        <v>7.1376022803708201</v>
      </c>
      <c r="K3209" s="9" t="s">
        <v>756</v>
      </c>
    </row>
    <row r="3210" spans="1:11" ht="12.5" customHeight="1" x14ac:dyDescent="0.25">
      <c r="A3210" s="5" t="s">
        <v>12142</v>
      </c>
      <c r="B3210" s="6" t="s">
        <v>12044</v>
      </c>
      <c r="C3210" s="6" t="s">
        <v>12143</v>
      </c>
      <c r="D3210" s="6" t="s">
        <v>12144</v>
      </c>
      <c r="E3210" s="9" t="s">
        <v>12145</v>
      </c>
      <c r="F3210" s="6" t="s">
        <v>12144</v>
      </c>
      <c r="G3210" s="9"/>
      <c r="H3210" s="9" t="s">
        <v>18</v>
      </c>
      <c r="I3210" s="16" t="str">
        <f>VLOOKUP(F3210,[1]完整分类结果!$E:$G,3,0)</f>
        <v>废品废料</v>
      </c>
      <c r="J3210" s="16">
        <f>VLOOKUP(I3210,[2]行业排放因子!$A:$B,2,0)</f>
        <v>7.1376022803708201</v>
      </c>
      <c r="K3210" s="9" t="s">
        <v>756</v>
      </c>
    </row>
    <row r="3211" spans="1:11" ht="12.5" customHeight="1" x14ac:dyDescent="0.25">
      <c r="A3211" s="5" t="s">
        <v>12146</v>
      </c>
      <c r="B3211" s="6" t="s">
        <v>12044</v>
      </c>
      <c r="C3211" s="6" t="s">
        <v>12143</v>
      </c>
      <c r="D3211" s="6" t="s">
        <v>12147</v>
      </c>
      <c r="E3211" s="9" t="s">
        <v>12148</v>
      </c>
      <c r="F3211" s="6" t="s">
        <v>12147</v>
      </c>
      <c r="G3211" s="9"/>
      <c r="H3211" s="9" t="s">
        <v>18</v>
      </c>
      <c r="I3211" s="16" t="str">
        <f>VLOOKUP(F3211,[1]完整分类结果!$E:$G,3,0)</f>
        <v>废品废料</v>
      </c>
      <c r="J3211" s="16">
        <f>VLOOKUP(I3211,[2]行业排放因子!$A:$B,2,0)</f>
        <v>7.1376022803708201</v>
      </c>
      <c r="K3211" s="9" t="s">
        <v>756</v>
      </c>
    </row>
    <row r="3212" spans="1:11" ht="12.5" customHeight="1" x14ac:dyDescent="0.25">
      <c r="A3212" s="5" t="s">
        <v>12149</v>
      </c>
      <c r="B3212" s="6" t="s">
        <v>12044</v>
      </c>
      <c r="C3212" s="6" t="s">
        <v>12143</v>
      </c>
      <c r="D3212" s="6" t="s">
        <v>12150</v>
      </c>
      <c r="E3212" s="9" t="s">
        <v>12151</v>
      </c>
      <c r="F3212" s="6" t="s">
        <v>12150</v>
      </c>
      <c r="G3212" s="9"/>
      <c r="H3212" s="9" t="s">
        <v>18</v>
      </c>
      <c r="I3212" s="16" t="str">
        <f>VLOOKUP(F3212,[1]完整分类结果!$E:$G,3,0)</f>
        <v>废品废料</v>
      </c>
      <c r="J3212" s="16">
        <f>VLOOKUP(I3212,[2]行业排放因子!$A:$B,2,0)</f>
        <v>7.1376022803708201</v>
      </c>
      <c r="K3212" s="9" t="s">
        <v>756</v>
      </c>
    </row>
    <row r="3213" spans="1:11" ht="12.5" customHeight="1" x14ac:dyDescent="0.25">
      <c r="A3213" s="5" t="s">
        <v>12152</v>
      </c>
      <c r="B3213" s="6" t="s">
        <v>12044</v>
      </c>
      <c r="C3213" s="6" t="s">
        <v>12153</v>
      </c>
      <c r="D3213" s="6" t="s">
        <v>12153</v>
      </c>
      <c r="E3213" s="9" t="s">
        <v>12154</v>
      </c>
      <c r="F3213" s="6" t="s">
        <v>12153</v>
      </c>
      <c r="G3213" s="9"/>
      <c r="H3213" s="9" t="s">
        <v>18</v>
      </c>
      <c r="I3213" s="16" t="str">
        <f>VLOOKUP(F3213,[1]完整分类结果!$E:$G,3,0)</f>
        <v>废品废料</v>
      </c>
      <c r="J3213" s="16">
        <f>VLOOKUP(I3213,[2]行业排放因子!$A:$B,2,0)</f>
        <v>7.1376022803708201</v>
      </c>
      <c r="K3213" s="9" t="s">
        <v>756</v>
      </c>
    </row>
    <row r="3214" spans="1:11" ht="12.5" customHeight="1" x14ac:dyDescent="0.25">
      <c r="A3214" s="5" t="s">
        <v>12155</v>
      </c>
      <c r="B3214" s="6" t="s">
        <v>12044</v>
      </c>
      <c r="C3214" s="6" t="s">
        <v>12156</v>
      </c>
      <c r="D3214" s="6" t="s">
        <v>12156</v>
      </c>
      <c r="E3214" s="9" t="s">
        <v>12157</v>
      </c>
      <c r="F3214" s="6" t="s">
        <v>12156</v>
      </c>
      <c r="G3214" s="9"/>
      <c r="H3214" s="9" t="s">
        <v>18</v>
      </c>
      <c r="I3214" s="16" t="str">
        <f>VLOOKUP(F3214,[1]完整分类结果!$E:$G,3,0)</f>
        <v>废品废料</v>
      </c>
      <c r="J3214" s="16">
        <f>VLOOKUP(I3214,[2]行业排放因子!$A:$B,2,0)</f>
        <v>7.1376022803708201</v>
      </c>
      <c r="K3214" s="9" t="s">
        <v>756</v>
      </c>
    </row>
  </sheetData>
  <phoneticPr fontId="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89"/>
  <sheetViews>
    <sheetView tabSelected="1" workbookViewId="0">
      <selection activeCell="J4" sqref="J4"/>
    </sheetView>
  </sheetViews>
  <sheetFormatPr defaultColWidth="9.26953125" defaultRowHeight="14" x14ac:dyDescent="0.25"/>
  <cols>
    <col min="1" max="1" width="5.90625" style="1"/>
    <col min="2" max="2" width="9.26953125" style="2" customWidth="1"/>
    <col min="3" max="3" width="16" style="2" customWidth="1"/>
    <col min="4" max="4" width="19.90625" style="2" customWidth="1"/>
    <col min="5" max="5" width="20.81640625" style="2" customWidth="1"/>
    <col min="6" max="6" width="29.36328125" style="2" customWidth="1"/>
    <col min="7" max="7" width="31.26953125" style="2" customWidth="1"/>
    <col min="8" max="8" width="15.6328125" style="2" customWidth="1"/>
    <col min="9" max="9" width="22.90625" customWidth="1"/>
    <col min="10" max="10" width="17.7265625" customWidth="1"/>
  </cols>
  <sheetData>
    <row r="1" spans="1:10" ht="28" customHeight="1" x14ac:dyDescent="0.25">
      <c r="A1" s="3" t="s">
        <v>0</v>
      </c>
      <c r="B1" s="3" t="s">
        <v>1</v>
      </c>
      <c r="C1" s="3" t="s">
        <v>2</v>
      </c>
      <c r="D1" s="4" t="s">
        <v>3</v>
      </c>
      <c r="E1" s="7" t="s">
        <v>4</v>
      </c>
      <c r="F1" s="4" t="s">
        <v>5</v>
      </c>
      <c r="G1" s="4" t="s">
        <v>6</v>
      </c>
      <c r="H1" s="8" t="s">
        <v>7</v>
      </c>
      <c r="I1" s="8" t="s">
        <v>8</v>
      </c>
      <c r="J1" s="8" t="s">
        <v>9</v>
      </c>
    </row>
    <row r="2" spans="1:10" x14ac:dyDescent="0.25">
      <c r="A2" s="5" t="s">
        <v>11</v>
      </c>
      <c r="B2" s="6" t="s">
        <v>12158</v>
      </c>
      <c r="C2" s="6" t="s">
        <v>12159</v>
      </c>
      <c r="D2" s="6" t="s">
        <v>12158</v>
      </c>
      <c r="E2" s="6" t="s">
        <v>12160</v>
      </c>
      <c r="F2" s="6" t="s">
        <v>12161</v>
      </c>
      <c r="G2" s="9" t="s">
        <v>12162</v>
      </c>
      <c r="H2" s="9" t="s">
        <v>18</v>
      </c>
      <c r="I2" s="10" t="str">
        <f>VLOOKUP(F2,[3]分类结果!$F:$G,2,0)</f>
        <v>废品废料</v>
      </c>
      <c r="J2" s="11">
        <f>VLOOKUP(I2,[2]行业排放因子!$A:$B,2,0)</f>
        <v>7.1376022803708201</v>
      </c>
    </row>
    <row r="3" spans="1:10" x14ac:dyDescent="0.25">
      <c r="A3" s="5" t="s">
        <v>20</v>
      </c>
      <c r="B3" s="6" t="s">
        <v>12158</v>
      </c>
      <c r="C3" s="6" t="s">
        <v>12159</v>
      </c>
      <c r="D3" s="6" t="s">
        <v>12158</v>
      </c>
      <c r="E3" s="6" t="s">
        <v>12163</v>
      </c>
      <c r="F3" s="6" t="s">
        <v>12164</v>
      </c>
      <c r="G3" s="9" t="s">
        <v>12165</v>
      </c>
      <c r="H3" s="9" t="s">
        <v>18</v>
      </c>
      <c r="I3" s="10" t="str">
        <f>VLOOKUP(F3,[3]分类结果!$F:$G,2,0)</f>
        <v>其他制造业</v>
      </c>
      <c r="J3" s="11">
        <f>VLOOKUP(I3,[2]行业排放因子!$A:$B,2,0)</f>
        <v>0.245415556625804</v>
      </c>
    </row>
    <row r="4" spans="1:10" x14ac:dyDescent="0.25">
      <c r="A4" s="5" t="s">
        <v>24</v>
      </c>
      <c r="B4" s="6" t="s">
        <v>12158</v>
      </c>
      <c r="C4" s="6" t="s">
        <v>12159</v>
      </c>
      <c r="D4" s="6" t="s">
        <v>12158</v>
      </c>
      <c r="E4" s="6" t="s">
        <v>12166</v>
      </c>
      <c r="F4" s="6" t="s">
        <v>12167</v>
      </c>
      <c r="G4" s="9" t="s">
        <v>12168</v>
      </c>
      <c r="H4" s="9" t="s">
        <v>18</v>
      </c>
      <c r="I4" s="10" t="str">
        <f>VLOOKUP(F4,[3]分类结果!$F:$G,2,0)</f>
        <v>其他制造业</v>
      </c>
      <c r="J4" s="11">
        <f>VLOOKUP(I4,[2]行业排放因子!$A:$B,2,0)</f>
        <v>0.245415556625804</v>
      </c>
    </row>
    <row r="5" spans="1:10" x14ac:dyDescent="0.25">
      <c r="A5" s="5" t="s">
        <v>28</v>
      </c>
      <c r="B5" s="6" t="s">
        <v>12158</v>
      </c>
      <c r="C5" s="6" t="s">
        <v>12159</v>
      </c>
      <c r="D5" s="6" t="s">
        <v>12158</v>
      </c>
      <c r="E5" s="6" t="s">
        <v>12169</v>
      </c>
      <c r="F5" s="6" t="s">
        <v>12170</v>
      </c>
      <c r="G5" s="9" t="s">
        <v>12171</v>
      </c>
      <c r="H5" s="9" t="s">
        <v>18</v>
      </c>
      <c r="I5" s="10" t="str">
        <f>VLOOKUP(F5,[3]分类结果!$F:$G,2,0)</f>
        <v>其他制造业</v>
      </c>
      <c r="J5" s="11">
        <f>VLOOKUP(I5,[2]行业排放因子!$A:$B,2,0)</f>
        <v>0.245415556625804</v>
      </c>
    </row>
    <row r="6" spans="1:10" x14ac:dyDescent="0.25">
      <c r="A6" s="5" t="s">
        <v>32</v>
      </c>
      <c r="B6" s="6" t="s">
        <v>12158</v>
      </c>
      <c r="C6" s="6" t="s">
        <v>12172</v>
      </c>
      <c r="D6" s="6" t="s">
        <v>12158</v>
      </c>
      <c r="E6" s="6" t="s">
        <v>12173</v>
      </c>
      <c r="F6" s="6" t="s">
        <v>12172</v>
      </c>
      <c r="G6" s="9" t="s">
        <v>12174</v>
      </c>
      <c r="H6" s="9" t="s">
        <v>18</v>
      </c>
      <c r="I6" s="10" t="str">
        <f>VLOOKUP(F6,[3]分类结果!$F:$G,2,0)</f>
        <v>其他制造业</v>
      </c>
      <c r="J6" s="11">
        <f>VLOOKUP(I6,[2]行业排放因子!$A:$B,2,0)</f>
        <v>0.245415556625804</v>
      </c>
    </row>
    <row r="7" spans="1:10" x14ac:dyDescent="0.25">
      <c r="A7" s="5" t="s">
        <v>36</v>
      </c>
      <c r="B7" s="6" t="s">
        <v>12158</v>
      </c>
      <c r="C7" s="6" t="s">
        <v>12175</v>
      </c>
      <c r="D7" s="6" t="s">
        <v>12158</v>
      </c>
      <c r="E7" s="6" t="s">
        <v>12176</v>
      </c>
      <c r="F7" s="6" t="s">
        <v>12177</v>
      </c>
      <c r="G7" s="9" t="s">
        <v>12178</v>
      </c>
      <c r="H7" s="9" t="s">
        <v>18</v>
      </c>
      <c r="I7" s="10" t="str">
        <f>VLOOKUP(F7,[3]分类结果!$F:$G,2,0)</f>
        <v>石油和天然气开采业</v>
      </c>
      <c r="J7" s="11">
        <f>VLOOKUP(I7,[2]行业排放因子!$A:$B,2,0)</f>
        <v>44.014305075647201</v>
      </c>
    </row>
    <row r="8" spans="1:10" x14ac:dyDescent="0.25">
      <c r="A8" s="5" t="s">
        <v>40</v>
      </c>
      <c r="B8" s="6" t="s">
        <v>12158</v>
      </c>
      <c r="C8" s="6" t="s">
        <v>12175</v>
      </c>
      <c r="D8" s="6" t="s">
        <v>12158</v>
      </c>
      <c r="E8" s="6" t="s">
        <v>12179</v>
      </c>
      <c r="F8" s="6" t="s">
        <v>12180</v>
      </c>
      <c r="G8" s="9" t="s">
        <v>12181</v>
      </c>
      <c r="H8" s="9" t="s">
        <v>18</v>
      </c>
      <c r="I8" s="10" t="str">
        <f>VLOOKUP(F8,[3]分类结果!$F:$G,2,0)</f>
        <v>其他制造业</v>
      </c>
      <c r="J8" s="11">
        <f>VLOOKUP(I8,[2]行业排放因子!$A:$B,2,0)</f>
        <v>0.245415556625804</v>
      </c>
    </row>
    <row r="9" spans="1:10" x14ac:dyDescent="0.25">
      <c r="A9" s="5" t="s">
        <v>44</v>
      </c>
      <c r="B9" s="6" t="s">
        <v>12182</v>
      </c>
      <c r="C9" s="6" t="s">
        <v>12183</v>
      </c>
      <c r="D9" s="6" t="s">
        <v>12184</v>
      </c>
      <c r="E9" s="6" t="s">
        <v>12185</v>
      </c>
      <c r="F9" s="6" t="s">
        <v>12186</v>
      </c>
      <c r="G9" s="9" t="s">
        <v>12187</v>
      </c>
      <c r="H9" s="9" t="s">
        <v>18</v>
      </c>
      <c r="I9" s="10" t="str">
        <f>VLOOKUP(F9,[3]分类结果!$F:$G,2,0)</f>
        <v>交通运输、仓储、邮电通信业</v>
      </c>
      <c r="J9" s="11">
        <f>VLOOKUP(I9,[2]行业排放因子!$A:$B,2,0)</f>
        <v>667.48066458135202</v>
      </c>
    </row>
    <row r="10" spans="1:10" x14ac:dyDescent="0.25">
      <c r="A10" s="5" t="s">
        <v>47</v>
      </c>
      <c r="B10" s="6" t="s">
        <v>12182</v>
      </c>
      <c r="C10" s="6" t="s">
        <v>12183</v>
      </c>
      <c r="D10" s="6" t="s">
        <v>12184</v>
      </c>
      <c r="E10" s="6" t="s">
        <v>12188</v>
      </c>
      <c r="F10" s="6" t="s">
        <v>12189</v>
      </c>
      <c r="G10" s="9" t="s">
        <v>12190</v>
      </c>
      <c r="H10" s="9" t="s">
        <v>18</v>
      </c>
      <c r="I10" s="10" t="str">
        <f>VLOOKUP(F10,[3]分类结果!$F:$G,2,0)</f>
        <v>交通运输、仓储、邮电通信业</v>
      </c>
      <c r="J10" s="11">
        <f>VLOOKUP(I10,[2]行业排放因子!$A:$B,2,0)</f>
        <v>667.48066458135202</v>
      </c>
    </row>
    <row r="11" spans="1:10" x14ac:dyDescent="0.25">
      <c r="A11" s="5" t="s">
        <v>51</v>
      </c>
      <c r="B11" s="6" t="s">
        <v>12182</v>
      </c>
      <c r="C11" s="6" t="s">
        <v>12183</v>
      </c>
      <c r="D11" s="6" t="s">
        <v>12184</v>
      </c>
      <c r="E11" s="6" t="s">
        <v>12191</v>
      </c>
      <c r="F11" s="6" t="s">
        <v>12192</v>
      </c>
      <c r="G11" s="9" t="s">
        <v>12193</v>
      </c>
      <c r="H11" s="9" t="s">
        <v>18</v>
      </c>
      <c r="I11" s="10" t="str">
        <f>VLOOKUP(F11,[3]分类结果!$F:$G,2,0)</f>
        <v>交通运输、仓储、邮电通信业</v>
      </c>
      <c r="J11" s="11">
        <f>VLOOKUP(I11,[2]行业排放因子!$A:$B,2,0)</f>
        <v>667.48066458135202</v>
      </c>
    </row>
    <row r="12" spans="1:10" x14ac:dyDescent="0.25">
      <c r="A12" s="5" t="s">
        <v>55</v>
      </c>
      <c r="B12" s="6" t="s">
        <v>12182</v>
      </c>
      <c r="C12" s="6" t="s">
        <v>12183</v>
      </c>
      <c r="D12" s="6" t="s">
        <v>12184</v>
      </c>
      <c r="E12" s="6" t="s">
        <v>12194</v>
      </c>
      <c r="F12" s="6" t="s">
        <v>12195</v>
      </c>
      <c r="G12" s="9" t="s">
        <v>12196</v>
      </c>
      <c r="H12" s="9" t="s">
        <v>18</v>
      </c>
      <c r="I12" s="10" t="str">
        <f>VLOOKUP(F12,[3]分类结果!$F:$G,2,0)</f>
        <v>交通运输设备制造业</v>
      </c>
      <c r="J12" s="11">
        <f>VLOOKUP(I12,[2]行业排放因子!$A:$B,2,0)</f>
        <v>6.2441374348339602</v>
      </c>
    </row>
    <row r="13" spans="1:10" x14ac:dyDescent="0.25">
      <c r="A13" s="5" t="s">
        <v>60</v>
      </c>
      <c r="B13" s="6" t="s">
        <v>12182</v>
      </c>
      <c r="C13" s="6" t="s">
        <v>12183</v>
      </c>
      <c r="D13" s="6" t="s">
        <v>12184</v>
      </c>
      <c r="E13" s="6" t="s">
        <v>12197</v>
      </c>
      <c r="F13" s="6" t="s">
        <v>12198</v>
      </c>
      <c r="G13" s="9" t="s">
        <v>12199</v>
      </c>
      <c r="H13" s="9" t="s">
        <v>18</v>
      </c>
      <c r="I13" s="10" t="str">
        <f>VLOOKUP(F13,[3]分类结果!$F:$G,2,0)</f>
        <v>交通运输设备制造业</v>
      </c>
      <c r="J13" s="11">
        <f>VLOOKUP(I13,[2]行业排放因子!$A:$B,2,0)</f>
        <v>6.2441374348339602</v>
      </c>
    </row>
    <row r="14" spans="1:10" x14ac:dyDescent="0.25">
      <c r="A14" s="5" t="s">
        <v>64</v>
      </c>
      <c r="B14" s="6" t="s">
        <v>12182</v>
      </c>
      <c r="C14" s="6" t="s">
        <v>12183</v>
      </c>
      <c r="D14" s="6" t="s">
        <v>12184</v>
      </c>
      <c r="E14" s="6" t="s">
        <v>12200</v>
      </c>
      <c r="F14" s="6" t="s">
        <v>12201</v>
      </c>
      <c r="G14" s="9" t="s">
        <v>12202</v>
      </c>
      <c r="H14" s="9" t="s">
        <v>18</v>
      </c>
      <c r="I14" s="10" t="str">
        <f>VLOOKUP(F14,[3]分类结果!$F:$G,2,0)</f>
        <v>交通运输设备制造业</v>
      </c>
      <c r="J14" s="11">
        <f>VLOOKUP(I14,[2]行业排放因子!$A:$B,2,0)</f>
        <v>6.2441374348339602</v>
      </c>
    </row>
    <row r="15" spans="1:10" x14ac:dyDescent="0.25">
      <c r="A15" s="5" t="s">
        <v>68</v>
      </c>
      <c r="B15" s="6" t="s">
        <v>12182</v>
      </c>
      <c r="C15" s="6" t="s">
        <v>12183</v>
      </c>
      <c r="D15" s="6" t="s">
        <v>12184</v>
      </c>
      <c r="E15" s="6" t="s">
        <v>12203</v>
      </c>
      <c r="F15" s="6" t="s">
        <v>12204</v>
      </c>
      <c r="G15" s="9" t="s">
        <v>12205</v>
      </c>
      <c r="H15" s="9" t="s">
        <v>18</v>
      </c>
      <c r="I15" s="10" t="str">
        <f>VLOOKUP(F15,[3]分类结果!$F:$G,2,0)</f>
        <v>交通运输设备制造业</v>
      </c>
      <c r="J15" s="11">
        <f>VLOOKUP(I15,[2]行业排放因子!$A:$B,2,0)</f>
        <v>6.2441374348339602</v>
      </c>
    </row>
    <row r="16" spans="1:10" x14ac:dyDescent="0.25">
      <c r="A16" s="5" t="s">
        <v>72</v>
      </c>
      <c r="B16" s="6" t="s">
        <v>12182</v>
      </c>
      <c r="C16" s="6" t="s">
        <v>12183</v>
      </c>
      <c r="D16" s="6" t="s">
        <v>12184</v>
      </c>
      <c r="E16" s="6" t="s">
        <v>12206</v>
      </c>
      <c r="F16" s="6" t="s">
        <v>12207</v>
      </c>
      <c r="G16" s="9" t="s">
        <v>12208</v>
      </c>
      <c r="H16" s="9" t="s">
        <v>18</v>
      </c>
      <c r="I16" s="10" t="str">
        <f>VLOOKUP(F16,[3]分类结果!$F:$G,2,0)</f>
        <v>交通运输设备制造业</v>
      </c>
      <c r="J16" s="11">
        <f>VLOOKUP(I16,[2]行业排放因子!$A:$B,2,0)</f>
        <v>6.2441374348339602</v>
      </c>
    </row>
    <row r="17" spans="1:10" x14ac:dyDescent="0.25">
      <c r="A17" s="5" t="s">
        <v>77</v>
      </c>
      <c r="B17" s="6" t="s">
        <v>12182</v>
      </c>
      <c r="C17" s="6" t="s">
        <v>12183</v>
      </c>
      <c r="D17" s="6" t="s">
        <v>12184</v>
      </c>
      <c r="E17" s="6" t="s">
        <v>12209</v>
      </c>
      <c r="F17" s="6" t="s">
        <v>12210</v>
      </c>
      <c r="G17" s="9" t="s">
        <v>12211</v>
      </c>
      <c r="H17" s="9" t="s">
        <v>18</v>
      </c>
      <c r="I17" s="10" t="str">
        <f>VLOOKUP(F17,[3]分类结果!$F:$G,2,0)</f>
        <v>交通运输、仓储、邮电通信业</v>
      </c>
      <c r="J17" s="11">
        <f>VLOOKUP(I17,[2]行业排放因子!$A:$B,2,0)</f>
        <v>667.48066458135202</v>
      </c>
    </row>
    <row r="18" spans="1:10" x14ac:dyDescent="0.25">
      <c r="A18" s="5" t="s">
        <v>81</v>
      </c>
      <c r="B18" s="6" t="s">
        <v>12182</v>
      </c>
      <c r="C18" s="6" t="s">
        <v>12183</v>
      </c>
      <c r="D18" s="6" t="s">
        <v>12184</v>
      </c>
      <c r="E18" s="6" t="s">
        <v>12212</v>
      </c>
      <c r="F18" s="6" t="s">
        <v>12213</v>
      </c>
      <c r="G18" s="9" t="s">
        <v>12214</v>
      </c>
      <c r="H18" s="9" t="s">
        <v>18</v>
      </c>
      <c r="I18" s="10" t="str">
        <f>VLOOKUP(F18,[3]分类结果!$F:$G,2,0)</f>
        <v>交通运输设备制造业</v>
      </c>
      <c r="J18" s="11">
        <f>VLOOKUP(I18,[2]行业排放因子!$A:$B,2,0)</f>
        <v>6.2441374348339602</v>
      </c>
    </row>
    <row r="19" spans="1:10" x14ac:dyDescent="0.25">
      <c r="A19" s="5" t="s">
        <v>85</v>
      </c>
      <c r="B19" s="6" t="s">
        <v>12182</v>
      </c>
      <c r="C19" s="6" t="s">
        <v>12183</v>
      </c>
      <c r="D19" s="6" t="s">
        <v>12184</v>
      </c>
      <c r="E19" s="6" t="s">
        <v>12215</v>
      </c>
      <c r="F19" s="6" t="s">
        <v>12216</v>
      </c>
      <c r="G19" s="9"/>
      <c r="H19" s="9" t="s">
        <v>18</v>
      </c>
      <c r="I19" s="10" t="str">
        <f>VLOOKUP(F19,[3]分类结果!$F:$G,2,0)</f>
        <v>其他制造业</v>
      </c>
      <c r="J19" s="11">
        <f>VLOOKUP(I19,[2]行业排放因子!$A:$B,2,0)</f>
        <v>0.245415556625804</v>
      </c>
    </row>
    <row r="20" spans="1:10" x14ac:dyDescent="0.25">
      <c r="A20" s="5" t="s">
        <v>89</v>
      </c>
      <c r="B20" s="6" t="s">
        <v>12182</v>
      </c>
      <c r="C20" s="6" t="s">
        <v>12183</v>
      </c>
      <c r="D20" s="6" t="s">
        <v>12184</v>
      </c>
      <c r="E20" s="6" t="s">
        <v>12217</v>
      </c>
      <c r="F20" s="6" t="s">
        <v>12218</v>
      </c>
      <c r="G20" s="9" t="s">
        <v>12219</v>
      </c>
      <c r="H20" s="9" t="s">
        <v>18</v>
      </c>
      <c r="I20" s="10" t="str">
        <f>VLOOKUP(F20,[3]分类结果!$F:$G,2,0)</f>
        <v>交通运输、仓储、邮电通信业</v>
      </c>
      <c r="J20" s="11">
        <f>VLOOKUP(I20,[2]行业排放因子!$A:$B,2,0)</f>
        <v>667.48066458135202</v>
      </c>
    </row>
    <row r="21" spans="1:10" x14ac:dyDescent="0.25">
      <c r="A21" s="5" t="s">
        <v>94</v>
      </c>
      <c r="B21" s="6" t="s">
        <v>12182</v>
      </c>
      <c r="C21" s="6" t="s">
        <v>12183</v>
      </c>
      <c r="D21" s="6" t="s">
        <v>12184</v>
      </c>
      <c r="E21" s="6" t="s">
        <v>12220</v>
      </c>
      <c r="F21" s="6" t="s">
        <v>12221</v>
      </c>
      <c r="G21" s="9" t="s">
        <v>12222</v>
      </c>
      <c r="H21" s="9" t="s">
        <v>18</v>
      </c>
      <c r="I21" s="10" t="str">
        <f>VLOOKUP(F21,[3]分类结果!$F:$G,2,0)</f>
        <v>交通运输、仓储、邮电通信业</v>
      </c>
      <c r="J21" s="11">
        <f>VLOOKUP(I21,[2]行业排放因子!$A:$B,2,0)</f>
        <v>667.48066458135202</v>
      </c>
    </row>
    <row r="22" spans="1:10" x14ac:dyDescent="0.25">
      <c r="A22" s="5" t="s">
        <v>98</v>
      </c>
      <c r="B22" s="6" t="s">
        <v>12182</v>
      </c>
      <c r="C22" s="6" t="s">
        <v>12183</v>
      </c>
      <c r="D22" s="6" t="s">
        <v>12184</v>
      </c>
      <c r="E22" s="6" t="s">
        <v>12223</v>
      </c>
      <c r="F22" s="6" t="s">
        <v>12224</v>
      </c>
      <c r="G22" s="9" t="s">
        <v>12225</v>
      </c>
      <c r="H22" s="9" t="s">
        <v>18</v>
      </c>
      <c r="I22" s="10" t="str">
        <f>VLOOKUP(F22,[3]分类结果!$F:$G,2,0)</f>
        <v>交通运输、仓储、邮电通信业</v>
      </c>
      <c r="J22" s="11">
        <f>VLOOKUP(I22,[2]行业排放因子!$A:$B,2,0)</f>
        <v>667.48066458135202</v>
      </c>
    </row>
    <row r="23" spans="1:10" x14ac:dyDescent="0.25">
      <c r="A23" s="5" t="s">
        <v>102</v>
      </c>
      <c r="B23" s="6" t="s">
        <v>12182</v>
      </c>
      <c r="C23" s="6" t="s">
        <v>12183</v>
      </c>
      <c r="D23" s="6" t="s">
        <v>12184</v>
      </c>
      <c r="E23" s="6" t="s">
        <v>12226</v>
      </c>
      <c r="F23" s="6" t="s">
        <v>12227</v>
      </c>
      <c r="G23" s="9" t="s">
        <v>12228</v>
      </c>
      <c r="H23" s="9" t="s">
        <v>18</v>
      </c>
      <c r="I23" s="10" t="str">
        <f>VLOOKUP(F23,[3]分类结果!$F:$G,2,0)</f>
        <v>交通运输、仓储、邮电通信业</v>
      </c>
      <c r="J23" s="11">
        <f>VLOOKUP(I23,[2]行业排放因子!$A:$B,2,0)</f>
        <v>667.48066458135202</v>
      </c>
    </row>
    <row r="24" spans="1:10" x14ac:dyDescent="0.25">
      <c r="A24" s="5" t="s">
        <v>106</v>
      </c>
      <c r="B24" s="6" t="s">
        <v>12182</v>
      </c>
      <c r="C24" s="6" t="s">
        <v>12183</v>
      </c>
      <c r="D24" s="6" t="s">
        <v>12184</v>
      </c>
      <c r="E24" s="6" t="s">
        <v>12229</v>
      </c>
      <c r="F24" s="6" t="s">
        <v>12230</v>
      </c>
      <c r="G24" s="9" t="s">
        <v>12231</v>
      </c>
      <c r="H24" s="9" t="s">
        <v>18</v>
      </c>
      <c r="I24" s="10" t="str">
        <f>VLOOKUP(F24,[3]分类结果!$F:$G,2,0)</f>
        <v>交通运输、仓储、邮电通信业</v>
      </c>
      <c r="J24" s="11">
        <f>VLOOKUP(I24,[2]行业排放因子!$A:$B,2,0)</f>
        <v>667.48066458135202</v>
      </c>
    </row>
    <row r="25" spans="1:10" x14ac:dyDescent="0.25">
      <c r="A25" s="5" t="s">
        <v>110</v>
      </c>
      <c r="B25" s="6" t="s">
        <v>12182</v>
      </c>
      <c r="C25" s="6" t="s">
        <v>12183</v>
      </c>
      <c r="D25" s="6" t="s">
        <v>12184</v>
      </c>
      <c r="E25" s="6" t="s">
        <v>12232</v>
      </c>
      <c r="F25" s="6" t="s">
        <v>12233</v>
      </c>
      <c r="G25" s="9" t="s">
        <v>12234</v>
      </c>
      <c r="H25" s="9" t="s">
        <v>18</v>
      </c>
      <c r="I25" s="10" t="str">
        <f>VLOOKUP(F25,[3]分类结果!$F:$G,2,0)</f>
        <v>交通运输、仓储、邮电通信业</v>
      </c>
      <c r="J25" s="11">
        <f>VLOOKUP(I25,[2]行业排放因子!$A:$B,2,0)</f>
        <v>667.48066458135202</v>
      </c>
    </row>
    <row r="26" spans="1:10" x14ac:dyDescent="0.25">
      <c r="A26" s="5" t="s">
        <v>114</v>
      </c>
      <c r="B26" s="6" t="s">
        <v>12182</v>
      </c>
      <c r="C26" s="6" t="s">
        <v>12183</v>
      </c>
      <c r="D26" s="6" t="s">
        <v>12184</v>
      </c>
      <c r="E26" s="6" t="s">
        <v>12235</v>
      </c>
      <c r="F26" s="6" t="s">
        <v>12236</v>
      </c>
      <c r="G26" s="9" t="s">
        <v>12237</v>
      </c>
      <c r="H26" s="9" t="s">
        <v>18</v>
      </c>
      <c r="I26" s="10" t="str">
        <f>VLOOKUP(F26,[3]分类结果!$F:$G,2,0)</f>
        <v>交通运输、仓储、邮电通信业</v>
      </c>
      <c r="J26" s="11">
        <f>VLOOKUP(I26,[2]行业排放因子!$A:$B,2,0)</f>
        <v>667.48066458135202</v>
      </c>
    </row>
    <row r="27" spans="1:10" x14ac:dyDescent="0.25">
      <c r="A27" s="5" t="s">
        <v>117</v>
      </c>
      <c r="B27" s="6" t="s">
        <v>12182</v>
      </c>
      <c r="C27" s="6" t="s">
        <v>12183</v>
      </c>
      <c r="D27" s="6" t="s">
        <v>12184</v>
      </c>
      <c r="E27" s="6" t="s">
        <v>12238</v>
      </c>
      <c r="F27" s="6" t="s">
        <v>12239</v>
      </c>
      <c r="G27" s="9" t="s">
        <v>12240</v>
      </c>
      <c r="H27" s="9" t="s">
        <v>18</v>
      </c>
      <c r="I27" s="10" t="str">
        <f>VLOOKUP(F27,[3]分类结果!$F:$G,2,0)</f>
        <v>交通运输、仓储、邮电通信业</v>
      </c>
      <c r="J27" s="11">
        <f>VLOOKUP(I27,[2]行业排放因子!$A:$B,2,0)</f>
        <v>667.48066458135202</v>
      </c>
    </row>
    <row r="28" spans="1:10" x14ac:dyDescent="0.25">
      <c r="A28" s="5" t="s">
        <v>120</v>
      </c>
      <c r="B28" s="6" t="s">
        <v>12182</v>
      </c>
      <c r="C28" s="6" t="s">
        <v>12183</v>
      </c>
      <c r="D28" s="6" t="s">
        <v>12184</v>
      </c>
      <c r="E28" s="6" t="s">
        <v>12241</v>
      </c>
      <c r="F28" s="6" t="s">
        <v>12242</v>
      </c>
      <c r="G28" s="9" t="s">
        <v>12243</v>
      </c>
      <c r="H28" s="9" t="s">
        <v>18</v>
      </c>
      <c r="I28" s="10" t="str">
        <f>VLOOKUP(F28,[3]分类结果!$F:$G,2,0)</f>
        <v>交通运输、仓储、邮电通信业</v>
      </c>
      <c r="J28" s="11">
        <f>VLOOKUP(I28,[2]行业排放因子!$A:$B,2,0)</f>
        <v>667.48066458135202</v>
      </c>
    </row>
    <row r="29" spans="1:10" x14ac:dyDescent="0.25">
      <c r="A29" s="5" t="s">
        <v>125</v>
      </c>
      <c r="B29" s="6" t="s">
        <v>12182</v>
      </c>
      <c r="C29" s="6" t="s">
        <v>12183</v>
      </c>
      <c r="D29" s="6" t="s">
        <v>12184</v>
      </c>
      <c r="E29" s="6" t="s">
        <v>12244</v>
      </c>
      <c r="F29" s="6" t="s">
        <v>12245</v>
      </c>
      <c r="G29" s="9" t="s">
        <v>12246</v>
      </c>
      <c r="H29" s="9" t="s">
        <v>18</v>
      </c>
      <c r="I29" s="10" t="str">
        <f>VLOOKUP(F29,[3]分类结果!$F:$G,2,0)</f>
        <v>交通运输、仓储、邮电通信业</v>
      </c>
      <c r="J29" s="11">
        <f>VLOOKUP(I29,[2]行业排放因子!$A:$B,2,0)</f>
        <v>667.48066458135202</v>
      </c>
    </row>
    <row r="30" spans="1:10" x14ac:dyDescent="0.25">
      <c r="A30" s="5" t="s">
        <v>129</v>
      </c>
      <c r="B30" s="6" t="s">
        <v>12182</v>
      </c>
      <c r="C30" s="6" t="s">
        <v>12183</v>
      </c>
      <c r="D30" s="6" t="s">
        <v>12184</v>
      </c>
      <c r="E30" s="6" t="s">
        <v>12247</v>
      </c>
      <c r="F30" s="6" t="s">
        <v>12248</v>
      </c>
      <c r="G30" s="9" t="s">
        <v>12249</v>
      </c>
      <c r="H30" s="9" t="s">
        <v>18</v>
      </c>
      <c r="I30" s="10" t="str">
        <f>VLOOKUP(F30,[3]分类结果!$F:$G,2,0)</f>
        <v>交通运输、仓储、邮电通信业</v>
      </c>
      <c r="J30" s="11">
        <f>VLOOKUP(I30,[2]行业排放因子!$A:$B,2,0)</f>
        <v>667.48066458135202</v>
      </c>
    </row>
    <row r="31" spans="1:10" x14ac:dyDescent="0.25">
      <c r="A31" s="5" t="s">
        <v>134</v>
      </c>
      <c r="B31" s="6" t="s">
        <v>12182</v>
      </c>
      <c r="C31" s="6" t="s">
        <v>12183</v>
      </c>
      <c r="D31" s="6" t="s">
        <v>12184</v>
      </c>
      <c r="E31" s="6" t="s">
        <v>12250</v>
      </c>
      <c r="F31" s="6" t="s">
        <v>12251</v>
      </c>
      <c r="G31" s="9" t="s">
        <v>12252</v>
      </c>
      <c r="H31" s="9" t="s">
        <v>18</v>
      </c>
      <c r="I31" s="10" t="str">
        <f>VLOOKUP(F31,[3]分类结果!$F:$G,2,0)</f>
        <v>交通运输、仓储、邮电通信业</v>
      </c>
      <c r="J31" s="11">
        <f>VLOOKUP(I31,[2]行业排放因子!$A:$B,2,0)</f>
        <v>667.48066458135202</v>
      </c>
    </row>
    <row r="32" spans="1:10" x14ac:dyDescent="0.25">
      <c r="A32" s="5" t="s">
        <v>138</v>
      </c>
      <c r="B32" s="6" t="s">
        <v>12182</v>
      </c>
      <c r="C32" s="6" t="s">
        <v>12183</v>
      </c>
      <c r="D32" s="6" t="s">
        <v>12184</v>
      </c>
      <c r="E32" s="6" t="s">
        <v>12253</v>
      </c>
      <c r="F32" s="6" t="s">
        <v>12254</v>
      </c>
      <c r="G32" s="9" t="s">
        <v>12255</v>
      </c>
      <c r="H32" s="9" t="s">
        <v>18</v>
      </c>
      <c r="I32" s="10" t="str">
        <f>VLOOKUP(F32,[3]分类结果!$F:$G,2,0)</f>
        <v>交通运输、仓储、邮电通信业</v>
      </c>
      <c r="J32" s="11">
        <f>VLOOKUP(I32,[2]行业排放因子!$A:$B,2,0)</f>
        <v>667.48066458135202</v>
      </c>
    </row>
    <row r="33" spans="1:10" x14ac:dyDescent="0.25">
      <c r="A33" s="5" t="s">
        <v>143</v>
      </c>
      <c r="B33" s="6" t="s">
        <v>12182</v>
      </c>
      <c r="C33" s="6" t="s">
        <v>12183</v>
      </c>
      <c r="D33" s="6" t="s">
        <v>12184</v>
      </c>
      <c r="E33" s="6" t="s">
        <v>12256</v>
      </c>
      <c r="F33" s="6" t="s">
        <v>12257</v>
      </c>
      <c r="G33" s="9" t="s">
        <v>12258</v>
      </c>
      <c r="H33" s="9" t="s">
        <v>18</v>
      </c>
      <c r="I33" s="10" t="str">
        <f>VLOOKUP(F33,[3]分类结果!$F:$G,2,0)</f>
        <v>交通运输、仓储、邮电通信业</v>
      </c>
      <c r="J33" s="11">
        <f>VLOOKUP(I33,[2]行业排放因子!$A:$B,2,0)</f>
        <v>667.48066458135202</v>
      </c>
    </row>
    <row r="34" spans="1:10" x14ac:dyDescent="0.25">
      <c r="A34" s="5" t="s">
        <v>148</v>
      </c>
      <c r="B34" s="6" t="s">
        <v>12182</v>
      </c>
      <c r="C34" s="6" t="s">
        <v>12183</v>
      </c>
      <c r="D34" s="6" t="s">
        <v>12184</v>
      </c>
      <c r="E34" s="6" t="s">
        <v>12259</v>
      </c>
      <c r="F34" s="6" t="s">
        <v>12260</v>
      </c>
      <c r="G34" s="9" t="s">
        <v>12261</v>
      </c>
      <c r="H34" s="9" t="s">
        <v>18</v>
      </c>
      <c r="I34" s="10" t="str">
        <f>VLOOKUP(F34,[3]分类结果!$F:$G,2,0)</f>
        <v>交通运输、仓储、邮电通信业</v>
      </c>
      <c r="J34" s="11">
        <f>VLOOKUP(I34,[2]行业排放因子!$A:$B,2,0)</f>
        <v>667.48066458135202</v>
      </c>
    </row>
    <row r="35" spans="1:10" x14ac:dyDescent="0.25">
      <c r="A35" s="5" t="s">
        <v>152</v>
      </c>
      <c r="B35" s="6" t="s">
        <v>12182</v>
      </c>
      <c r="C35" s="6" t="s">
        <v>12183</v>
      </c>
      <c r="D35" s="6" t="s">
        <v>12184</v>
      </c>
      <c r="E35" s="6" t="s">
        <v>12262</v>
      </c>
      <c r="F35" s="6" t="s">
        <v>12263</v>
      </c>
      <c r="G35" s="9" t="s">
        <v>12264</v>
      </c>
      <c r="H35" s="9" t="s">
        <v>18</v>
      </c>
      <c r="I35" s="10" t="str">
        <f>VLOOKUP(F35,[3]分类结果!$F:$G,2,0)</f>
        <v>交通运输、仓储、邮电通信业</v>
      </c>
      <c r="J35" s="11">
        <f>VLOOKUP(I35,[2]行业排放因子!$A:$B,2,0)</f>
        <v>667.48066458135202</v>
      </c>
    </row>
    <row r="36" spans="1:10" x14ac:dyDescent="0.25">
      <c r="A36" s="5" t="s">
        <v>157</v>
      </c>
      <c r="B36" s="6" t="s">
        <v>12182</v>
      </c>
      <c r="C36" s="6" t="s">
        <v>12183</v>
      </c>
      <c r="D36" s="6" t="s">
        <v>12184</v>
      </c>
      <c r="E36" s="6" t="s">
        <v>12265</v>
      </c>
      <c r="F36" s="6" t="s">
        <v>12266</v>
      </c>
      <c r="G36" s="9" t="s">
        <v>12267</v>
      </c>
      <c r="H36" s="9" t="s">
        <v>18</v>
      </c>
      <c r="I36" s="10" t="str">
        <f>VLOOKUP(F36,[3]分类结果!$F:$G,2,0)</f>
        <v>交通运输、仓储、邮电通信业</v>
      </c>
      <c r="J36" s="11">
        <f>VLOOKUP(I36,[2]行业排放因子!$A:$B,2,0)</f>
        <v>667.48066458135202</v>
      </c>
    </row>
    <row r="37" spans="1:10" x14ac:dyDescent="0.25">
      <c r="A37" s="5" t="s">
        <v>161</v>
      </c>
      <c r="B37" s="6" t="s">
        <v>12182</v>
      </c>
      <c r="C37" s="6" t="s">
        <v>12183</v>
      </c>
      <c r="D37" s="6" t="s">
        <v>12184</v>
      </c>
      <c r="E37" s="6" t="s">
        <v>12268</v>
      </c>
      <c r="F37" s="6" t="s">
        <v>12269</v>
      </c>
      <c r="G37" s="9" t="s">
        <v>12270</v>
      </c>
      <c r="H37" s="9" t="s">
        <v>18</v>
      </c>
      <c r="I37" s="10" t="str">
        <f>VLOOKUP(F37,[3]分类结果!$F:$G,2,0)</f>
        <v>交通运输、仓储、邮电通信业</v>
      </c>
      <c r="J37" s="11">
        <f>VLOOKUP(I37,[2]行业排放因子!$A:$B,2,0)</f>
        <v>667.48066458135202</v>
      </c>
    </row>
    <row r="38" spans="1:10" x14ac:dyDescent="0.25">
      <c r="A38" s="5" t="s">
        <v>165</v>
      </c>
      <c r="B38" s="6" t="s">
        <v>12182</v>
      </c>
      <c r="C38" s="6" t="s">
        <v>12183</v>
      </c>
      <c r="D38" s="6" t="s">
        <v>12184</v>
      </c>
      <c r="E38" s="6" t="s">
        <v>12271</v>
      </c>
      <c r="F38" s="6" t="s">
        <v>12272</v>
      </c>
      <c r="G38" s="9" t="s">
        <v>12273</v>
      </c>
      <c r="H38" s="9" t="s">
        <v>18</v>
      </c>
      <c r="I38" s="10" t="str">
        <f>VLOOKUP(F38,[3]分类结果!$F:$G,2,0)</f>
        <v>交通运输设备制造业</v>
      </c>
      <c r="J38" s="11">
        <f>VLOOKUP(I38,[2]行业排放因子!$A:$B,2,0)</f>
        <v>6.2441374348339602</v>
      </c>
    </row>
    <row r="39" spans="1:10" x14ac:dyDescent="0.25">
      <c r="A39" s="5" t="s">
        <v>169</v>
      </c>
      <c r="B39" s="6" t="s">
        <v>12182</v>
      </c>
      <c r="C39" s="6" t="s">
        <v>12183</v>
      </c>
      <c r="D39" s="6" t="s">
        <v>12184</v>
      </c>
      <c r="E39" s="6" t="s">
        <v>12274</v>
      </c>
      <c r="F39" s="6" t="s">
        <v>12275</v>
      </c>
      <c r="G39" s="9" t="s">
        <v>12276</v>
      </c>
      <c r="H39" s="9" t="s">
        <v>18</v>
      </c>
      <c r="I39" s="10" t="str">
        <f>VLOOKUP(F39,[3]分类结果!$F:$G,2,0)</f>
        <v>交通运输设备制造业</v>
      </c>
      <c r="J39" s="11">
        <f>VLOOKUP(I39,[2]行业排放因子!$A:$B,2,0)</f>
        <v>6.2441374348339602</v>
      </c>
    </row>
    <row r="40" spans="1:10" x14ac:dyDescent="0.25">
      <c r="A40" s="5" t="s">
        <v>173</v>
      </c>
      <c r="B40" s="6" t="s">
        <v>12182</v>
      </c>
      <c r="C40" s="6" t="s">
        <v>12183</v>
      </c>
      <c r="D40" s="6" t="s">
        <v>12184</v>
      </c>
      <c r="E40" s="6" t="s">
        <v>12277</v>
      </c>
      <c r="F40" s="6" t="s">
        <v>12278</v>
      </c>
      <c r="G40" s="9" t="s">
        <v>12279</v>
      </c>
      <c r="H40" s="9" t="s">
        <v>18</v>
      </c>
      <c r="I40" s="10" t="str">
        <f>VLOOKUP(F40,[3]分类结果!$F:$G,2,0)</f>
        <v>交通运输、仓储、邮电通信业</v>
      </c>
      <c r="J40" s="11">
        <f>VLOOKUP(I40,[2]行业排放因子!$A:$B,2,0)</f>
        <v>667.48066458135202</v>
      </c>
    </row>
    <row r="41" spans="1:10" x14ac:dyDescent="0.25">
      <c r="A41" s="5" t="s">
        <v>177</v>
      </c>
      <c r="B41" s="6" t="s">
        <v>12182</v>
      </c>
      <c r="C41" s="6" t="s">
        <v>12183</v>
      </c>
      <c r="D41" s="6" t="s">
        <v>12184</v>
      </c>
      <c r="E41" s="6" t="s">
        <v>12280</v>
      </c>
      <c r="F41" s="6" t="s">
        <v>12281</v>
      </c>
      <c r="G41" s="9" t="s">
        <v>12282</v>
      </c>
      <c r="H41" s="9" t="s">
        <v>18</v>
      </c>
      <c r="I41" s="10" t="str">
        <f>VLOOKUP(F41,[3]分类结果!$F:$G,2,0)</f>
        <v>交通运输、仓储、邮电通信业</v>
      </c>
      <c r="J41" s="11">
        <f>VLOOKUP(I41,[2]行业排放因子!$A:$B,2,0)</f>
        <v>667.48066458135202</v>
      </c>
    </row>
    <row r="42" spans="1:10" x14ac:dyDescent="0.25">
      <c r="A42" s="5" t="s">
        <v>181</v>
      </c>
      <c r="B42" s="6" t="s">
        <v>12182</v>
      </c>
      <c r="C42" s="6" t="s">
        <v>12183</v>
      </c>
      <c r="D42" s="6" t="s">
        <v>12184</v>
      </c>
      <c r="E42" s="6" t="s">
        <v>12283</v>
      </c>
      <c r="F42" s="6" t="s">
        <v>12284</v>
      </c>
      <c r="G42" s="9" t="s">
        <v>12285</v>
      </c>
      <c r="H42" s="9" t="s">
        <v>18</v>
      </c>
      <c r="I42" s="10" t="str">
        <f>VLOOKUP(F42,[3]分类结果!$F:$G,2,0)</f>
        <v>交通运输、仓储、邮电通信业</v>
      </c>
      <c r="J42" s="11">
        <f>VLOOKUP(I42,[2]行业排放因子!$A:$B,2,0)</f>
        <v>667.48066458135202</v>
      </c>
    </row>
    <row r="43" spans="1:10" x14ac:dyDescent="0.25">
      <c r="A43" s="5" t="s">
        <v>185</v>
      </c>
      <c r="B43" s="6" t="s">
        <v>12182</v>
      </c>
      <c r="C43" s="6" t="s">
        <v>12183</v>
      </c>
      <c r="D43" s="6" t="s">
        <v>12184</v>
      </c>
      <c r="E43" s="6" t="s">
        <v>12286</v>
      </c>
      <c r="F43" s="6" t="s">
        <v>12287</v>
      </c>
      <c r="G43" s="9" t="s">
        <v>12288</v>
      </c>
      <c r="H43" s="9" t="s">
        <v>18</v>
      </c>
      <c r="I43" s="10" t="str">
        <f>VLOOKUP(F43,[3]分类结果!$F:$G,2,0)</f>
        <v>交通运输、仓储、邮电通信业</v>
      </c>
      <c r="J43" s="11">
        <f>VLOOKUP(I43,[2]行业排放因子!$A:$B,2,0)</f>
        <v>667.48066458135202</v>
      </c>
    </row>
    <row r="44" spans="1:10" x14ac:dyDescent="0.25">
      <c r="A44" s="5" t="s">
        <v>189</v>
      </c>
      <c r="B44" s="6" t="s">
        <v>12182</v>
      </c>
      <c r="C44" s="6" t="s">
        <v>12183</v>
      </c>
      <c r="D44" s="6" t="s">
        <v>12184</v>
      </c>
      <c r="E44" s="6" t="s">
        <v>12289</v>
      </c>
      <c r="F44" s="6" t="s">
        <v>12290</v>
      </c>
      <c r="G44" s="9" t="s">
        <v>12291</v>
      </c>
      <c r="H44" s="9" t="s">
        <v>18</v>
      </c>
      <c r="I44" s="10" t="str">
        <f>VLOOKUP(F44,[3]分类结果!$F:$G,2,0)</f>
        <v>交通运输、仓储、邮电通信业</v>
      </c>
      <c r="J44" s="11">
        <f>VLOOKUP(I44,[2]行业排放因子!$A:$B,2,0)</f>
        <v>667.48066458135202</v>
      </c>
    </row>
    <row r="45" spans="1:10" x14ac:dyDescent="0.25">
      <c r="A45" s="5" t="s">
        <v>193</v>
      </c>
      <c r="B45" s="6" t="s">
        <v>12182</v>
      </c>
      <c r="C45" s="6" t="s">
        <v>12183</v>
      </c>
      <c r="D45" s="6" t="s">
        <v>12184</v>
      </c>
      <c r="E45" s="6" t="s">
        <v>12292</v>
      </c>
      <c r="F45" s="6" t="s">
        <v>12293</v>
      </c>
      <c r="G45" s="9" t="s">
        <v>12294</v>
      </c>
      <c r="H45" s="9" t="s">
        <v>18</v>
      </c>
      <c r="I45" s="10" t="str">
        <f>VLOOKUP(F45,[3]分类结果!$F:$G,2,0)</f>
        <v>交通运输设备制造业</v>
      </c>
      <c r="J45" s="11">
        <f>VLOOKUP(I45,[2]行业排放因子!$A:$B,2,0)</f>
        <v>6.2441374348339602</v>
      </c>
    </row>
    <row r="46" spans="1:10" x14ac:dyDescent="0.25">
      <c r="A46" s="5" t="s">
        <v>197</v>
      </c>
      <c r="B46" s="6" t="s">
        <v>12182</v>
      </c>
      <c r="C46" s="6" t="s">
        <v>12183</v>
      </c>
      <c r="D46" s="6" t="s">
        <v>12184</v>
      </c>
      <c r="E46" s="6" t="s">
        <v>12295</v>
      </c>
      <c r="F46" s="6" t="s">
        <v>12296</v>
      </c>
      <c r="G46" s="9" t="s">
        <v>12297</v>
      </c>
      <c r="H46" s="9" t="s">
        <v>18</v>
      </c>
      <c r="I46" s="10" t="str">
        <f>VLOOKUP(F46,[3]分类结果!$F:$G,2,0)</f>
        <v>交通运输设备制造业</v>
      </c>
      <c r="J46" s="11">
        <f>VLOOKUP(I46,[2]行业排放因子!$A:$B,2,0)</f>
        <v>6.2441374348339602</v>
      </c>
    </row>
    <row r="47" spans="1:10" x14ac:dyDescent="0.25">
      <c r="A47" s="5" t="s">
        <v>201</v>
      </c>
      <c r="B47" s="6" t="s">
        <v>12182</v>
      </c>
      <c r="C47" s="6" t="s">
        <v>12183</v>
      </c>
      <c r="D47" s="6" t="s">
        <v>12184</v>
      </c>
      <c r="E47" s="6" t="s">
        <v>12298</v>
      </c>
      <c r="F47" s="6" t="s">
        <v>12299</v>
      </c>
      <c r="G47" s="9" t="s">
        <v>12300</v>
      </c>
      <c r="H47" s="9" t="s">
        <v>18</v>
      </c>
      <c r="I47" s="10" t="str">
        <f>VLOOKUP(F47,[3]分类结果!$F:$G,2,0)</f>
        <v>交通运输、仓储、邮电通信业</v>
      </c>
      <c r="J47" s="11">
        <f>VLOOKUP(I47,[2]行业排放因子!$A:$B,2,0)</f>
        <v>667.48066458135202</v>
      </c>
    </row>
    <row r="48" spans="1:10" x14ac:dyDescent="0.25">
      <c r="A48" s="5" t="s">
        <v>206</v>
      </c>
      <c r="B48" s="6" t="s">
        <v>12182</v>
      </c>
      <c r="C48" s="6" t="s">
        <v>12183</v>
      </c>
      <c r="D48" s="6" t="s">
        <v>12184</v>
      </c>
      <c r="E48" s="6" t="s">
        <v>12301</v>
      </c>
      <c r="F48" s="6" t="s">
        <v>12302</v>
      </c>
      <c r="G48" s="9" t="s">
        <v>12303</v>
      </c>
      <c r="H48" s="9" t="s">
        <v>18</v>
      </c>
      <c r="I48" s="10" t="str">
        <f>VLOOKUP(F48,[3]分类结果!$F:$G,2,0)</f>
        <v>交通运输、仓储、邮电通信业</v>
      </c>
      <c r="J48" s="11">
        <f>VLOOKUP(I48,[2]行业排放因子!$A:$B,2,0)</f>
        <v>667.48066458135202</v>
      </c>
    </row>
    <row r="49" spans="1:10" x14ac:dyDescent="0.25">
      <c r="A49" s="5" t="s">
        <v>210</v>
      </c>
      <c r="B49" s="6" t="s">
        <v>12182</v>
      </c>
      <c r="C49" s="6" t="s">
        <v>12183</v>
      </c>
      <c r="D49" s="6" t="s">
        <v>12184</v>
      </c>
      <c r="E49" s="6" t="s">
        <v>12304</v>
      </c>
      <c r="F49" s="6" t="s">
        <v>12305</v>
      </c>
      <c r="G49" s="9" t="s">
        <v>12306</v>
      </c>
      <c r="H49" s="9" t="s">
        <v>18</v>
      </c>
      <c r="I49" s="10" t="str">
        <f>VLOOKUP(F49,[3]分类结果!$F:$G,2,0)</f>
        <v>交通运输、仓储、邮电通信业</v>
      </c>
      <c r="J49" s="11">
        <f>VLOOKUP(I49,[2]行业排放因子!$A:$B,2,0)</f>
        <v>667.48066458135202</v>
      </c>
    </row>
    <row r="50" spans="1:10" x14ac:dyDescent="0.25">
      <c r="A50" s="5" t="s">
        <v>213</v>
      </c>
      <c r="B50" s="6" t="s">
        <v>12182</v>
      </c>
      <c r="C50" s="6" t="s">
        <v>12183</v>
      </c>
      <c r="D50" s="6" t="s">
        <v>12184</v>
      </c>
      <c r="E50" s="6" t="s">
        <v>12307</v>
      </c>
      <c r="F50" s="6" t="s">
        <v>12308</v>
      </c>
      <c r="G50" s="9" t="s">
        <v>12309</v>
      </c>
      <c r="H50" s="9" t="s">
        <v>18</v>
      </c>
      <c r="I50" s="10" t="str">
        <f>VLOOKUP(F50,[3]分类结果!$F:$G,2,0)</f>
        <v>交通运输、仓储、邮电通信业</v>
      </c>
      <c r="J50" s="11">
        <f>VLOOKUP(I50,[2]行业排放因子!$A:$B,2,0)</f>
        <v>667.48066458135202</v>
      </c>
    </row>
    <row r="51" spans="1:10" x14ac:dyDescent="0.25">
      <c r="A51" s="5" t="s">
        <v>218</v>
      </c>
      <c r="B51" s="6" t="s">
        <v>12182</v>
      </c>
      <c r="C51" s="6" t="s">
        <v>12183</v>
      </c>
      <c r="D51" s="6" t="s">
        <v>12184</v>
      </c>
      <c r="E51" s="6" t="s">
        <v>12310</v>
      </c>
      <c r="F51" s="6" t="s">
        <v>12311</v>
      </c>
      <c r="G51" s="9" t="s">
        <v>12312</v>
      </c>
      <c r="H51" s="9" t="s">
        <v>18</v>
      </c>
      <c r="I51" s="10" t="str">
        <f>VLOOKUP(F51,[3]分类结果!$F:$G,2,0)</f>
        <v>交通运输、仓储、邮电通信业</v>
      </c>
      <c r="J51" s="11">
        <f>VLOOKUP(I51,[2]行业排放因子!$A:$B,2,0)</f>
        <v>667.48066458135202</v>
      </c>
    </row>
    <row r="52" spans="1:10" x14ac:dyDescent="0.25">
      <c r="A52" s="5" t="s">
        <v>222</v>
      </c>
      <c r="B52" s="6" t="s">
        <v>12182</v>
      </c>
      <c r="C52" s="6" t="s">
        <v>12183</v>
      </c>
      <c r="D52" s="6" t="s">
        <v>12184</v>
      </c>
      <c r="E52" s="6" t="s">
        <v>12313</v>
      </c>
      <c r="F52" s="6" t="s">
        <v>12314</v>
      </c>
      <c r="G52" s="9" t="s">
        <v>12315</v>
      </c>
      <c r="H52" s="9" t="s">
        <v>18</v>
      </c>
      <c r="I52" s="10" t="str">
        <f>VLOOKUP(F52,[3]分类结果!$F:$G,2,0)</f>
        <v>交通运输、仓储、邮电通信业</v>
      </c>
      <c r="J52" s="11">
        <f>VLOOKUP(I52,[2]行业排放因子!$A:$B,2,0)</f>
        <v>667.48066458135202</v>
      </c>
    </row>
    <row r="53" spans="1:10" x14ac:dyDescent="0.25">
      <c r="A53" s="5" t="s">
        <v>226</v>
      </c>
      <c r="B53" s="6" t="s">
        <v>12182</v>
      </c>
      <c r="C53" s="6" t="s">
        <v>12183</v>
      </c>
      <c r="D53" s="6" t="s">
        <v>12184</v>
      </c>
      <c r="E53" s="6" t="s">
        <v>12316</v>
      </c>
      <c r="F53" s="6" t="s">
        <v>12317</v>
      </c>
      <c r="G53" s="9" t="s">
        <v>12318</v>
      </c>
      <c r="H53" s="9" t="s">
        <v>18</v>
      </c>
      <c r="I53" s="10" t="str">
        <f>VLOOKUP(F53,[3]分类结果!$F:$G,2,0)</f>
        <v>交通运输、仓储、邮电通信业</v>
      </c>
      <c r="J53" s="11">
        <f>VLOOKUP(I53,[2]行业排放因子!$A:$B,2,0)</f>
        <v>667.48066458135202</v>
      </c>
    </row>
    <row r="54" spans="1:10" x14ac:dyDescent="0.25">
      <c r="A54" s="5" t="s">
        <v>230</v>
      </c>
      <c r="B54" s="6" t="s">
        <v>12182</v>
      </c>
      <c r="C54" s="6" t="s">
        <v>12183</v>
      </c>
      <c r="D54" s="6" t="s">
        <v>12184</v>
      </c>
      <c r="E54" s="6" t="s">
        <v>12319</v>
      </c>
      <c r="F54" s="6" t="s">
        <v>12320</v>
      </c>
      <c r="G54" s="9" t="s">
        <v>12321</v>
      </c>
      <c r="H54" s="9" t="s">
        <v>18</v>
      </c>
      <c r="I54" s="10" t="str">
        <f>VLOOKUP(F54,[3]分类结果!$F:$G,2,0)</f>
        <v>交通运输、仓储、邮电通信业</v>
      </c>
      <c r="J54" s="11">
        <f>VLOOKUP(I54,[2]行业排放因子!$A:$B,2,0)</f>
        <v>667.48066458135202</v>
      </c>
    </row>
    <row r="55" spans="1:10" x14ac:dyDescent="0.25">
      <c r="A55" s="5" t="s">
        <v>234</v>
      </c>
      <c r="B55" s="6" t="s">
        <v>12182</v>
      </c>
      <c r="C55" s="6" t="s">
        <v>12183</v>
      </c>
      <c r="D55" s="6" t="s">
        <v>12184</v>
      </c>
      <c r="E55" s="6" t="s">
        <v>12322</v>
      </c>
      <c r="F55" s="6" t="s">
        <v>12323</v>
      </c>
      <c r="G55" s="9" t="s">
        <v>12324</v>
      </c>
      <c r="H55" s="9" t="s">
        <v>18</v>
      </c>
      <c r="I55" s="10" t="str">
        <f>VLOOKUP(F55,[3]分类结果!$F:$G,2,0)</f>
        <v>交通运输、仓储、邮电通信业</v>
      </c>
      <c r="J55" s="11">
        <f>VLOOKUP(I55,[2]行业排放因子!$A:$B,2,0)</f>
        <v>667.48066458135202</v>
      </c>
    </row>
    <row r="56" spans="1:10" x14ac:dyDescent="0.25">
      <c r="A56" s="5" t="s">
        <v>239</v>
      </c>
      <c r="B56" s="6" t="s">
        <v>12182</v>
      </c>
      <c r="C56" s="6" t="s">
        <v>12183</v>
      </c>
      <c r="D56" s="6" t="s">
        <v>12184</v>
      </c>
      <c r="E56" s="6" t="s">
        <v>12325</v>
      </c>
      <c r="F56" s="6" t="s">
        <v>12326</v>
      </c>
      <c r="G56" s="9" t="s">
        <v>12327</v>
      </c>
      <c r="H56" s="9" t="s">
        <v>18</v>
      </c>
      <c r="I56" s="10" t="str">
        <f>VLOOKUP(F56,[3]分类结果!$F:$G,2,0)</f>
        <v>交通运输、仓储、邮电通信业</v>
      </c>
      <c r="J56" s="11">
        <f>VLOOKUP(I56,[2]行业排放因子!$A:$B,2,0)</f>
        <v>667.48066458135202</v>
      </c>
    </row>
    <row r="57" spans="1:10" x14ac:dyDescent="0.25">
      <c r="A57" s="5" t="s">
        <v>242</v>
      </c>
      <c r="B57" s="6" t="s">
        <v>12182</v>
      </c>
      <c r="C57" s="6" t="s">
        <v>12183</v>
      </c>
      <c r="D57" s="6" t="s">
        <v>12184</v>
      </c>
      <c r="E57" s="6" t="s">
        <v>12328</v>
      </c>
      <c r="F57" s="6" t="s">
        <v>12329</v>
      </c>
      <c r="G57" s="9" t="s">
        <v>12330</v>
      </c>
      <c r="H57" s="9" t="s">
        <v>18</v>
      </c>
      <c r="I57" s="10" t="str">
        <f>VLOOKUP(F57,[3]分类结果!$F:$G,2,0)</f>
        <v>交通运输、仓储、邮电通信业</v>
      </c>
      <c r="J57" s="11">
        <f>VLOOKUP(I57,[2]行业排放因子!$A:$B,2,0)</f>
        <v>667.48066458135202</v>
      </c>
    </row>
    <row r="58" spans="1:10" x14ac:dyDescent="0.25">
      <c r="A58" s="5" t="s">
        <v>245</v>
      </c>
      <c r="B58" s="6" t="s">
        <v>12182</v>
      </c>
      <c r="C58" s="6" t="s">
        <v>12183</v>
      </c>
      <c r="D58" s="6" t="s">
        <v>12184</v>
      </c>
      <c r="E58" s="6" t="s">
        <v>12331</v>
      </c>
      <c r="F58" s="6" t="s">
        <v>12332</v>
      </c>
      <c r="G58" s="9" t="s">
        <v>12333</v>
      </c>
      <c r="H58" s="9" t="s">
        <v>18</v>
      </c>
      <c r="I58" s="10" t="str">
        <f>VLOOKUP(F58,[3]分类结果!$F:$G,2,0)</f>
        <v>交通运输、仓储、邮电通信业</v>
      </c>
      <c r="J58" s="11">
        <f>VLOOKUP(I58,[2]行业排放因子!$A:$B,2,0)</f>
        <v>667.48066458135202</v>
      </c>
    </row>
    <row r="59" spans="1:10" x14ac:dyDescent="0.25">
      <c r="A59" s="5" t="s">
        <v>248</v>
      </c>
      <c r="B59" s="6" t="s">
        <v>12182</v>
      </c>
      <c r="C59" s="6" t="s">
        <v>12183</v>
      </c>
      <c r="D59" s="6" t="s">
        <v>12184</v>
      </c>
      <c r="E59" s="6" t="s">
        <v>12334</v>
      </c>
      <c r="F59" s="6" t="s">
        <v>12335</v>
      </c>
      <c r="G59" s="9" t="s">
        <v>12336</v>
      </c>
      <c r="H59" s="9" t="s">
        <v>18</v>
      </c>
      <c r="I59" s="10" t="str">
        <f>VLOOKUP(F59,[3]分类结果!$F:$G,2,0)</f>
        <v>交通运输、仓储、邮电通信业</v>
      </c>
      <c r="J59" s="11">
        <f>VLOOKUP(I59,[2]行业排放因子!$A:$B,2,0)</f>
        <v>667.48066458135202</v>
      </c>
    </row>
    <row r="60" spans="1:10" x14ac:dyDescent="0.25">
      <c r="A60" s="5" t="s">
        <v>253</v>
      </c>
      <c r="B60" s="6" t="s">
        <v>12182</v>
      </c>
      <c r="C60" s="6" t="s">
        <v>12183</v>
      </c>
      <c r="D60" s="6" t="s">
        <v>12184</v>
      </c>
      <c r="E60" s="6" t="s">
        <v>12337</v>
      </c>
      <c r="F60" s="6" t="s">
        <v>12338</v>
      </c>
      <c r="G60" s="9" t="s">
        <v>12339</v>
      </c>
      <c r="H60" s="9" t="s">
        <v>18</v>
      </c>
      <c r="I60" s="10" t="str">
        <f>VLOOKUP(F60,[3]分类结果!$F:$G,2,0)</f>
        <v>交通运输、仓储、邮电通信业</v>
      </c>
      <c r="J60" s="11">
        <f>VLOOKUP(I60,[2]行业排放因子!$A:$B,2,0)</f>
        <v>667.48066458135202</v>
      </c>
    </row>
    <row r="61" spans="1:10" x14ac:dyDescent="0.25">
      <c r="A61" s="5" t="s">
        <v>257</v>
      </c>
      <c r="B61" s="6" t="s">
        <v>12182</v>
      </c>
      <c r="C61" s="6" t="s">
        <v>12183</v>
      </c>
      <c r="D61" s="6" t="s">
        <v>12184</v>
      </c>
      <c r="E61" s="6" t="s">
        <v>12340</v>
      </c>
      <c r="F61" s="6" t="s">
        <v>12341</v>
      </c>
      <c r="G61" s="9" t="s">
        <v>12342</v>
      </c>
      <c r="H61" s="9" t="s">
        <v>18</v>
      </c>
      <c r="I61" s="10" t="str">
        <f>VLOOKUP(F61,[3]分类结果!$F:$G,2,0)</f>
        <v>交通运输、仓储、邮电通信业</v>
      </c>
      <c r="J61" s="11">
        <f>VLOOKUP(I61,[2]行业排放因子!$A:$B,2,0)</f>
        <v>667.48066458135202</v>
      </c>
    </row>
    <row r="62" spans="1:10" x14ac:dyDescent="0.25">
      <c r="A62" s="5" t="s">
        <v>261</v>
      </c>
      <c r="B62" s="6" t="s">
        <v>12182</v>
      </c>
      <c r="C62" s="6" t="s">
        <v>12183</v>
      </c>
      <c r="D62" s="6" t="s">
        <v>12184</v>
      </c>
      <c r="E62" s="6" t="s">
        <v>12343</v>
      </c>
      <c r="F62" s="6" t="s">
        <v>12344</v>
      </c>
      <c r="G62" s="9" t="s">
        <v>12345</v>
      </c>
      <c r="H62" s="9" t="s">
        <v>18</v>
      </c>
      <c r="I62" s="10" t="str">
        <f>VLOOKUP(F62,[3]分类结果!$F:$G,2,0)</f>
        <v>交通运输、仓储、邮电通信业</v>
      </c>
      <c r="J62" s="11">
        <f>VLOOKUP(I62,[2]行业排放因子!$A:$B,2,0)</f>
        <v>667.48066458135202</v>
      </c>
    </row>
    <row r="63" spans="1:10" x14ac:dyDescent="0.25">
      <c r="A63" s="5" t="s">
        <v>265</v>
      </c>
      <c r="B63" s="6" t="s">
        <v>12182</v>
      </c>
      <c r="C63" s="6" t="s">
        <v>12183</v>
      </c>
      <c r="D63" s="6" t="s">
        <v>12184</v>
      </c>
      <c r="E63" s="6" t="s">
        <v>12346</v>
      </c>
      <c r="F63" s="6" t="s">
        <v>12347</v>
      </c>
      <c r="G63" s="9" t="s">
        <v>12348</v>
      </c>
      <c r="H63" s="9" t="s">
        <v>18</v>
      </c>
      <c r="I63" s="10" t="str">
        <f>VLOOKUP(F63,[3]分类结果!$F:$G,2,0)</f>
        <v>交通运输、仓储、邮电通信业</v>
      </c>
      <c r="J63" s="11">
        <f>VLOOKUP(I63,[2]行业排放因子!$A:$B,2,0)</f>
        <v>667.48066458135202</v>
      </c>
    </row>
    <row r="64" spans="1:10" x14ac:dyDescent="0.25">
      <c r="A64" s="5" t="s">
        <v>269</v>
      </c>
      <c r="B64" s="6" t="s">
        <v>12182</v>
      </c>
      <c r="C64" s="6" t="s">
        <v>12183</v>
      </c>
      <c r="D64" s="6" t="s">
        <v>12184</v>
      </c>
      <c r="E64" s="6" t="s">
        <v>12349</v>
      </c>
      <c r="F64" s="6" t="s">
        <v>12350</v>
      </c>
      <c r="G64" s="9" t="s">
        <v>12351</v>
      </c>
      <c r="H64" s="9" t="s">
        <v>18</v>
      </c>
      <c r="I64" s="10" t="str">
        <f>VLOOKUP(F64,[3]分类结果!$F:$G,2,0)</f>
        <v>交通运输、仓储、邮电通信业</v>
      </c>
      <c r="J64" s="11">
        <f>VLOOKUP(I64,[2]行业排放因子!$A:$B,2,0)</f>
        <v>667.48066458135202</v>
      </c>
    </row>
    <row r="65" spans="1:10" x14ac:dyDescent="0.25">
      <c r="A65" s="5" t="s">
        <v>272</v>
      </c>
      <c r="B65" s="6" t="s">
        <v>12182</v>
      </c>
      <c r="C65" s="6" t="s">
        <v>12183</v>
      </c>
      <c r="D65" s="6" t="s">
        <v>12184</v>
      </c>
      <c r="E65" s="6" t="s">
        <v>12352</v>
      </c>
      <c r="F65" s="6" t="s">
        <v>12353</v>
      </c>
      <c r="G65" s="9" t="s">
        <v>12354</v>
      </c>
      <c r="H65" s="9" t="s">
        <v>18</v>
      </c>
      <c r="I65" s="10" t="str">
        <f>VLOOKUP(F65,[3]分类结果!$F:$G,2,0)</f>
        <v>交通运输、仓储、邮电通信业</v>
      </c>
      <c r="J65" s="11">
        <f>VLOOKUP(I65,[2]行业排放因子!$A:$B,2,0)</f>
        <v>667.48066458135202</v>
      </c>
    </row>
    <row r="66" spans="1:10" x14ac:dyDescent="0.25">
      <c r="A66" s="5" t="s">
        <v>275</v>
      </c>
      <c r="B66" s="6" t="s">
        <v>12182</v>
      </c>
      <c r="C66" s="6" t="s">
        <v>12183</v>
      </c>
      <c r="D66" s="6" t="s">
        <v>12184</v>
      </c>
      <c r="E66" s="6" t="s">
        <v>12355</v>
      </c>
      <c r="F66" s="6" t="s">
        <v>12356</v>
      </c>
      <c r="G66" s="9" t="s">
        <v>12357</v>
      </c>
      <c r="H66" s="9" t="s">
        <v>18</v>
      </c>
      <c r="I66" s="10" t="str">
        <f>VLOOKUP(F66,[3]分类结果!$F:$G,2,0)</f>
        <v>交通运输、仓储、邮电通信业</v>
      </c>
      <c r="J66" s="11">
        <f>VLOOKUP(I66,[2]行业排放因子!$A:$B,2,0)</f>
        <v>667.48066458135202</v>
      </c>
    </row>
    <row r="67" spans="1:10" x14ac:dyDescent="0.25">
      <c r="A67" s="5" t="s">
        <v>278</v>
      </c>
      <c r="B67" s="6" t="s">
        <v>12182</v>
      </c>
      <c r="C67" s="6" t="s">
        <v>12183</v>
      </c>
      <c r="D67" s="6" t="s">
        <v>12184</v>
      </c>
      <c r="E67" s="6" t="s">
        <v>12358</v>
      </c>
      <c r="F67" s="6" t="s">
        <v>12359</v>
      </c>
      <c r="G67" s="9" t="s">
        <v>12360</v>
      </c>
      <c r="H67" s="9" t="s">
        <v>18</v>
      </c>
      <c r="I67" s="10" t="str">
        <f>VLOOKUP(F67,[3]分类结果!$F:$G,2,0)</f>
        <v>交通运输、仓储、邮电通信业</v>
      </c>
      <c r="J67" s="11">
        <f>VLOOKUP(I67,[2]行业排放因子!$A:$B,2,0)</f>
        <v>667.48066458135202</v>
      </c>
    </row>
    <row r="68" spans="1:10" x14ac:dyDescent="0.25">
      <c r="A68" s="5" t="s">
        <v>281</v>
      </c>
      <c r="B68" s="6" t="s">
        <v>12182</v>
      </c>
      <c r="C68" s="6" t="s">
        <v>12183</v>
      </c>
      <c r="D68" s="6" t="s">
        <v>12184</v>
      </c>
      <c r="E68" s="6" t="s">
        <v>12361</v>
      </c>
      <c r="F68" s="6" t="s">
        <v>12362</v>
      </c>
      <c r="G68" s="9" t="s">
        <v>12363</v>
      </c>
      <c r="H68" s="9" t="s">
        <v>18</v>
      </c>
      <c r="I68" s="10" t="str">
        <f>VLOOKUP(F68,[3]分类结果!$F:$G,2,0)</f>
        <v>交通运输、仓储、邮电通信业</v>
      </c>
      <c r="J68" s="11">
        <f>VLOOKUP(I68,[2]行业排放因子!$A:$B,2,0)</f>
        <v>667.48066458135202</v>
      </c>
    </row>
    <row r="69" spans="1:10" x14ac:dyDescent="0.25">
      <c r="A69" s="5" t="s">
        <v>284</v>
      </c>
      <c r="B69" s="6" t="s">
        <v>12182</v>
      </c>
      <c r="C69" s="6" t="s">
        <v>12183</v>
      </c>
      <c r="D69" s="6" t="s">
        <v>12184</v>
      </c>
      <c r="E69" s="6" t="s">
        <v>12364</v>
      </c>
      <c r="F69" s="6" t="s">
        <v>12365</v>
      </c>
      <c r="G69" s="9" t="s">
        <v>12366</v>
      </c>
      <c r="H69" s="9" t="s">
        <v>18</v>
      </c>
      <c r="I69" s="10" t="str">
        <f>VLOOKUP(F69,[3]分类结果!$F:$G,2,0)</f>
        <v>交通运输、仓储、邮电通信业</v>
      </c>
      <c r="J69" s="11">
        <f>VLOOKUP(I69,[2]行业排放因子!$A:$B,2,0)</f>
        <v>667.48066458135202</v>
      </c>
    </row>
    <row r="70" spans="1:10" x14ac:dyDescent="0.25">
      <c r="A70" s="5" t="s">
        <v>287</v>
      </c>
      <c r="B70" s="6" t="s">
        <v>12182</v>
      </c>
      <c r="C70" s="6" t="s">
        <v>12183</v>
      </c>
      <c r="D70" s="6" t="s">
        <v>12184</v>
      </c>
      <c r="E70" s="6" t="s">
        <v>12367</v>
      </c>
      <c r="F70" s="6" t="s">
        <v>12368</v>
      </c>
      <c r="G70" s="9" t="s">
        <v>12369</v>
      </c>
      <c r="H70" s="9" t="s">
        <v>18</v>
      </c>
      <c r="I70" s="10" t="str">
        <f>VLOOKUP(F70,[3]分类结果!$F:$G,2,0)</f>
        <v>交通运输、仓储、邮电通信业</v>
      </c>
      <c r="J70" s="11">
        <f>VLOOKUP(I70,[2]行业排放因子!$A:$B,2,0)</f>
        <v>667.48066458135202</v>
      </c>
    </row>
    <row r="71" spans="1:10" x14ac:dyDescent="0.25">
      <c r="A71" s="5" t="s">
        <v>290</v>
      </c>
      <c r="B71" s="6" t="s">
        <v>12182</v>
      </c>
      <c r="C71" s="6" t="s">
        <v>12183</v>
      </c>
      <c r="D71" s="6" t="s">
        <v>12184</v>
      </c>
      <c r="E71" s="6" t="s">
        <v>12370</v>
      </c>
      <c r="F71" s="6" t="s">
        <v>12371</v>
      </c>
      <c r="G71" s="9"/>
      <c r="H71" s="9" t="s">
        <v>18</v>
      </c>
      <c r="I71" s="10" t="str">
        <f>VLOOKUP(F71,[3]分类结果!$F:$G,2,0)</f>
        <v>交通运输、仓储、邮电通信业</v>
      </c>
      <c r="J71" s="11">
        <f>VLOOKUP(I71,[2]行业排放因子!$A:$B,2,0)</f>
        <v>667.48066458135202</v>
      </c>
    </row>
    <row r="72" spans="1:10" x14ac:dyDescent="0.25">
      <c r="A72" s="5" t="s">
        <v>293</v>
      </c>
      <c r="B72" s="6" t="s">
        <v>12182</v>
      </c>
      <c r="C72" s="6" t="s">
        <v>12183</v>
      </c>
      <c r="D72" s="6" t="s">
        <v>12184</v>
      </c>
      <c r="E72" s="6" t="s">
        <v>12372</v>
      </c>
      <c r="F72" s="6" t="s">
        <v>12373</v>
      </c>
      <c r="G72" s="9"/>
      <c r="H72" s="9" t="s">
        <v>18</v>
      </c>
      <c r="I72" s="10" t="str">
        <f>VLOOKUP(F72,[3]分类结果!$F:$G,2,0)</f>
        <v>交通运输、仓储、邮电通信业</v>
      </c>
      <c r="J72" s="11">
        <f>VLOOKUP(I72,[2]行业排放因子!$A:$B,2,0)</f>
        <v>667.48066458135202</v>
      </c>
    </row>
    <row r="73" spans="1:10" x14ac:dyDescent="0.25">
      <c r="A73" s="5" t="s">
        <v>296</v>
      </c>
      <c r="B73" s="6" t="s">
        <v>12182</v>
      </c>
      <c r="C73" s="6" t="s">
        <v>12183</v>
      </c>
      <c r="D73" s="6" t="s">
        <v>12184</v>
      </c>
      <c r="E73" s="6" t="s">
        <v>12374</v>
      </c>
      <c r="F73" s="6" t="s">
        <v>12375</v>
      </c>
      <c r="G73" s="9" t="s">
        <v>12376</v>
      </c>
      <c r="H73" s="9" t="s">
        <v>18</v>
      </c>
      <c r="I73" s="10" t="str">
        <f>VLOOKUP(F73,[3]分类结果!$F:$G,2,0)</f>
        <v>交通运输、仓储、邮电通信业</v>
      </c>
      <c r="J73" s="11">
        <f>VLOOKUP(I73,[2]行业排放因子!$A:$B,2,0)</f>
        <v>667.48066458135202</v>
      </c>
    </row>
    <row r="74" spans="1:10" x14ac:dyDescent="0.25">
      <c r="A74" s="5" t="s">
        <v>299</v>
      </c>
      <c r="B74" s="6" t="s">
        <v>12182</v>
      </c>
      <c r="C74" s="6" t="s">
        <v>12183</v>
      </c>
      <c r="D74" s="6" t="s">
        <v>12184</v>
      </c>
      <c r="E74" s="6" t="s">
        <v>12377</v>
      </c>
      <c r="F74" s="6" t="s">
        <v>12378</v>
      </c>
      <c r="G74" s="9" t="s">
        <v>12379</v>
      </c>
      <c r="H74" s="9" t="s">
        <v>18</v>
      </c>
      <c r="I74" s="10" t="str">
        <f>VLOOKUP(F74,[3]分类结果!$F:$G,2,0)</f>
        <v>交通运输、仓储、邮电通信业</v>
      </c>
      <c r="J74" s="11">
        <f>VLOOKUP(I74,[2]行业排放因子!$A:$B,2,0)</f>
        <v>667.48066458135202</v>
      </c>
    </row>
    <row r="75" spans="1:10" x14ac:dyDescent="0.25">
      <c r="A75" s="5" t="s">
        <v>302</v>
      </c>
      <c r="B75" s="6" t="s">
        <v>12182</v>
      </c>
      <c r="C75" s="6" t="s">
        <v>12183</v>
      </c>
      <c r="D75" s="6" t="s">
        <v>12184</v>
      </c>
      <c r="E75" s="6" t="s">
        <v>12380</v>
      </c>
      <c r="F75" s="6" t="s">
        <v>12381</v>
      </c>
      <c r="G75" s="9"/>
      <c r="H75" s="9" t="s">
        <v>18</v>
      </c>
      <c r="I75" s="10" t="str">
        <f>VLOOKUP(F75,[3]分类结果!$F:$G,2,0)</f>
        <v>交通运输、仓储、邮电通信业</v>
      </c>
      <c r="J75" s="11">
        <f>VLOOKUP(I75,[2]行业排放因子!$A:$B,2,0)</f>
        <v>667.48066458135202</v>
      </c>
    </row>
    <row r="76" spans="1:10" x14ac:dyDescent="0.25">
      <c r="A76" s="5" t="s">
        <v>305</v>
      </c>
      <c r="B76" s="6" t="s">
        <v>12182</v>
      </c>
      <c r="C76" s="6" t="s">
        <v>12183</v>
      </c>
      <c r="D76" s="6" t="s">
        <v>12184</v>
      </c>
      <c r="E76" s="6" t="s">
        <v>12382</v>
      </c>
      <c r="F76" s="6" t="s">
        <v>12383</v>
      </c>
      <c r="G76" s="9"/>
      <c r="H76" s="9" t="s">
        <v>18</v>
      </c>
      <c r="I76" s="10" t="str">
        <f>VLOOKUP(F76,[3]分类结果!$F:$G,2,0)</f>
        <v>交通运输、仓储、邮电通信业</v>
      </c>
      <c r="J76" s="11">
        <f>VLOOKUP(I76,[2]行业排放因子!$A:$B,2,0)</f>
        <v>667.48066458135202</v>
      </c>
    </row>
    <row r="77" spans="1:10" x14ac:dyDescent="0.25">
      <c r="A77" s="5" t="s">
        <v>308</v>
      </c>
      <c r="B77" s="6" t="s">
        <v>12182</v>
      </c>
      <c r="C77" s="6" t="s">
        <v>12384</v>
      </c>
      <c r="D77" s="6" t="s">
        <v>12384</v>
      </c>
      <c r="E77" s="6" t="s">
        <v>12385</v>
      </c>
      <c r="F77" s="6" t="s">
        <v>12386</v>
      </c>
      <c r="G77" s="9" t="s">
        <v>12387</v>
      </c>
      <c r="H77" s="9" t="s">
        <v>18</v>
      </c>
      <c r="I77" s="10" t="str">
        <f>VLOOKUP(F77,[3]分类结果!$F:$G,2,0)</f>
        <v>印刷业、记录媒介复制业</v>
      </c>
      <c r="J77" s="11">
        <f>VLOOKUP(I77,[2]行业排放因子!$A:$B,2,0)</f>
        <v>1.44955998759807</v>
      </c>
    </row>
    <row r="78" spans="1:10" x14ac:dyDescent="0.25">
      <c r="A78" s="5" t="s">
        <v>311</v>
      </c>
      <c r="B78" s="6" t="s">
        <v>12182</v>
      </c>
      <c r="C78" s="6" t="s">
        <v>12384</v>
      </c>
      <c r="D78" s="6" t="s">
        <v>12384</v>
      </c>
      <c r="E78" s="6" t="s">
        <v>12388</v>
      </c>
      <c r="F78" s="6" t="s">
        <v>12389</v>
      </c>
      <c r="G78" s="9" t="s">
        <v>12390</v>
      </c>
      <c r="H78" s="9" t="s">
        <v>18</v>
      </c>
      <c r="I78" s="10" t="str">
        <f>VLOOKUP(F78,[3]分类结果!$F:$G,2,0)</f>
        <v>其他制造业</v>
      </c>
      <c r="J78" s="11">
        <f>VLOOKUP(I78,[2]行业排放因子!$A:$B,2,0)</f>
        <v>0.245415556625804</v>
      </c>
    </row>
    <row r="79" spans="1:10" x14ac:dyDescent="0.25">
      <c r="A79" s="5" t="s">
        <v>314</v>
      </c>
      <c r="B79" s="6" t="s">
        <v>12182</v>
      </c>
      <c r="C79" s="6" t="s">
        <v>12384</v>
      </c>
      <c r="D79" s="6" t="s">
        <v>12384</v>
      </c>
      <c r="E79" s="6" t="s">
        <v>12391</v>
      </c>
      <c r="F79" s="6" t="s">
        <v>12392</v>
      </c>
      <c r="G79" s="9" t="s">
        <v>12393</v>
      </c>
      <c r="H79" s="9" t="s">
        <v>18</v>
      </c>
      <c r="I79" s="10" t="str">
        <f>VLOOKUP(F79,[3]分类结果!$F:$G,2,0)</f>
        <v>其他制造业</v>
      </c>
      <c r="J79" s="11">
        <f>VLOOKUP(I79,[2]行业排放因子!$A:$B,2,0)</f>
        <v>0.245415556625804</v>
      </c>
    </row>
    <row r="80" spans="1:10" x14ac:dyDescent="0.25">
      <c r="A80" s="5" t="s">
        <v>317</v>
      </c>
      <c r="B80" s="6" t="s">
        <v>12182</v>
      </c>
      <c r="C80" s="6" t="s">
        <v>12384</v>
      </c>
      <c r="D80" s="6" t="s">
        <v>12384</v>
      </c>
      <c r="E80" s="6" t="s">
        <v>12394</v>
      </c>
      <c r="F80" s="6" t="s">
        <v>12395</v>
      </c>
      <c r="G80" s="9"/>
      <c r="H80" s="9" t="s">
        <v>18</v>
      </c>
      <c r="I80" s="10" t="str">
        <f>VLOOKUP(F80,[3]分类结果!$F:$G,2,0)</f>
        <v>其他制造业</v>
      </c>
      <c r="J80" s="11">
        <f>VLOOKUP(I80,[2]行业排放因子!$A:$B,2,0)</f>
        <v>0.245415556625804</v>
      </c>
    </row>
    <row r="81" spans="1:10" x14ac:dyDescent="0.25">
      <c r="A81" s="5" t="s">
        <v>320</v>
      </c>
      <c r="B81" s="6" t="s">
        <v>12182</v>
      </c>
      <c r="C81" s="6" t="s">
        <v>12384</v>
      </c>
      <c r="D81" s="6" t="s">
        <v>12384</v>
      </c>
      <c r="E81" s="6" t="s">
        <v>12396</v>
      </c>
      <c r="F81" s="6" t="s">
        <v>12397</v>
      </c>
      <c r="G81" s="9"/>
      <c r="H81" s="9" t="s">
        <v>18</v>
      </c>
      <c r="I81" s="10" t="str">
        <f>VLOOKUP(F81,[3]分类结果!$F:$G,2,0)</f>
        <v>其他制造业</v>
      </c>
      <c r="J81" s="11">
        <f>VLOOKUP(I81,[2]行业排放因子!$A:$B,2,0)</f>
        <v>0.245415556625804</v>
      </c>
    </row>
    <row r="82" spans="1:10" x14ac:dyDescent="0.25">
      <c r="A82" s="5" t="s">
        <v>323</v>
      </c>
      <c r="B82" s="6" t="s">
        <v>12182</v>
      </c>
      <c r="C82" s="6" t="s">
        <v>12384</v>
      </c>
      <c r="D82" s="6" t="s">
        <v>12384</v>
      </c>
      <c r="E82" s="6" t="s">
        <v>12398</v>
      </c>
      <c r="F82" s="6" t="s">
        <v>12399</v>
      </c>
      <c r="G82" s="9"/>
      <c r="H82" s="9" t="s">
        <v>18</v>
      </c>
      <c r="I82" s="10" t="str">
        <f>VLOOKUP(F82,[3]分类结果!$F:$G,2,0)</f>
        <v>交通运输、仓储、邮电通信业</v>
      </c>
      <c r="J82" s="11">
        <f>VLOOKUP(I82,[2]行业排放因子!$A:$B,2,0)</f>
        <v>667.48066458135202</v>
      </c>
    </row>
    <row r="83" spans="1:10" x14ac:dyDescent="0.25">
      <c r="A83" s="5" t="s">
        <v>326</v>
      </c>
      <c r="B83" s="6" t="s">
        <v>12182</v>
      </c>
      <c r="C83" s="6" t="s">
        <v>12384</v>
      </c>
      <c r="D83" s="6" t="s">
        <v>12384</v>
      </c>
      <c r="E83" s="6" t="s">
        <v>12400</v>
      </c>
      <c r="F83" s="6" t="s">
        <v>12401</v>
      </c>
      <c r="G83" s="9"/>
      <c r="H83" s="9" t="s">
        <v>18</v>
      </c>
      <c r="I83" s="10" t="str">
        <f>VLOOKUP(F83,[3]分类结果!$F:$G,2,0)</f>
        <v>交通运输、仓储、邮电通信业</v>
      </c>
      <c r="J83" s="11">
        <f>VLOOKUP(I83,[2]行业排放因子!$A:$B,2,0)</f>
        <v>667.48066458135202</v>
      </c>
    </row>
    <row r="84" spans="1:10" x14ac:dyDescent="0.25">
      <c r="A84" s="5" t="s">
        <v>329</v>
      </c>
      <c r="B84" s="6" t="s">
        <v>12182</v>
      </c>
      <c r="C84" s="6" t="s">
        <v>12384</v>
      </c>
      <c r="D84" s="6" t="s">
        <v>12384</v>
      </c>
      <c r="E84" s="6" t="s">
        <v>12402</v>
      </c>
      <c r="F84" s="6" t="s">
        <v>12403</v>
      </c>
      <c r="G84" s="9" t="s">
        <v>12404</v>
      </c>
      <c r="H84" s="9" t="s">
        <v>18</v>
      </c>
      <c r="I84" s="10" t="str">
        <f>VLOOKUP(F84,[3]分类结果!$F:$G,2,0)</f>
        <v>交通运输、仓储、邮电通信业</v>
      </c>
      <c r="J84" s="11">
        <f>VLOOKUP(I84,[2]行业排放因子!$A:$B,2,0)</f>
        <v>667.48066458135202</v>
      </c>
    </row>
    <row r="85" spans="1:10" x14ac:dyDescent="0.25">
      <c r="A85" s="5" t="s">
        <v>332</v>
      </c>
      <c r="B85" s="6" t="s">
        <v>12182</v>
      </c>
      <c r="C85" s="6" t="s">
        <v>12384</v>
      </c>
      <c r="D85" s="6" t="s">
        <v>12384</v>
      </c>
      <c r="E85" s="6" t="s">
        <v>12405</v>
      </c>
      <c r="F85" s="6" t="s">
        <v>12406</v>
      </c>
      <c r="G85" s="9"/>
      <c r="H85" s="9" t="s">
        <v>18</v>
      </c>
      <c r="I85" s="10" t="str">
        <f>VLOOKUP(F85,[3]分类结果!$F:$G,2,0)</f>
        <v>批发、零售和餐饮业</v>
      </c>
      <c r="J85" s="11">
        <f>VLOOKUP(I85,[2]行业排放因子!$A:$B,2,0)</f>
        <v>55.4303896721051</v>
      </c>
    </row>
    <row r="86" spans="1:10" x14ac:dyDescent="0.25">
      <c r="A86" s="5" t="s">
        <v>336</v>
      </c>
      <c r="B86" s="6" t="s">
        <v>12182</v>
      </c>
      <c r="C86" s="6" t="s">
        <v>12384</v>
      </c>
      <c r="D86" s="6" t="s">
        <v>12384</v>
      </c>
      <c r="E86" s="6" t="s">
        <v>12407</v>
      </c>
      <c r="F86" s="6" t="s">
        <v>12408</v>
      </c>
      <c r="G86" s="9"/>
      <c r="H86" s="9" t="s">
        <v>18</v>
      </c>
      <c r="I86" s="10" t="str">
        <f>VLOOKUP(F86,[3]分类结果!$F:$G,2,0)</f>
        <v>交通运输、仓储、邮电通信业</v>
      </c>
      <c r="J86" s="11">
        <f>VLOOKUP(I86,[2]行业排放因子!$A:$B,2,0)</f>
        <v>667.48066458135202</v>
      </c>
    </row>
    <row r="87" spans="1:10" x14ac:dyDescent="0.25">
      <c r="A87" s="5" t="s">
        <v>339</v>
      </c>
      <c r="B87" s="6" t="s">
        <v>12182</v>
      </c>
      <c r="C87" s="6" t="s">
        <v>12384</v>
      </c>
      <c r="D87" s="6" t="s">
        <v>12384</v>
      </c>
      <c r="E87" s="6" t="s">
        <v>12409</v>
      </c>
      <c r="F87" s="6" t="s">
        <v>12410</v>
      </c>
      <c r="G87" s="9"/>
      <c r="H87" s="9" t="s">
        <v>18</v>
      </c>
      <c r="I87" s="10" t="str">
        <f>VLOOKUP(F87,[3]分类结果!$F:$G,2,0)</f>
        <v>交通运输、仓储、邮电通信业</v>
      </c>
      <c r="J87" s="11">
        <f>VLOOKUP(I87,[2]行业排放因子!$A:$B,2,0)</f>
        <v>667.48066458135202</v>
      </c>
    </row>
    <row r="88" spans="1:10" x14ac:dyDescent="0.25">
      <c r="A88" s="5" t="s">
        <v>342</v>
      </c>
      <c r="B88" s="6" t="s">
        <v>12182</v>
      </c>
      <c r="C88" s="6" t="s">
        <v>12411</v>
      </c>
      <c r="D88" s="6" t="s">
        <v>12411</v>
      </c>
      <c r="E88" s="6" t="s">
        <v>12412</v>
      </c>
      <c r="F88" s="6" t="s">
        <v>12413</v>
      </c>
      <c r="G88" s="9"/>
      <c r="H88" s="9" t="s">
        <v>18</v>
      </c>
      <c r="I88" s="10" t="str">
        <f>VLOOKUP(F88,[3]分类结果!$F:$G,2,0)</f>
        <v>其他制造业</v>
      </c>
      <c r="J88" s="11">
        <f>VLOOKUP(I88,[2]行业排放因子!$A:$B,2,0)</f>
        <v>0.245415556625804</v>
      </c>
    </row>
    <row r="89" spans="1:10" x14ac:dyDescent="0.25">
      <c r="A89" s="5" t="s">
        <v>345</v>
      </c>
      <c r="B89" s="6" t="s">
        <v>12182</v>
      </c>
      <c r="C89" s="6" t="s">
        <v>12411</v>
      </c>
      <c r="D89" s="6" t="s">
        <v>12411</v>
      </c>
      <c r="E89" s="6" t="s">
        <v>12414</v>
      </c>
      <c r="F89" s="6" t="s">
        <v>12415</v>
      </c>
      <c r="G89" s="9"/>
      <c r="H89" s="9" t="s">
        <v>18</v>
      </c>
      <c r="I89" s="10" t="str">
        <f>VLOOKUP(F89,[3]分类结果!$F:$G,2,0)</f>
        <v>其他制造业</v>
      </c>
      <c r="J89" s="11">
        <f>VLOOKUP(I89,[2]行业排放因子!$A:$B,2,0)</f>
        <v>0.245415556625804</v>
      </c>
    </row>
    <row r="90" spans="1:10" x14ac:dyDescent="0.25">
      <c r="A90" s="5" t="s">
        <v>348</v>
      </c>
      <c r="B90" s="6" t="s">
        <v>12182</v>
      </c>
      <c r="C90" s="6" t="s">
        <v>12411</v>
      </c>
      <c r="D90" s="6" t="s">
        <v>12411</v>
      </c>
      <c r="E90" s="6" t="s">
        <v>12416</v>
      </c>
      <c r="F90" s="6" t="s">
        <v>12417</v>
      </c>
      <c r="G90" s="9"/>
      <c r="H90" s="9" t="s">
        <v>18</v>
      </c>
      <c r="I90" s="10" t="str">
        <f>VLOOKUP(F90,[3]分类结果!$F:$G,2,0)</f>
        <v>其他制造业</v>
      </c>
      <c r="J90" s="11">
        <f>VLOOKUP(I90,[2]行业排放因子!$A:$B,2,0)</f>
        <v>0.245415556625804</v>
      </c>
    </row>
    <row r="91" spans="1:10" x14ac:dyDescent="0.25">
      <c r="A91" s="5" t="s">
        <v>351</v>
      </c>
      <c r="B91" s="6" t="s">
        <v>12182</v>
      </c>
      <c r="C91" s="6" t="s">
        <v>12411</v>
      </c>
      <c r="D91" s="6" t="s">
        <v>12411</v>
      </c>
      <c r="E91" s="6" t="s">
        <v>12418</v>
      </c>
      <c r="F91" s="6" t="s">
        <v>12419</v>
      </c>
      <c r="G91" s="9"/>
      <c r="H91" s="9" t="s">
        <v>18</v>
      </c>
      <c r="I91" s="10" t="str">
        <f>VLOOKUP(F91,[3]分类结果!$F:$G,2,0)</f>
        <v>电子及通信设备制造业</v>
      </c>
      <c r="J91" s="11">
        <f>VLOOKUP(I91,[2]行业排放因子!$A:$B,2,0)</f>
        <v>7.5202868648033796</v>
      </c>
    </row>
    <row r="92" spans="1:10" x14ac:dyDescent="0.25">
      <c r="A92" s="5" t="s">
        <v>354</v>
      </c>
      <c r="B92" s="6" t="s">
        <v>12182</v>
      </c>
      <c r="C92" s="6" t="s">
        <v>12411</v>
      </c>
      <c r="D92" s="6" t="s">
        <v>12411</v>
      </c>
      <c r="E92" s="6" t="s">
        <v>12420</v>
      </c>
      <c r="F92" s="6" t="s">
        <v>12421</v>
      </c>
      <c r="G92" s="9"/>
      <c r="H92" s="9" t="s">
        <v>18</v>
      </c>
      <c r="I92" s="10" t="str">
        <f>VLOOKUP(F92,[3]分类结果!$F:$G,2,0)</f>
        <v>其他制造业</v>
      </c>
      <c r="J92" s="11">
        <f>VLOOKUP(I92,[2]行业排放因子!$A:$B,2,0)</f>
        <v>0.245415556625804</v>
      </c>
    </row>
    <row r="93" spans="1:10" x14ac:dyDescent="0.25">
      <c r="A93" s="5" t="s">
        <v>357</v>
      </c>
      <c r="B93" s="6" t="s">
        <v>12182</v>
      </c>
      <c r="C93" s="6" t="s">
        <v>12411</v>
      </c>
      <c r="D93" s="6" t="s">
        <v>12411</v>
      </c>
      <c r="E93" s="6" t="s">
        <v>12422</v>
      </c>
      <c r="F93" s="6" t="s">
        <v>12423</v>
      </c>
      <c r="G93" s="9"/>
      <c r="H93" s="9" t="s">
        <v>18</v>
      </c>
      <c r="I93" s="10" t="str">
        <f>VLOOKUP(F93,[3]分类结果!$F:$G,2,0)</f>
        <v>其他制造业</v>
      </c>
      <c r="J93" s="11">
        <f>VLOOKUP(I93,[2]行业排放因子!$A:$B,2,0)</f>
        <v>0.245415556625804</v>
      </c>
    </row>
    <row r="94" spans="1:10" x14ac:dyDescent="0.25">
      <c r="A94" s="5" t="s">
        <v>360</v>
      </c>
      <c r="B94" s="6" t="s">
        <v>12182</v>
      </c>
      <c r="C94" s="6" t="s">
        <v>12411</v>
      </c>
      <c r="D94" s="6" t="s">
        <v>12411</v>
      </c>
      <c r="E94" s="6" t="s">
        <v>12424</v>
      </c>
      <c r="F94" s="6" t="s">
        <v>12425</v>
      </c>
      <c r="G94" s="9"/>
      <c r="H94" s="9" t="s">
        <v>18</v>
      </c>
      <c r="I94" s="10" t="str">
        <f>VLOOKUP(F94,[3]分类结果!$F:$G,2,0)</f>
        <v>其他制造业</v>
      </c>
      <c r="J94" s="11">
        <f>VLOOKUP(I94,[2]行业排放因子!$A:$B,2,0)</f>
        <v>0.245415556625804</v>
      </c>
    </row>
    <row r="95" spans="1:10" x14ac:dyDescent="0.25">
      <c r="A95" s="5" t="s">
        <v>363</v>
      </c>
      <c r="B95" s="6" t="s">
        <v>12182</v>
      </c>
      <c r="C95" s="6" t="s">
        <v>12411</v>
      </c>
      <c r="D95" s="6" t="s">
        <v>12411</v>
      </c>
      <c r="E95" s="6" t="s">
        <v>12426</v>
      </c>
      <c r="F95" s="6" t="s">
        <v>12427</v>
      </c>
      <c r="G95" s="9" t="s">
        <v>12428</v>
      </c>
      <c r="H95" s="9" t="s">
        <v>18</v>
      </c>
      <c r="I95" s="10" t="str">
        <f>VLOOKUP(F95,[3]分类结果!$F:$G,2,0)</f>
        <v>电子及通信设备制造业</v>
      </c>
      <c r="J95" s="11">
        <f>VLOOKUP(I95,[2]行业排放因子!$A:$B,2,0)</f>
        <v>7.5202868648033796</v>
      </c>
    </row>
    <row r="96" spans="1:10" x14ac:dyDescent="0.25">
      <c r="A96" s="5" t="s">
        <v>366</v>
      </c>
      <c r="B96" s="6" t="s">
        <v>12182</v>
      </c>
      <c r="C96" s="6" t="s">
        <v>12429</v>
      </c>
      <c r="D96" s="6" t="s">
        <v>12430</v>
      </c>
      <c r="E96" s="6" t="s">
        <v>12431</v>
      </c>
      <c r="F96" s="6" t="s">
        <v>12432</v>
      </c>
      <c r="G96" s="9" t="s">
        <v>12433</v>
      </c>
      <c r="H96" s="9" t="s">
        <v>18</v>
      </c>
      <c r="I96" s="10" t="str">
        <f>VLOOKUP(F96,[3]分类结果!$F:$G,2,0)</f>
        <v>其他制造业</v>
      </c>
      <c r="J96" s="11">
        <f>VLOOKUP(I96,[2]行业排放因子!$A:$B,2,0)</f>
        <v>0.245415556625804</v>
      </c>
    </row>
    <row r="97" spans="1:10" x14ac:dyDescent="0.25">
      <c r="A97" s="5" t="s">
        <v>370</v>
      </c>
      <c r="B97" s="6" t="s">
        <v>12182</v>
      </c>
      <c r="C97" s="6" t="s">
        <v>12429</v>
      </c>
      <c r="D97" s="6" t="s">
        <v>12430</v>
      </c>
      <c r="E97" s="6" t="s">
        <v>12434</v>
      </c>
      <c r="F97" s="6" t="s">
        <v>12435</v>
      </c>
      <c r="G97" s="9" t="s">
        <v>12436</v>
      </c>
      <c r="H97" s="9" t="s">
        <v>18</v>
      </c>
      <c r="I97" s="10" t="str">
        <f>VLOOKUP(F97,[3]分类结果!$F:$G,2,0)</f>
        <v>其他制造业</v>
      </c>
      <c r="J97" s="11">
        <f>VLOOKUP(I97,[2]行业排放因子!$A:$B,2,0)</f>
        <v>0.245415556625804</v>
      </c>
    </row>
    <row r="98" spans="1:10" x14ac:dyDescent="0.25">
      <c r="A98" s="5" t="s">
        <v>373</v>
      </c>
      <c r="B98" s="6" t="s">
        <v>12182</v>
      </c>
      <c r="C98" s="6" t="s">
        <v>12429</v>
      </c>
      <c r="D98" s="6" t="s">
        <v>12430</v>
      </c>
      <c r="E98" s="6" t="s">
        <v>12437</v>
      </c>
      <c r="F98" s="6" t="s">
        <v>12438</v>
      </c>
      <c r="G98" s="9" t="s">
        <v>12439</v>
      </c>
      <c r="H98" s="9" t="s">
        <v>18</v>
      </c>
      <c r="I98" s="10" t="str">
        <f>VLOOKUP(F98,[3]分类结果!$F:$G,2,0)</f>
        <v>建筑业</v>
      </c>
      <c r="J98" s="11">
        <f>VLOOKUP(I98,[2]行业排放因子!$A:$B,2,0)</f>
        <v>41.715972243531198</v>
      </c>
    </row>
    <row r="99" spans="1:10" x14ac:dyDescent="0.25">
      <c r="A99" s="5" t="s">
        <v>377</v>
      </c>
      <c r="B99" s="6" t="s">
        <v>12182</v>
      </c>
      <c r="C99" s="6" t="s">
        <v>12429</v>
      </c>
      <c r="D99" s="6" t="s">
        <v>12430</v>
      </c>
      <c r="E99" s="6" t="s">
        <v>12440</v>
      </c>
      <c r="F99" s="6" t="s">
        <v>12441</v>
      </c>
      <c r="G99" s="9" t="s">
        <v>12442</v>
      </c>
      <c r="H99" s="9" t="s">
        <v>18</v>
      </c>
      <c r="I99" s="10" t="str">
        <f>VLOOKUP(F99,[3]分类结果!$F:$G,2,0)</f>
        <v>其他制造业</v>
      </c>
      <c r="J99" s="11">
        <f>VLOOKUP(I99,[2]行业排放因子!$A:$B,2,0)</f>
        <v>0.245415556625804</v>
      </c>
    </row>
    <row r="100" spans="1:10" x14ac:dyDescent="0.25">
      <c r="A100" s="5" t="s">
        <v>381</v>
      </c>
      <c r="B100" s="6" t="s">
        <v>12182</v>
      </c>
      <c r="C100" s="6" t="s">
        <v>12429</v>
      </c>
      <c r="D100" s="6" t="s">
        <v>12430</v>
      </c>
      <c r="E100" s="6" t="s">
        <v>12443</v>
      </c>
      <c r="F100" s="6" t="s">
        <v>12444</v>
      </c>
      <c r="G100" s="9" t="s">
        <v>12445</v>
      </c>
      <c r="H100" s="9" t="s">
        <v>18</v>
      </c>
      <c r="I100" s="10" t="str">
        <f>VLOOKUP(F100,[3]分类结果!$F:$G,2,0)</f>
        <v>其他制造业</v>
      </c>
      <c r="J100" s="11">
        <f>VLOOKUP(I100,[2]行业排放因子!$A:$B,2,0)</f>
        <v>0.245415556625804</v>
      </c>
    </row>
    <row r="101" spans="1:10" x14ac:dyDescent="0.25">
      <c r="A101" s="5" t="s">
        <v>386</v>
      </c>
      <c r="B101" s="6" t="s">
        <v>12182</v>
      </c>
      <c r="C101" s="6" t="s">
        <v>12429</v>
      </c>
      <c r="D101" s="6" t="s">
        <v>12430</v>
      </c>
      <c r="E101" s="6" t="s">
        <v>12446</v>
      </c>
      <c r="F101" s="6" t="s">
        <v>12447</v>
      </c>
      <c r="G101" s="9"/>
      <c r="H101" s="9" t="s">
        <v>18</v>
      </c>
      <c r="I101" s="10" t="str">
        <f>VLOOKUP(F101,[3]分类结果!$F:$G,2,0)</f>
        <v>其他制造业</v>
      </c>
      <c r="J101" s="11">
        <f>VLOOKUP(I101,[2]行业排放因子!$A:$B,2,0)</f>
        <v>0.245415556625804</v>
      </c>
    </row>
    <row r="102" spans="1:10" x14ac:dyDescent="0.25">
      <c r="A102" s="5" t="s">
        <v>389</v>
      </c>
      <c r="B102" s="6" t="s">
        <v>12182</v>
      </c>
      <c r="C102" s="6" t="s">
        <v>12429</v>
      </c>
      <c r="D102" s="6" t="s">
        <v>12430</v>
      </c>
      <c r="E102" s="6" t="s">
        <v>12448</v>
      </c>
      <c r="F102" s="6" t="s">
        <v>12449</v>
      </c>
      <c r="G102" s="9" t="s">
        <v>12450</v>
      </c>
      <c r="H102" s="9" t="s">
        <v>18</v>
      </c>
      <c r="I102" s="10" t="str">
        <f>VLOOKUP(F102,[3]分类结果!$F:$G,2,0)</f>
        <v>其他制造业</v>
      </c>
      <c r="J102" s="11">
        <f>VLOOKUP(I102,[2]行业排放因子!$A:$B,2,0)</f>
        <v>0.245415556625804</v>
      </c>
    </row>
    <row r="103" spans="1:10" x14ac:dyDescent="0.25">
      <c r="A103" s="5" t="s">
        <v>392</v>
      </c>
      <c r="B103" s="6" t="s">
        <v>12182</v>
      </c>
      <c r="C103" s="6" t="s">
        <v>12429</v>
      </c>
      <c r="D103" s="6" t="s">
        <v>12451</v>
      </c>
      <c r="E103" s="6" t="s">
        <v>12452</v>
      </c>
      <c r="F103" s="6" t="s">
        <v>12453</v>
      </c>
      <c r="G103" s="9" t="s">
        <v>12454</v>
      </c>
      <c r="H103" s="9" t="s">
        <v>18</v>
      </c>
      <c r="I103" s="10" t="str">
        <f>VLOOKUP(F103,[3]分类结果!$F:$G,2,0)</f>
        <v>其他制造业</v>
      </c>
      <c r="J103" s="11">
        <f>VLOOKUP(I103,[2]行业排放因子!$A:$B,2,0)</f>
        <v>0.245415556625804</v>
      </c>
    </row>
    <row r="104" spans="1:10" x14ac:dyDescent="0.25">
      <c r="A104" s="5" t="s">
        <v>395</v>
      </c>
      <c r="B104" s="6" t="s">
        <v>12182</v>
      </c>
      <c r="C104" s="6" t="s">
        <v>12429</v>
      </c>
      <c r="D104" s="6" t="s">
        <v>12451</v>
      </c>
      <c r="E104" s="6" t="s">
        <v>12455</v>
      </c>
      <c r="F104" s="6" t="s">
        <v>12456</v>
      </c>
      <c r="G104" s="9" t="s">
        <v>12457</v>
      </c>
      <c r="H104" s="9" t="s">
        <v>18</v>
      </c>
      <c r="I104" s="10" t="str">
        <f>VLOOKUP(F104,[3]分类结果!$F:$G,2,0)</f>
        <v>其他制造业</v>
      </c>
      <c r="J104" s="11">
        <f>VLOOKUP(I104,[2]行业排放因子!$A:$B,2,0)</f>
        <v>0.245415556625804</v>
      </c>
    </row>
    <row r="105" spans="1:10" x14ac:dyDescent="0.25">
      <c r="A105" s="5" t="s">
        <v>399</v>
      </c>
      <c r="B105" s="6" t="s">
        <v>12182</v>
      </c>
      <c r="C105" s="6" t="s">
        <v>12429</v>
      </c>
      <c r="D105" s="6" t="s">
        <v>12451</v>
      </c>
      <c r="E105" s="6" t="s">
        <v>12458</v>
      </c>
      <c r="F105" s="12" t="s">
        <v>12459</v>
      </c>
      <c r="G105" s="9" t="s">
        <v>12460</v>
      </c>
      <c r="H105" s="9" t="s">
        <v>18</v>
      </c>
      <c r="I105" s="10" t="str">
        <f>VLOOKUP(F105,[3]分类结果!$F:$G,2,0)</f>
        <v>专用设备制造业</v>
      </c>
      <c r="J105" s="11">
        <f>VLOOKUP(I105,[2]行业排放因子!$A:$B,2,0)</f>
        <v>2.3522392431260499</v>
      </c>
    </row>
    <row r="106" spans="1:10" x14ac:dyDescent="0.25">
      <c r="A106" s="5" t="s">
        <v>402</v>
      </c>
      <c r="B106" s="6" t="s">
        <v>12182</v>
      </c>
      <c r="C106" s="6" t="s">
        <v>12429</v>
      </c>
      <c r="D106" s="6" t="s">
        <v>12451</v>
      </c>
      <c r="E106" s="6" t="s">
        <v>12461</v>
      </c>
      <c r="F106" s="6" t="s">
        <v>12462</v>
      </c>
      <c r="G106" s="9" t="s">
        <v>12463</v>
      </c>
      <c r="H106" s="9" t="s">
        <v>18</v>
      </c>
      <c r="I106" s="10" t="str">
        <f>VLOOKUP(F106,[3]分类结果!$F:$G,2,0)</f>
        <v>其他制造业</v>
      </c>
      <c r="J106" s="11">
        <f>VLOOKUP(I106,[2]行业排放因子!$A:$B,2,0)</f>
        <v>0.245415556625804</v>
      </c>
    </row>
    <row r="107" spans="1:10" x14ac:dyDescent="0.25">
      <c r="A107" s="5" t="s">
        <v>405</v>
      </c>
      <c r="B107" s="6" t="s">
        <v>12182</v>
      </c>
      <c r="C107" s="6" t="s">
        <v>12429</v>
      </c>
      <c r="D107" s="6" t="s">
        <v>12451</v>
      </c>
      <c r="E107" s="6" t="s">
        <v>12464</v>
      </c>
      <c r="F107" s="6" t="s">
        <v>12465</v>
      </c>
      <c r="G107" s="9" t="s">
        <v>12466</v>
      </c>
      <c r="H107" s="9" t="s">
        <v>18</v>
      </c>
      <c r="I107" s="10" t="str">
        <f>VLOOKUP(F107,[3]分类结果!$F:$G,2,0)</f>
        <v>其他制造业</v>
      </c>
      <c r="J107" s="11">
        <f>VLOOKUP(I107,[2]行业排放因子!$A:$B,2,0)</f>
        <v>0.245415556625804</v>
      </c>
    </row>
    <row r="108" spans="1:10" x14ac:dyDescent="0.25">
      <c r="A108" s="5" t="s">
        <v>408</v>
      </c>
      <c r="B108" s="6" t="s">
        <v>12182</v>
      </c>
      <c r="C108" s="6" t="s">
        <v>12429</v>
      </c>
      <c r="D108" s="6" t="s">
        <v>12451</v>
      </c>
      <c r="E108" s="6" t="s">
        <v>12467</v>
      </c>
      <c r="F108" s="6" t="s">
        <v>12468</v>
      </c>
      <c r="G108" s="9" t="s">
        <v>12469</v>
      </c>
      <c r="H108" s="9" t="s">
        <v>18</v>
      </c>
      <c r="I108" s="10" t="str">
        <f>VLOOKUP(F108,[3]分类结果!$F:$G,2,0)</f>
        <v>电子及通信设备制造业</v>
      </c>
      <c r="J108" s="11">
        <f>VLOOKUP(I108,[2]行业排放因子!$A:$B,2,0)</f>
        <v>7.5202868648033796</v>
      </c>
    </row>
    <row r="109" spans="1:10" x14ac:dyDescent="0.25">
      <c r="A109" s="5" t="s">
        <v>411</v>
      </c>
      <c r="B109" s="6" t="s">
        <v>12182</v>
      </c>
      <c r="C109" s="6" t="s">
        <v>12429</v>
      </c>
      <c r="D109" s="6" t="s">
        <v>12451</v>
      </c>
      <c r="E109" s="6" t="s">
        <v>12470</v>
      </c>
      <c r="F109" s="6" t="s">
        <v>12471</v>
      </c>
      <c r="G109" s="9" t="s">
        <v>12472</v>
      </c>
      <c r="H109" s="9" t="s">
        <v>18</v>
      </c>
      <c r="I109" s="10" t="str">
        <f>VLOOKUP(F109,[3]分类结果!$F:$G,2,0)</f>
        <v>电子及通信设备制造业</v>
      </c>
      <c r="J109" s="11">
        <f>VLOOKUP(I109,[2]行业排放因子!$A:$B,2,0)</f>
        <v>7.5202868648033796</v>
      </c>
    </row>
    <row r="110" spans="1:10" x14ac:dyDescent="0.25">
      <c r="A110" s="5" t="s">
        <v>414</v>
      </c>
      <c r="B110" s="6" t="s">
        <v>12182</v>
      </c>
      <c r="C110" s="6" t="s">
        <v>12429</v>
      </c>
      <c r="D110" s="6" t="s">
        <v>12451</v>
      </c>
      <c r="E110" s="6" t="s">
        <v>12473</v>
      </c>
      <c r="F110" s="6" t="s">
        <v>12474</v>
      </c>
      <c r="G110" s="9" t="s">
        <v>12475</v>
      </c>
      <c r="H110" s="9" t="s">
        <v>18</v>
      </c>
      <c r="I110" s="10" t="str">
        <f>VLOOKUP(F110,[3]分类结果!$F:$G,2,0)</f>
        <v>电子及通信设备制造业</v>
      </c>
      <c r="J110" s="11">
        <f>VLOOKUP(I110,[2]行业排放因子!$A:$B,2,0)</f>
        <v>7.5202868648033796</v>
      </c>
    </row>
    <row r="111" spans="1:10" x14ac:dyDescent="0.25">
      <c r="A111" s="5" t="s">
        <v>417</v>
      </c>
      <c r="B111" s="6" t="s">
        <v>12182</v>
      </c>
      <c r="C111" s="6" t="s">
        <v>12429</v>
      </c>
      <c r="D111" s="6" t="s">
        <v>12451</v>
      </c>
      <c r="E111" s="6" t="s">
        <v>12476</v>
      </c>
      <c r="F111" s="6" t="s">
        <v>12477</v>
      </c>
      <c r="G111" s="9" t="s">
        <v>12478</v>
      </c>
      <c r="H111" s="9" t="s">
        <v>18</v>
      </c>
      <c r="I111" s="10" t="str">
        <f>VLOOKUP(F111,[3]分类结果!$F:$G,2,0)</f>
        <v>其他制造业</v>
      </c>
      <c r="J111" s="11">
        <f>VLOOKUP(I111,[2]行业排放因子!$A:$B,2,0)</f>
        <v>0.245415556625804</v>
      </c>
    </row>
    <row r="112" spans="1:10" x14ac:dyDescent="0.25">
      <c r="A112" s="5" t="s">
        <v>420</v>
      </c>
      <c r="B112" s="6" t="s">
        <v>12182</v>
      </c>
      <c r="C112" s="6" t="s">
        <v>12429</v>
      </c>
      <c r="D112" s="6" t="s">
        <v>12451</v>
      </c>
      <c r="E112" s="6" t="s">
        <v>12479</v>
      </c>
      <c r="F112" s="6" t="s">
        <v>12480</v>
      </c>
      <c r="G112" s="9" t="s">
        <v>12481</v>
      </c>
      <c r="H112" s="9" t="s">
        <v>18</v>
      </c>
      <c r="I112" s="10" t="str">
        <f>VLOOKUP(F112,[3]分类结果!$F:$G,2,0)</f>
        <v>交通运输、仓储、邮电通信业</v>
      </c>
      <c r="J112" s="11">
        <f>VLOOKUP(I112,[2]行业排放因子!$A:$B,2,0)</f>
        <v>667.48066458135202</v>
      </c>
    </row>
    <row r="113" spans="1:10" x14ac:dyDescent="0.25">
      <c r="A113" s="5" t="s">
        <v>424</v>
      </c>
      <c r="B113" s="6" t="s">
        <v>12182</v>
      </c>
      <c r="C113" s="6" t="s">
        <v>12429</v>
      </c>
      <c r="D113" s="6" t="s">
        <v>12451</v>
      </c>
      <c r="E113" s="6" t="s">
        <v>12482</v>
      </c>
      <c r="F113" s="6" t="s">
        <v>12483</v>
      </c>
      <c r="G113" s="9" t="s">
        <v>12484</v>
      </c>
      <c r="H113" s="9" t="s">
        <v>18</v>
      </c>
      <c r="I113" s="10" t="str">
        <f>VLOOKUP(F113,[3]分类结果!$F:$G,2,0)</f>
        <v>电子及通信设备制造业</v>
      </c>
      <c r="J113" s="11">
        <f>VLOOKUP(I113,[2]行业排放因子!$A:$B,2,0)</f>
        <v>7.5202868648033796</v>
      </c>
    </row>
    <row r="114" spans="1:10" x14ac:dyDescent="0.25">
      <c r="A114" s="5" t="s">
        <v>427</v>
      </c>
      <c r="B114" s="6" t="s">
        <v>12182</v>
      </c>
      <c r="C114" s="6" t="s">
        <v>12429</v>
      </c>
      <c r="D114" s="6" t="s">
        <v>12485</v>
      </c>
      <c r="E114" s="6" t="s">
        <v>12486</v>
      </c>
      <c r="F114" s="6" t="s">
        <v>12487</v>
      </c>
      <c r="G114" s="9" t="s">
        <v>12488</v>
      </c>
      <c r="H114" s="9" t="s">
        <v>18</v>
      </c>
      <c r="I114" s="10" t="str">
        <f>VLOOKUP(F114,[3]分类结果!$F:$G,2,0)</f>
        <v>农、林、牧、渔及水利业</v>
      </c>
      <c r="J114" s="11">
        <f>VLOOKUP(I114,[2]行业排放因子!$A:$B,2,0)</f>
        <v>90.746322689478703</v>
      </c>
    </row>
    <row r="115" spans="1:10" x14ac:dyDescent="0.25">
      <c r="A115" s="5" t="s">
        <v>432</v>
      </c>
      <c r="B115" s="6" t="s">
        <v>12182</v>
      </c>
      <c r="C115" s="6" t="s">
        <v>12429</v>
      </c>
      <c r="D115" s="6" t="s">
        <v>12485</v>
      </c>
      <c r="E115" s="6" t="s">
        <v>12489</v>
      </c>
      <c r="F115" s="6" t="s">
        <v>12490</v>
      </c>
      <c r="G115" s="9" t="s">
        <v>12491</v>
      </c>
      <c r="H115" s="9" t="s">
        <v>18</v>
      </c>
      <c r="I115" s="10" t="str">
        <f>VLOOKUP(F115,[3]分类结果!$F:$G,2,0)</f>
        <v>服装及其他纤维制品制造业</v>
      </c>
      <c r="J115" s="11">
        <f>VLOOKUP(I115,[2]行业排放因子!$A:$B,2,0)</f>
        <v>0.72252850402396196</v>
      </c>
    </row>
    <row r="116" spans="1:10" x14ac:dyDescent="0.25">
      <c r="A116" s="5" t="s">
        <v>436</v>
      </c>
      <c r="B116" s="6" t="s">
        <v>12182</v>
      </c>
      <c r="C116" s="6" t="s">
        <v>12429</v>
      </c>
      <c r="D116" s="6" t="s">
        <v>12485</v>
      </c>
      <c r="E116" s="6" t="s">
        <v>12492</v>
      </c>
      <c r="F116" s="6" t="s">
        <v>12493</v>
      </c>
      <c r="G116" s="9"/>
      <c r="H116" s="9" t="s">
        <v>18</v>
      </c>
      <c r="I116" s="10" t="str">
        <f>VLOOKUP(F116,[3]分类结果!$F:$G,2,0)</f>
        <v>其他制造业</v>
      </c>
      <c r="J116" s="11">
        <f>VLOOKUP(I116,[2]行业排放因子!$A:$B,2,0)</f>
        <v>0.245415556625804</v>
      </c>
    </row>
    <row r="117" spans="1:10" x14ac:dyDescent="0.25">
      <c r="A117" s="5" t="s">
        <v>439</v>
      </c>
      <c r="B117" s="6" t="s">
        <v>12182</v>
      </c>
      <c r="C117" s="6" t="s">
        <v>12429</v>
      </c>
      <c r="D117" s="6" t="s">
        <v>12485</v>
      </c>
      <c r="E117" s="6" t="s">
        <v>12494</v>
      </c>
      <c r="F117" s="6" t="s">
        <v>12495</v>
      </c>
      <c r="G117" s="9" t="s">
        <v>12496</v>
      </c>
      <c r="H117" s="9" t="s">
        <v>18</v>
      </c>
      <c r="I117" s="10" t="str">
        <f>VLOOKUP(F117,[3]分类结果!$F:$G,2,0)</f>
        <v>其他制造业</v>
      </c>
      <c r="J117" s="11">
        <f>VLOOKUP(I117,[2]行业排放因子!$A:$B,2,0)</f>
        <v>0.245415556625804</v>
      </c>
    </row>
    <row r="118" spans="1:10" x14ac:dyDescent="0.25">
      <c r="A118" s="5" t="s">
        <v>443</v>
      </c>
      <c r="B118" s="6" t="s">
        <v>12182</v>
      </c>
      <c r="C118" s="6" t="s">
        <v>12429</v>
      </c>
      <c r="D118" s="6" t="s">
        <v>12485</v>
      </c>
      <c r="E118" s="6" t="s">
        <v>12497</v>
      </c>
      <c r="F118" s="6" t="s">
        <v>12498</v>
      </c>
      <c r="G118" s="9" t="s">
        <v>12499</v>
      </c>
      <c r="H118" s="9" t="s">
        <v>18</v>
      </c>
      <c r="I118" s="10" t="str">
        <f>VLOOKUP(F118,[3]分类结果!$F:$G,2,0)</f>
        <v>电子及通信设备制造业</v>
      </c>
      <c r="J118" s="11">
        <f>VLOOKUP(I118,[2]行业排放因子!$A:$B,2,0)</f>
        <v>7.5202868648033796</v>
      </c>
    </row>
    <row r="119" spans="1:10" x14ac:dyDescent="0.25">
      <c r="A119" s="5" t="s">
        <v>447</v>
      </c>
      <c r="B119" s="6" t="s">
        <v>12182</v>
      </c>
      <c r="C119" s="6" t="s">
        <v>12429</v>
      </c>
      <c r="D119" s="6" t="s">
        <v>12500</v>
      </c>
      <c r="E119" s="6" t="s">
        <v>12501</v>
      </c>
      <c r="F119" s="6" t="s">
        <v>12502</v>
      </c>
      <c r="G119" s="9" t="s">
        <v>12503</v>
      </c>
      <c r="H119" s="9" t="s">
        <v>18</v>
      </c>
      <c r="I119" s="10" t="str">
        <f>VLOOKUP(F119,[3]分类结果!$F:$G,2,0)</f>
        <v>其他制造业</v>
      </c>
      <c r="J119" s="11">
        <f>VLOOKUP(I119,[2]行业排放因子!$A:$B,2,0)</f>
        <v>0.245415556625804</v>
      </c>
    </row>
    <row r="120" spans="1:10" x14ac:dyDescent="0.25">
      <c r="A120" s="5" t="s">
        <v>452</v>
      </c>
      <c r="B120" s="6" t="s">
        <v>12182</v>
      </c>
      <c r="C120" s="6" t="s">
        <v>12429</v>
      </c>
      <c r="D120" s="6" t="s">
        <v>12500</v>
      </c>
      <c r="E120" s="6" t="s">
        <v>12504</v>
      </c>
      <c r="F120" s="6" t="s">
        <v>12505</v>
      </c>
      <c r="G120" s="9" t="s">
        <v>12506</v>
      </c>
      <c r="H120" s="9" t="s">
        <v>18</v>
      </c>
      <c r="I120" s="10" t="str">
        <f>VLOOKUP(F120,[3]分类结果!$F:$G,2,0)</f>
        <v>其他制造业</v>
      </c>
      <c r="J120" s="11">
        <f>VLOOKUP(I120,[2]行业排放因子!$A:$B,2,0)</f>
        <v>0.245415556625804</v>
      </c>
    </row>
    <row r="121" spans="1:10" x14ac:dyDescent="0.25">
      <c r="A121" s="5" t="s">
        <v>456</v>
      </c>
      <c r="B121" s="6" t="s">
        <v>12182</v>
      </c>
      <c r="C121" s="6" t="s">
        <v>12429</v>
      </c>
      <c r="D121" s="6" t="s">
        <v>12500</v>
      </c>
      <c r="E121" s="6" t="s">
        <v>12507</v>
      </c>
      <c r="F121" s="6" t="s">
        <v>12508</v>
      </c>
      <c r="G121" s="9" t="s">
        <v>12509</v>
      </c>
      <c r="H121" s="9" t="s">
        <v>18</v>
      </c>
      <c r="I121" s="10" t="str">
        <f>VLOOKUP(F121,[3]分类结果!$F:$G,2,0)</f>
        <v>其他制造业</v>
      </c>
      <c r="J121" s="11">
        <f>VLOOKUP(I121,[2]行业排放因子!$A:$B,2,0)</f>
        <v>0.245415556625804</v>
      </c>
    </row>
    <row r="122" spans="1:10" x14ac:dyDescent="0.25">
      <c r="A122" s="5" t="s">
        <v>460</v>
      </c>
      <c r="B122" s="6" t="s">
        <v>12182</v>
      </c>
      <c r="C122" s="6" t="s">
        <v>12429</v>
      </c>
      <c r="D122" s="6" t="s">
        <v>12500</v>
      </c>
      <c r="E122" s="6" t="s">
        <v>12510</v>
      </c>
      <c r="F122" s="6" t="s">
        <v>12511</v>
      </c>
      <c r="G122" s="9" t="s">
        <v>12512</v>
      </c>
      <c r="H122" s="9" t="s">
        <v>18</v>
      </c>
      <c r="I122" s="10" t="str">
        <f>VLOOKUP(F122,[3]分类结果!$F:$G,2,0)</f>
        <v>其他制造业</v>
      </c>
      <c r="J122" s="11">
        <f>VLOOKUP(I122,[2]行业排放因子!$A:$B,2,0)</f>
        <v>0.245415556625804</v>
      </c>
    </row>
    <row r="123" spans="1:10" x14ac:dyDescent="0.25">
      <c r="A123" s="5" t="s">
        <v>464</v>
      </c>
      <c r="B123" s="6" t="s">
        <v>12182</v>
      </c>
      <c r="C123" s="6" t="s">
        <v>12429</v>
      </c>
      <c r="D123" s="6" t="s">
        <v>12500</v>
      </c>
      <c r="E123" s="6" t="s">
        <v>12513</v>
      </c>
      <c r="F123" s="6" t="s">
        <v>12514</v>
      </c>
      <c r="G123" s="9" t="s">
        <v>12515</v>
      </c>
      <c r="H123" s="9" t="s">
        <v>18</v>
      </c>
      <c r="I123" s="10" t="str">
        <f>VLOOKUP(F123,[3]分类结果!$F:$G,2,0)</f>
        <v>建筑业</v>
      </c>
      <c r="J123" s="11">
        <f>VLOOKUP(I123,[2]行业排放因子!$A:$B,2,0)</f>
        <v>41.715972243531198</v>
      </c>
    </row>
    <row r="124" spans="1:10" x14ac:dyDescent="0.25">
      <c r="A124" s="5" t="s">
        <v>468</v>
      </c>
      <c r="B124" s="6" t="s">
        <v>12182</v>
      </c>
      <c r="C124" s="6" t="s">
        <v>12429</v>
      </c>
      <c r="D124" s="6" t="s">
        <v>12500</v>
      </c>
      <c r="E124" s="6" t="s">
        <v>12516</v>
      </c>
      <c r="F124" s="6" t="s">
        <v>12517</v>
      </c>
      <c r="G124" s="9" t="s">
        <v>12518</v>
      </c>
      <c r="H124" s="9" t="s">
        <v>18</v>
      </c>
      <c r="I124" s="10" t="str">
        <f>VLOOKUP(F124,[3]分类结果!$F:$G,2,0)</f>
        <v>其他制造业</v>
      </c>
      <c r="J124" s="11">
        <f>VLOOKUP(I124,[2]行业排放因子!$A:$B,2,0)</f>
        <v>0.245415556625804</v>
      </c>
    </row>
    <row r="125" spans="1:10" x14ac:dyDescent="0.25">
      <c r="A125" s="5" t="s">
        <v>471</v>
      </c>
      <c r="B125" s="6" t="s">
        <v>12182</v>
      </c>
      <c r="C125" s="6" t="s">
        <v>12429</v>
      </c>
      <c r="D125" s="6" t="s">
        <v>12500</v>
      </c>
      <c r="E125" s="6" t="s">
        <v>12519</v>
      </c>
      <c r="F125" s="6" t="s">
        <v>12520</v>
      </c>
      <c r="G125" s="9" t="s">
        <v>12521</v>
      </c>
      <c r="H125" s="9" t="s">
        <v>18</v>
      </c>
      <c r="I125" s="10" t="str">
        <f>VLOOKUP(F125,[3]分类结果!$F:$G,2,0)</f>
        <v>服装及其他纤维制品制造业</v>
      </c>
      <c r="J125" s="11">
        <f>VLOOKUP(I125,[2]行业排放因子!$A:$B,2,0)</f>
        <v>0.72252850402396196</v>
      </c>
    </row>
    <row r="126" spans="1:10" x14ac:dyDescent="0.25">
      <c r="A126" s="5" t="s">
        <v>475</v>
      </c>
      <c r="B126" s="6" t="s">
        <v>12182</v>
      </c>
      <c r="C126" s="6" t="s">
        <v>12429</v>
      </c>
      <c r="D126" s="6" t="s">
        <v>12500</v>
      </c>
      <c r="E126" s="6" t="s">
        <v>12522</v>
      </c>
      <c r="F126" s="6" t="s">
        <v>12523</v>
      </c>
      <c r="G126" s="9"/>
      <c r="H126" s="9" t="s">
        <v>18</v>
      </c>
      <c r="I126" s="10" t="str">
        <f>VLOOKUP(F126,[3]分类结果!$F:$G,2,0)</f>
        <v>其他制造业</v>
      </c>
      <c r="J126" s="11">
        <f>VLOOKUP(I126,[2]行业排放因子!$A:$B,2,0)</f>
        <v>0.245415556625804</v>
      </c>
    </row>
    <row r="127" spans="1:10" x14ac:dyDescent="0.25">
      <c r="A127" s="5" t="s">
        <v>479</v>
      </c>
      <c r="B127" s="6" t="s">
        <v>12182</v>
      </c>
      <c r="C127" s="6" t="s">
        <v>12429</v>
      </c>
      <c r="D127" s="6" t="s">
        <v>12524</v>
      </c>
      <c r="E127" s="6" t="s">
        <v>12525</v>
      </c>
      <c r="F127" s="6" t="s">
        <v>12524</v>
      </c>
      <c r="G127" s="9" t="s">
        <v>12526</v>
      </c>
      <c r="H127" s="9" t="s">
        <v>18</v>
      </c>
      <c r="I127" s="10" t="str">
        <f>VLOOKUP(F127,[3]分类结果!$F:$G,2,0)</f>
        <v>其他制造业</v>
      </c>
      <c r="J127" s="11">
        <f>VLOOKUP(I127,[2]行业排放因子!$A:$B,2,0)</f>
        <v>0.245415556625804</v>
      </c>
    </row>
    <row r="128" spans="1:10" x14ac:dyDescent="0.25">
      <c r="A128" s="5" t="s">
        <v>482</v>
      </c>
      <c r="B128" s="6" t="s">
        <v>12182</v>
      </c>
      <c r="C128" s="6" t="s">
        <v>12429</v>
      </c>
      <c r="D128" s="6" t="s">
        <v>12527</v>
      </c>
      <c r="E128" s="6" t="s">
        <v>12528</v>
      </c>
      <c r="F128" s="6" t="s">
        <v>12529</v>
      </c>
      <c r="G128" s="9" t="s">
        <v>12530</v>
      </c>
      <c r="H128" s="9" t="s">
        <v>18</v>
      </c>
      <c r="I128" s="10" t="str">
        <f>VLOOKUP(F128,[3]分类结果!$F:$G,2,0)</f>
        <v>其他制造业</v>
      </c>
      <c r="J128" s="11">
        <f>VLOOKUP(I128,[2]行业排放因子!$A:$B,2,0)</f>
        <v>0.245415556625804</v>
      </c>
    </row>
    <row r="129" spans="1:10" x14ac:dyDescent="0.25">
      <c r="A129" s="5" t="s">
        <v>487</v>
      </c>
      <c r="B129" s="6" t="s">
        <v>12182</v>
      </c>
      <c r="C129" s="6" t="s">
        <v>12429</v>
      </c>
      <c r="D129" s="6" t="s">
        <v>12527</v>
      </c>
      <c r="E129" s="6" t="s">
        <v>12531</v>
      </c>
      <c r="F129" s="6" t="s">
        <v>12532</v>
      </c>
      <c r="G129" s="9" t="s">
        <v>12533</v>
      </c>
      <c r="H129" s="9" t="s">
        <v>18</v>
      </c>
      <c r="I129" s="10" t="str">
        <f>VLOOKUP(F129,[3]分类结果!$F:$G,2,0)</f>
        <v>其他制造业</v>
      </c>
      <c r="J129" s="11">
        <f>VLOOKUP(I129,[2]行业排放因子!$A:$B,2,0)</f>
        <v>0.245415556625804</v>
      </c>
    </row>
    <row r="130" spans="1:10" x14ac:dyDescent="0.25">
      <c r="A130" s="5" t="s">
        <v>491</v>
      </c>
      <c r="B130" s="6" t="s">
        <v>12182</v>
      </c>
      <c r="C130" s="6" t="s">
        <v>12429</v>
      </c>
      <c r="D130" s="6" t="s">
        <v>12534</v>
      </c>
      <c r="E130" s="6" t="s">
        <v>12535</v>
      </c>
      <c r="F130" s="6" t="s">
        <v>12536</v>
      </c>
      <c r="G130" s="9"/>
      <c r="H130" s="9" t="s">
        <v>18</v>
      </c>
      <c r="I130" s="10" t="str">
        <f>VLOOKUP(F130,[3]分类结果!$F:$G,2,0)</f>
        <v>其他制造业</v>
      </c>
      <c r="J130" s="11">
        <f>VLOOKUP(I130,[2]行业排放因子!$A:$B,2,0)</f>
        <v>0.245415556625804</v>
      </c>
    </row>
    <row r="131" spans="1:10" x14ac:dyDescent="0.25">
      <c r="A131" s="5" t="s">
        <v>495</v>
      </c>
      <c r="B131" s="6" t="s">
        <v>12182</v>
      </c>
      <c r="C131" s="6" t="s">
        <v>12429</v>
      </c>
      <c r="D131" s="6" t="s">
        <v>12534</v>
      </c>
      <c r="E131" s="6" t="s">
        <v>12537</v>
      </c>
      <c r="F131" s="6" t="s">
        <v>12538</v>
      </c>
      <c r="G131" s="9"/>
      <c r="H131" s="9" t="s">
        <v>18</v>
      </c>
      <c r="I131" s="10" t="str">
        <f>VLOOKUP(F131,[3]分类结果!$F:$G,2,0)</f>
        <v>其他制造业</v>
      </c>
      <c r="J131" s="11">
        <f>VLOOKUP(I131,[2]行业排放因子!$A:$B,2,0)</f>
        <v>0.245415556625804</v>
      </c>
    </row>
    <row r="132" spans="1:10" x14ac:dyDescent="0.25">
      <c r="A132" s="5" t="s">
        <v>499</v>
      </c>
      <c r="B132" s="6" t="s">
        <v>12182</v>
      </c>
      <c r="C132" s="6" t="s">
        <v>12429</v>
      </c>
      <c r="D132" s="6" t="s">
        <v>12534</v>
      </c>
      <c r="E132" s="6" t="s">
        <v>12539</v>
      </c>
      <c r="F132" s="6" t="s">
        <v>12540</v>
      </c>
      <c r="G132" s="9"/>
      <c r="H132" s="9" t="s">
        <v>18</v>
      </c>
      <c r="I132" s="10" t="str">
        <f>VLOOKUP(F132,[3]分类结果!$F:$G,2,0)</f>
        <v>交通运输、仓储、邮电通信业</v>
      </c>
      <c r="J132" s="11">
        <f>VLOOKUP(I132,[2]行业排放因子!$A:$B,2,0)</f>
        <v>667.48066458135202</v>
      </c>
    </row>
    <row r="133" spans="1:10" x14ac:dyDescent="0.25">
      <c r="A133" s="5" t="s">
        <v>502</v>
      </c>
      <c r="B133" s="6" t="s">
        <v>12182</v>
      </c>
      <c r="C133" s="6" t="s">
        <v>12429</v>
      </c>
      <c r="D133" s="6" t="s">
        <v>12534</v>
      </c>
      <c r="E133" s="6" t="s">
        <v>12541</v>
      </c>
      <c r="F133" s="6" t="s">
        <v>12542</v>
      </c>
      <c r="G133" s="9"/>
      <c r="H133" s="9" t="s">
        <v>18</v>
      </c>
      <c r="I133" s="10" t="str">
        <f>VLOOKUP(F133,[3]分类结果!$F:$G,2,0)</f>
        <v>交通运输、仓储、邮电通信业</v>
      </c>
      <c r="J133" s="11">
        <f>VLOOKUP(I133,[2]行业排放因子!$A:$B,2,0)</f>
        <v>667.48066458135202</v>
      </c>
    </row>
    <row r="134" spans="1:10" x14ac:dyDescent="0.25">
      <c r="A134" s="5" t="s">
        <v>505</v>
      </c>
      <c r="B134" s="6" t="s">
        <v>12182</v>
      </c>
      <c r="C134" s="6" t="s">
        <v>12429</v>
      </c>
      <c r="D134" s="6" t="s">
        <v>12534</v>
      </c>
      <c r="E134" s="6" t="s">
        <v>12543</v>
      </c>
      <c r="F134" s="6" t="s">
        <v>12544</v>
      </c>
      <c r="G134" s="9"/>
      <c r="H134" s="9" t="s">
        <v>18</v>
      </c>
      <c r="I134" s="10" t="str">
        <f>VLOOKUP(F134,[3]分类结果!$F:$G,2,0)</f>
        <v>交通运输、仓储、邮电通信业</v>
      </c>
      <c r="J134" s="11">
        <f>VLOOKUP(I134,[2]行业排放因子!$A:$B,2,0)</f>
        <v>667.48066458135202</v>
      </c>
    </row>
    <row r="135" spans="1:10" x14ac:dyDescent="0.25">
      <c r="A135" s="5" t="s">
        <v>509</v>
      </c>
      <c r="B135" s="6" t="s">
        <v>12182</v>
      </c>
      <c r="C135" s="6" t="s">
        <v>12429</v>
      </c>
      <c r="D135" s="6" t="s">
        <v>12534</v>
      </c>
      <c r="E135" s="6" t="s">
        <v>12545</v>
      </c>
      <c r="F135" s="6" t="s">
        <v>12546</v>
      </c>
      <c r="G135" s="9"/>
      <c r="H135" s="9" t="s">
        <v>18</v>
      </c>
      <c r="I135" s="10" t="str">
        <f>VLOOKUP(F135,[3]分类结果!$F:$G,2,0)</f>
        <v>交通运输、仓储、邮电通信业</v>
      </c>
      <c r="J135" s="11">
        <f>VLOOKUP(I135,[2]行业排放因子!$A:$B,2,0)</f>
        <v>667.48066458135202</v>
      </c>
    </row>
    <row r="136" spans="1:10" x14ac:dyDescent="0.25">
      <c r="A136" s="5" t="s">
        <v>512</v>
      </c>
      <c r="B136" s="6" t="s">
        <v>12182</v>
      </c>
      <c r="C136" s="6" t="s">
        <v>12429</v>
      </c>
      <c r="D136" s="6" t="s">
        <v>12534</v>
      </c>
      <c r="E136" s="6" t="s">
        <v>12547</v>
      </c>
      <c r="F136" s="6" t="s">
        <v>12548</v>
      </c>
      <c r="G136" s="9"/>
      <c r="H136" s="9" t="s">
        <v>18</v>
      </c>
      <c r="I136" s="10" t="str">
        <f>VLOOKUP(F136,[3]分类结果!$F:$G,2,0)</f>
        <v>交通运输、仓储、邮电通信业</v>
      </c>
      <c r="J136" s="11">
        <f>VLOOKUP(I136,[2]行业排放因子!$A:$B,2,0)</f>
        <v>667.48066458135202</v>
      </c>
    </row>
    <row r="137" spans="1:10" x14ac:dyDescent="0.25">
      <c r="A137" s="5" t="s">
        <v>516</v>
      </c>
      <c r="B137" s="6" t="s">
        <v>12182</v>
      </c>
      <c r="C137" s="6" t="s">
        <v>12429</v>
      </c>
      <c r="D137" s="6" t="s">
        <v>12534</v>
      </c>
      <c r="E137" s="6" t="s">
        <v>12549</v>
      </c>
      <c r="F137" s="6" t="s">
        <v>12550</v>
      </c>
      <c r="G137" s="9"/>
      <c r="H137" s="9" t="s">
        <v>18</v>
      </c>
      <c r="I137" s="10" t="str">
        <f>VLOOKUP(F137,[3]分类结果!$F:$G,2,0)</f>
        <v>交通运输、仓储、邮电通信业</v>
      </c>
      <c r="J137" s="11">
        <f>VLOOKUP(I137,[2]行业排放因子!$A:$B,2,0)</f>
        <v>667.48066458135202</v>
      </c>
    </row>
    <row r="138" spans="1:10" x14ac:dyDescent="0.25">
      <c r="A138" s="5" t="s">
        <v>520</v>
      </c>
      <c r="B138" s="6" t="s">
        <v>12182</v>
      </c>
      <c r="C138" s="6" t="s">
        <v>12429</v>
      </c>
      <c r="D138" s="6" t="s">
        <v>12534</v>
      </c>
      <c r="E138" s="6" t="s">
        <v>12551</v>
      </c>
      <c r="F138" s="6" t="s">
        <v>12552</v>
      </c>
      <c r="G138" s="9"/>
      <c r="H138" s="9" t="s">
        <v>18</v>
      </c>
      <c r="I138" s="10" t="str">
        <f>VLOOKUP(F138,[3]分类结果!$F:$G,2,0)</f>
        <v>农、林、牧、渔及水利业</v>
      </c>
      <c r="J138" s="11">
        <f>VLOOKUP(I138,[2]行业排放因子!$A:$B,2,0)</f>
        <v>90.746322689478703</v>
      </c>
    </row>
    <row r="139" spans="1:10" x14ac:dyDescent="0.25">
      <c r="A139" s="5" t="s">
        <v>524</v>
      </c>
      <c r="B139" s="6" t="s">
        <v>12182</v>
      </c>
      <c r="C139" s="6" t="s">
        <v>12429</v>
      </c>
      <c r="D139" s="6" t="s">
        <v>12534</v>
      </c>
      <c r="E139" s="6" t="s">
        <v>12553</v>
      </c>
      <c r="F139" s="6" t="s">
        <v>12554</v>
      </c>
      <c r="G139" s="9"/>
      <c r="H139" s="9" t="s">
        <v>18</v>
      </c>
      <c r="I139" s="10" t="str">
        <f>VLOOKUP(F139,[3]分类结果!$F:$G,2,0)</f>
        <v>交通运输、仓储、邮电通信业</v>
      </c>
      <c r="J139" s="11">
        <f>VLOOKUP(I139,[2]行业排放因子!$A:$B,2,0)</f>
        <v>667.48066458135202</v>
      </c>
    </row>
    <row r="140" spans="1:10" x14ac:dyDescent="0.25">
      <c r="A140" s="5" t="s">
        <v>528</v>
      </c>
      <c r="B140" s="6" t="s">
        <v>12182</v>
      </c>
      <c r="C140" s="6" t="s">
        <v>12429</v>
      </c>
      <c r="D140" s="6" t="s">
        <v>12534</v>
      </c>
      <c r="E140" s="6" t="s">
        <v>12555</v>
      </c>
      <c r="F140" s="6" t="s">
        <v>12556</v>
      </c>
      <c r="G140" s="9"/>
      <c r="H140" s="9" t="s">
        <v>18</v>
      </c>
      <c r="I140" s="10" t="str">
        <f>VLOOKUP(F140,[3]分类结果!$F:$G,2,0)</f>
        <v>交通运输、仓储、邮电通信业</v>
      </c>
      <c r="J140" s="11">
        <f>VLOOKUP(I140,[2]行业排放因子!$A:$B,2,0)</f>
        <v>667.48066458135202</v>
      </c>
    </row>
    <row r="141" spans="1:10" x14ac:dyDescent="0.25">
      <c r="A141" s="5" t="s">
        <v>532</v>
      </c>
      <c r="B141" s="6" t="s">
        <v>12182</v>
      </c>
      <c r="C141" s="6" t="s">
        <v>12429</v>
      </c>
      <c r="D141" s="6" t="s">
        <v>12534</v>
      </c>
      <c r="E141" s="6" t="s">
        <v>12557</v>
      </c>
      <c r="F141" s="6" t="s">
        <v>12558</v>
      </c>
      <c r="G141" s="9"/>
      <c r="H141" s="9" t="s">
        <v>18</v>
      </c>
      <c r="I141" s="10" t="str">
        <f>VLOOKUP(F141,[3]分类结果!$F:$G,2,0)</f>
        <v>其他制造业</v>
      </c>
      <c r="J141" s="11">
        <f>VLOOKUP(I141,[2]行业排放因子!$A:$B,2,0)</f>
        <v>0.245415556625804</v>
      </c>
    </row>
    <row r="142" spans="1:10" x14ac:dyDescent="0.25">
      <c r="A142" s="5" t="s">
        <v>536</v>
      </c>
      <c r="B142" s="6" t="s">
        <v>12182</v>
      </c>
      <c r="C142" s="6" t="s">
        <v>12429</v>
      </c>
      <c r="D142" s="6" t="s">
        <v>12534</v>
      </c>
      <c r="E142" s="6" t="s">
        <v>12559</v>
      </c>
      <c r="F142" s="6" t="s">
        <v>12560</v>
      </c>
      <c r="G142" s="9"/>
      <c r="H142" s="9" t="s">
        <v>18</v>
      </c>
      <c r="I142" s="10" t="str">
        <f>VLOOKUP(F142,[3]分类结果!$F:$G,2,0)</f>
        <v>其他制造业</v>
      </c>
      <c r="J142" s="11">
        <f>VLOOKUP(I142,[2]行业排放因子!$A:$B,2,0)</f>
        <v>0.245415556625804</v>
      </c>
    </row>
    <row r="143" spans="1:10" x14ac:dyDescent="0.25">
      <c r="A143" s="5" t="s">
        <v>540</v>
      </c>
      <c r="B143" s="6" t="s">
        <v>12182</v>
      </c>
      <c r="C143" s="6" t="s">
        <v>12429</v>
      </c>
      <c r="D143" s="6" t="s">
        <v>12534</v>
      </c>
      <c r="E143" s="6" t="s">
        <v>12561</v>
      </c>
      <c r="F143" s="6" t="s">
        <v>12562</v>
      </c>
      <c r="G143" s="9"/>
      <c r="H143" s="9" t="s">
        <v>18</v>
      </c>
      <c r="I143" s="10" t="str">
        <f>VLOOKUP(F143,[3]分类结果!$F:$G,2,0)</f>
        <v>其他制造业</v>
      </c>
      <c r="J143" s="11">
        <f>VLOOKUP(I143,[2]行业排放因子!$A:$B,2,0)</f>
        <v>0.245415556625804</v>
      </c>
    </row>
    <row r="144" spans="1:10" x14ac:dyDescent="0.25">
      <c r="A144" s="5" t="s">
        <v>544</v>
      </c>
      <c r="B144" s="6" t="s">
        <v>12182</v>
      </c>
      <c r="C144" s="6" t="s">
        <v>12429</v>
      </c>
      <c r="D144" s="6" t="s">
        <v>12534</v>
      </c>
      <c r="E144" s="6" t="s">
        <v>12563</v>
      </c>
      <c r="F144" s="6" t="s">
        <v>12564</v>
      </c>
      <c r="G144" s="9"/>
      <c r="H144" s="9" t="s">
        <v>18</v>
      </c>
      <c r="I144" s="10" t="str">
        <f>VLOOKUP(F144,[3]分类结果!$F:$G,2,0)</f>
        <v>交通运输、仓储、邮电通信业</v>
      </c>
      <c r="J144" s="11">
        <f>VLOOKUP(I144,[2]行业排放因子!$A:$B,2,0)</f>
        <v>667.48066458135202</v>
      </c>
    </row>
    <row r="145" spans="1:10" x14ac:dyDescent="0.25">
      <c r="A145" s="5" t="s">
        <v>548</v>
      </c>
      <c r="B145" s="6" t="s">
        <v>12182</v>
      </c>
      <c r="C145" s="6" t="s">
        <v>12429</v>
      </c>
      <c r="D145" s="6" t="s">
        <v>12534</v>
      </c>
      <c r="E145" s="6" t="s">
        <v>12565</v>
      </c>
      <c r="F145" s="6" t="s">
        <v>12566</v>
      </c>
      <c r="G145" s="9"/>
      <c r="H145" s="9" t="s">
        <v>18</v>
      </c>
      <c r="I145" s="10" t="str">
        <f>VLOOKUP(F145,[3]分类结果!$F:$G,2,0)</f>
        <v>其他制造业</v>
      </c>
      <c r="J145" s="11">
        <f>VLOOKUP(I145,[2]行业排放因子!$A:$B,2,0)</f>
        <v>0.245415556625804</v>
      </c>
    </row>
    <row r="146" spans="1:10" x14ac:dyDescent="0.25">
      <c r="A146" s="5" t="s">
        <v>554</v>
      </c>
      <c r="B146" s="6" t="s">
        <v>12182</v>
      </c>
      <c r="C146" s="6" t="s">
        <v>12429</v>
      </c>
      <c r="D146" s="6" t="s">
        <v>12534</v>
      </c>
      <c r="E146" s="6" t="s">
        <v>12567</v>
      </c>
      <c r="F146" s="6" t="s">
        <v>12568</v>
      </c>
      <c r="G146" s="9" t="s">
        <v>12569</v>
      </c>
      <c r="H146" s="9" t="s">
        <v>18</v>
      </c>
      <c r="I146" s="10" t="str">
        <f>VLOOKUP(F146,[3]分类结果!$F:$G,2,0)</f>
        <v>交通运输设备制造业</v>
      </c>
      <c r="J146" s="11">
        <f>VLOOKUP(I146,[2]行业排放因子!$A:$B,2,0)</f>
        <v>6.2441374348339602</v>
      </c>
    </row>
    <row r="147" spans="1:10" x14ac:dyDescent="0.25">
      <c r="A147" s="5" t="s">
        <v>558</v>
      </c>
      <c r="B147" s="6" t="s">
        <v>12182</v>
      </c>
      <c r="C147" s="6" t="s">
        <v>12429</v>
      </c>
      <c r="D147" s="6" t="s">
        <v>12534</v>
      </c>
      <c r="E147" s="6" t="s">
        <v>12570</v>
      </c>
      <c r="F147" s="6" t="s">
        <v>12571</v>
      </c>
      <c r="G147" s="9" t="s">
        <v>12572</v>
      </c>
      <c r="H147" s="9" t="s">
        <v>18</v>
      </c>
      <c r="I147" s="10" t="str">
        <f>VLOOKUP(F147,[3]分类结果!$F:$G,2,0)</f>
        <v>农、林、牧、渔及水利业</v>
      </c>
      <c r="J147" s="11">
        <f>VLOOKUP(I147,[2]行业排放因子!$A:$B,2,0)</f>
        <v>90.746322689478703</v>
      </c>
    </row>
    <row r="148" spans="1:10" x14ac:dyDescent="0.25">
      <c r="A148" s="5" t="s">
        <v>562</v>
      </c>
      <c r="B148" s="6" t="s">
        <v>12182</v>
      </c>
      <c r="C148" s="6" t="s">
        <v>12429</v>
      </c>
      <c r="D148" s="6" t="s">
        <v>12534</v>
      </c>
      <c r="E148" s="6" t="s">
        <v>12573</v>
      </c>
      <c r="F148" s="6" t="s">
        <v>12574</v>
      </c>
      <c r="G148" s="9" t="s">
        <v>12575</v>
      </c>
      <c r="H148" s="9" t="s">
        <v>18</v>
      </c>
      <c r="I148" s="10" t="str">
        <f>VLOOKUP(F148,[3]分类结果!$F:$G,2,0)</f>
        <v>石油和天然气开采业</v>
      </c>
      <c r="J148" s="11">
        <f>VLOOKUP(I148,[2]行业排放因子!$A:$B,2,0)</f>
        <v>44.014305075647201</v>
      </c>
    </row>
    <row r="149" spans="1:10" x14ac:dyDescent="0.25">
      <c r="A149" s="5" t="s">
        <v>566</v>
      </c>
      <c r="B149" s="6" t="s">
        <v>12182</v>
      </c>
      <c r="C149" s="6" t="s">
        <v>12429</v>
      </c>
      <c r="D149" s="6" t="s">
        <v>12534</v>
      </c>
      <c r="E149" s="6" t="s">
        <v>12576</v>
      </c>
      <c r="F149" s="6" t="s">
        <v>12577</v>
      </c>
      <c r="G149" s="9" t="s">
        <v>12578</v>
      </c>
      <c r="H149" s="9" t="s">
        <v>18</v>
      </c>
      <c r="I149" s="10" t="str">
        <f>VLOOKUP(F149,[3]分类结果!$F:$G,2,0)</f>
        <v>交通运输、仓储、邮电通信业</v>
      </c>
      <c r="J149" s="11">
        <f>VLOOKUP(I149,[2]行业排放因子!$A:$B,2,0)</f>
        <v>667.48066458135202</v>
      </c>
    </row>
    <row r="150" spans="1:10" x14ac:dyDescent="0.25">
      <c r="A150" s="5" t="s">
        <v>569</v>
      </c>
      <c r="B150" s="6" t="s">
        <v>12182</v>
      </c>
      <c r="C150" s="6" t="s">
        <v>12429</v>
      </c>
      <c r="D150" s="6" t="s">
        <v>12534</v>
      </c>
      <c r="E150" s="6" t="s">
        <v>12579</v>
      </c>
      <c r="F150" s="6" t="s">
        <v>12580</v>
      </c>
      <c r="G150" s="9" t="s">
        <v>12581</v>
      </c>
      <c r="H150" s="9" t="s">
        <v>18</v>
      </c>
      <c r="I150" s="10" t="str">
        <f>VLOOKUP(F150,[3]分类结果!$F:$G,2,0)</f>
        <v>交通运输、仓储、邮电通信业</v>
      </c>
      <c r="J150" s="11">
        <f>VLOOKUP(I150,[2]行业排放因子!$A:$B,2,0)</f>
        <v>667.48066458135202</v>
      </c>
    </row>
    <row r="151" spans="1:10" x14ac:dyDescent="0.25">
      <c r="A151" s="5" t="s">
        <v>573</v>
      </c>
      <c r="B151" s="6" t="s">
        <v>12182</v>
      </c>
      <c r="C151" s="6" t="s">
        <v>12429</v>
      </c>
      <c r="D151" s="6" t="s">
        <v>12534</v>
      </c>
      <c r="E151" s="6" t="s">
        <v>12582</v>
      </c>
      <c r="F151" s="6" t="s">
        <v>12583</v>
      </c>
      <c r="G151" s="9" t="s">
        <v>12584</v>
      </c>
      <c r="H151" s="9" t="s">
        <v>18</v>
      </c>
      <c r="I151" s="10" t="str">
        <f>VLOOKUP(F151,[3]分类结果!$F:$G,2,0)</f>
        <v>农、林、牧、渔及水利业</v>
      </c>
      <c r="J151" s="11">
        <f>VLOOKUP(I151,[2]行业排放因子!$A:$B,2,0)</f>
        <v>90.746322689478703</v>
      </c>
    </row>
    <row r="152" spans="1:10" x14ac:dyDescent="0.25">
      <c r="A152" s="5" t="s">
        <v>576</v>
      </c>
      <c r="B152" s="6" t="s">
        <v>12182</v>
      </c>
      <c r="C152" s="6" t="s">
        <v>12429</v>
      </c>
      <c r="D152" s="6" t="s">
        <v>12534</v>
      </c>
      <c r="E152" s="6" t="s">
        <v>12585</v>
      </c>
      <c r="F152" s="6" t="s">
        <v>12586</v>
      </c>
      <c r="G152" s="9" t="s">
        <v>12587</v>
      </c>
      <c r="H152" s="9" t="s">
        <v>18</v>
      </c>
      <c r="I152" s="10" t="str">
        <f>VLOOKUP(F152,[3]分类结果!$F:$G,2,0)</f>
        <v>交通运输、仓储、邮电通信业</v>
      </c>
      <c r="J152" s="11">
        <f>VLOOKUP(I152,[2]行业排放因子!$A:$B,2,0)</f>
        <v>667.48066458135202</v>
      </c>
    </row>
    <row r="153" spans="1:10" x14ac:dyDescent="0.25">
      <c r="A153" s="5" t="s">
        <v>579</v>
      </c>
      <c r="B153" s="6" t="s">
        <v>12182</v>
      </c>
      <c r="C153" s="6" t="s">
        <v>12429</v>
      </c>
      <c r="D153" s="6" t="s">
        <v>12534</v>
      </c>
      <c r="E153" s="6" t="s">
        <v>12588</v>
      </c>
      <c r="F153" s="6" t="s">
        <v>12589</v>
      </c>
      <c r="G153" s="9" t="s">
        <v>12590</v>
      </c>
      <c r="H153" s="9" t="s">
        <v>18</v>
      </c>
      <c r="I153" s="10" t="str">
        <f>VLOOKUP(F153,[3]分类结果!$F:$G,2,0)</f>
        <v>其他制造业</v>
      </c>
      <c r="J153" s="11">
        <f>VLOOKUP(I153,[2]行业排放因子!$A:$B,2,0)</f>
        <v>0.245415556625804</v>
      </c>
    </row>
    <row r="154" spans="1:10" x14ac:dyDescent="0.25">
      <c r="A154" s="5" t="s">
        <v>584</v>
      </c>
      <c r="B154" s="6" t="s">
        <v>12182</v>
      </c>
      <c r="C154" s="6" t="s">
        <v>12429</v>
      </c>
      <c r="D154" s="6" t="s">
        <v>12534</v>
      </c>
      <c r="E154" s="6" t="s">
        <v>12591</v>
      </c>
      <c r="F154" s="6" t="s">
        <v>12592</v>
      </c>
      <c r="G154" s="9" t="s">
        <v>12593</v>
      </c>
      <c r="H154" s="9" t="s">
        <v>18</v>
      </c>
      <c r="I154" s="10" t="str">
        <f>VLOOKUP(F154,[3]分类结果!$F:$G,2,0)</f>
        <v>其他制造业</v>
      </c>
      <c r="J154" s="11">
        <f>VLOOKUP(I154,[2]行业排放因子!$A:$B,2,0)</f>
        <v>0.245415556625804</v>
      </c>
    </row>
    <row r="155" spans="1:10" x14ac:dyDescent="0.25">
      <c r="A155" s="5" t="s">
        <v>588</v>
      </c>
      <c r="B155" s="6" t="s">
        <v>12182</v>
      </c>
      <c r="C155" s="6" t="s">
        <v>12429</v>
      </c>
      <c r="D155" s="6" t="s">
        <v>12534</v>
      </c>
      <c r="E155" s="6" t="s">
        <v>12594</v>
      </c>
      <c r="F155" s="6" t="s">
        <v>12595</v>
      </c>
      <c r="G155" s="9" t="s">
        <v>12596</v>
      </c>
      <c r="H155" s="9" t="s">
        <v>18</v>
      </c>
      <c r="I155" s="10" t="str">
        <f>VLOOKUP(F155,[3]分类结果!$F:$G,2,0)</f>
        <v>其他制造业</v>
      </c>
      <c r="J155" s="11">
        <f>VLOOKUP(I155,[2]行业排放因子!$A:$B,2,0)</f>
        <v>0.245415556625804</v>
      </c>
    </row>
    <row r="156" spans="1:10" x14ac:dyDescent="0.25">
      <c r="A156" s="5" t="s">
        <v>592</v>
      </c>
      <c r="B156" s="6" t="s">
        <v>12182</v>
      </c>
      <c r="C156" s="6" t="s">
        <v>12429</v>
      </c>
      <c r="D156" s="6" t="s">
        <v>12597</v>
      </c>
      <c r="E156" s="6" t="s">
        <v>12598</v>
      </c>
      <c r="F156" s="6" t="s">
        <v>12597</v>
      </c>
      <c r="G156" s="9" t="s">
        <v>12599</v>
      </c>
      <c r="H156" s="9" t="s">
        <v>18</v>
      </c>
      <c r="I156" s="10" t="str">
        <f>VLOOKUP(F156,[3]分类结果!$F:$G,2,0)</f>
        <v>交通运输、仓储、邮电通信业</v>
      </c>
      <c r="J156" s="11">
        <f>VLOOKUP(I156,[2]行业排放因子!$A:$B,2,0)</f>
        <v>667.48066458135202</v>
      </c>
    </row>
    <row r="157" spans="1:10" x14ac:dyDescent="0.25">
      <c r="A157" s="5" t="s">
        <v>596</v>
      </c>
      <c r="B157" s="6" t="s">
        <v>12182</v>
      </c>
      <c r="C157" s="6" t="s">
        <v>12429</v>
      </c>
      <c r="D157" s="6" t="s">
        <v>12600</v>
      </c>
      <c r="E157" s="6" t="s">
        <v>12601</v>
      </c>
      <c r="F157" s="6" t="s">
        <v>12602</v>
      </c>
      <c r="G157" s="9" t="s">
        <v>12603</v>
      </c>
      <c r="H157" s="9" t="s">
        <v>18</v>
      </c>
      <c r="I157" s="10" t="str">
        <f>VLOOKUP(F157,[3]分类结果!$F:$G,2,0)</f>
        <v>其他制造业</v>
      </c>
      <c r="J157" s="11">
        <f>VLOOKUP(I157,[2]行业排放因子!$A:$B,2,0)</f>
        <v>0.245415556625804</v>
      </c>
    </row>
    <row r="158" spans="1:10" x14ac:dyDescent="0.25">
      <c r="A158" s="5" t="s">
        <v>601</v>
      </c>
      <c r="B158" s="6" t="s">
        <v>12182</v>
      </c>
      <c r="C158" s="6" t="s">
        <v>12429</v>
      </c>
      <c r="D158" s="6" t="s">
        <v>12600</v>
      </c>
      <c r="E158" s="6" t="s">
        <v>12604</v>
      </c>
      <c r="F158" s="6" t="s">
        <v>12605</v>
      </c>
      <c r="G158" s="9" t="s">
        <v>12606</v>
      </c>
      <c r="H158" s="9" t="s">
        <v>18</v>
      </c>
      <c r="I158" s="10" t="str">
        <f>VLOOKUP(F158,[3]分类结果!$F:$G,2,0)</f>
        <v>其他制造业</v>
      </c>
      <c r="J158" s="11">
        <f>VLOOKUP(I158,[2]行业排放因子!$A:$B,2,0)</f>
        <v>0.245415556625804</v>
      </c>
    </row>
    <row r="159" spans="1:10" x14ac:dyDescent="0.25">
      <c r="A159" s="5" t="s">
        <v>604</v>
      </c>
      <c r="B159" s="6" t="s">
        <v>12182</v>
      </c>
      <c r="C159" s="6" t="s">
        <v>12429</v>
      </c>
      <c r="D159" s="6" t="s">
        <v>12600</v>
      </c>
      <c r="E159" s="6" t="s">
        <v>12607</v>
      </c>
      <c r="F159" s="6" t="s">
        <v>12608</v>
      </c>
      <c r="G159" s="9" t="s">
        <v>12609</v>
      </c>
      <c r="H159" s="9" t="s">
        <v>18</v>
      </c>
      <c r="I159" s="10" t="str">
        <f>VLOOKUP(F159,[3]分类结果!$F:$G,2,0)</f>
        <v>其他制造业</v>
      </c>
      <c r="J159" s="11">
        <f>VLOOKUP(I159,[2]行业排放因子!$A:$B,2,0)</f>
        <v>0.245415556625804</v>
      </c>
    </row>
    <row r="160" spans="1:10" x14ac:dyDescent="0.25">
      <c r="A160" s="5" t="s">
        <v>607</v>
      </c>
      <c r="B160" s="6" t="s">
        <v>12182</v>
      </c>
      <c r="C160" s="6" t="s">
        <v>12429</v>
      </c>
      <c r="D160" s="6" t="s">
        <v>12610</v>
      </c>
      <c r="E160" s="6" t="s">
        <v>12611</v>
      </c>
      <c r="F160" s="6" t="s">
        <v>12612</v>
      </c>
      <c r="G160" s="9" t="s">
        <v>12613</v>
      </c>
      <c r="H160" s="9" t="s">
        <v>18</v>
      </c>
      <c r="I160" s="10" t="str">
        <f>VLOOKUP(F160,[3]分类结果!$F:$G,2,0)</f>
        <v>交通运输设备制造业</v>
      </c>
      <c r="J160" s="11">
        <f>VLOOKUP(I160,[2]行业排放因子!$A:$B,2,0)</f>
        <v>6.2441374348339602</v>
      </c>
    </row>
    <row r="161" spans="1:10" x14ac:dyDescent="0.25">
      <c r="A161" s="5" t="s">
        <v>610</v>
      </c>
      <c r="B161" s="6" t="s">
        <v>12182</v>
      </c>
      <c r="C161" s="6" t="s">
        <v>12429</v>
      </c>
      <c r="D161" s="6" t="s">
        <v>12610</v>
      </c>
      <c r="E161" s="6" t="s">
        <v>12614</v>
      </c>
      <c r="F161" s="6" t="s">
        <v>12615</v>
      </c>
      <c r="G161" s="9" t="s">
        <v>12616</v>
      </c>
      <c r="H161" s="9" t="s">
        <v>18</v>
      </c>
      <c r="I161" s="10" t="str">
        <f>VLOOKUP(F161,[3]分类结果!$F:$G,2,0)</f>
        <v>交通运输设备制造业</v>
      </c>
      <c r="J161" s="11">
        <f>VLOOKUP(I161,[2]行业排放因子!$A:$B,2,0)</f>
        <v>6.2441374348339602</v>
      </c>
    </row>
    <row r="162" spans="1:10" x14ac:dyDescent="0.25">
      <c r="A162" s="5" t="s">
        <v>614</v>
      </c>
      <c r="B162" s="6" t="s">
        <v>12182</v>
      </c>
      <c r="C162" s="6" t="s">
        <v>12429</v>
      </c>
      <c r="D162" s="6" t="s">
        <v>12610</v>
      </c>
      <c r="E162" s="6" t="s">
        <v>12617</v>
      </c>
      <c r="F162" s="6" t="s">
        <v>12618</v>
      </c>
      <c r="G162" s="9" t="s">
        <v>12619</v>
      </c>
      <c r="H162" s="9" t="s">
        <v>18</v>
      </c>
      <c r="I162" s="10" t="str">
        <f>VLOOKUP(F162,[3]分类结果!$F:$G,2,0)</f>
        <v>其他制造业</v>
      </c>
      <c r="J162" s="11">
        <f>VLOOKUP(I162,[2]行业排放因子!$A:$B,2,0)</f>
        <v>0.245415556625804</v>
      </c>
    </row>
    <row r="163" spans="1:10" x14ac:dyDescent="0.25">
      <c r="A163" s="5" t="s">
        <v>617</v>
      </c>
      <c r="B163" s="6" t="s">
        <v>12182</v>
      </c>
      <c r="C163" s="6" t="s">
        <v>12429</v>
      </c>
      <c r="D163" s="6" t="s">
        <v>12610</v>
      </c>
      <c r="E163" s="6" t="s">
        <v>12620</v>
      </c>
      <c r="F163" s="6" t="s">
        <v>12621</v>
      </c>
      <c r="G163" s="9"/>
      <c r="H163" s="9" t="s">
        <v>18</v>
      </c>
      <c r="I163" s="10" t="str">
        <f>VLOOKUP(F163,[3]分类结果!$F:$G,2,0)</f>
        <v>其他制造业</v>
      </c>
      <c r="J163" s="11">
        <f>VLOOKUP(I163,[2]行业排放因子!$A:$B,2,0)</f>
        <v>0.245415556625804</v>
      </c>
    </row>
    <row r="164" spans="1:10" x14ac:dyDescent="0.25">
      <c r="A164" s="5" t="s">
        <v>620</v>
      </c>
      <c r="B164" s="6" t="s">
        <v>12182</v>
      </c>
      <c r="C164" s="6" t="s">
        <v>12429</v>
      </c>
      <c r="D164" s="6" t="s">
        <v>12610</v>
      </c>
      <c r="E164" s="6" t="s">
        <v>12622</v>
      </c>
      <c r="F164" s="6" t="s">
        <v>12623</v>
      </c>
      <c r="G164" s="9"/>
      <c r="H164" s="9" t="s">
        <v>18</v>
      </c>
      <c r="I164" s="10" t="str">
        <f>VLOOKUP(F164,[3]分类结果!$F:$G,2,0)</f>
        <v>其他制造业</v>
      </c>
      <c r="J164" s="11">
        <f>VLOOKUP(I164,[2]行业排放因子!$A:$B,2,0)</f>
        <v>0.245415556625804</v>
      </c>
    </row>
    <row r="165" spans="1:10" x14ac:dyDescent="0.25">
      <c r="A165" s="5" t="s">
        <v>624</v>
      </c>
      <c r="B165" s="6" t="s">
        <v>12182</v>
      </c>
      <c r="C165" s="6" t="s">
        <v>12429</v>
      </c>
      <c r="D165" s="6" t="s">
        <v>12610</v>
      </c>
      <c r="E165" s="6" t="s">
        <v>12624</v>
      </c>
      <c r="F165" s="6" t="s">
        <v>12625</v>
      </c>
      <c r="G165" s="9"/>
      <c r="H165" s="9" t="s">
        <v>18</v>
      </c>
      <c r="I165" s="10" t="str">
        <f>VLOOKUP(F165,[3]分类结果!$F:$G,2,0)</f>
        <v>其他制造业</v>
      </c>
      <c r="J165" s="11">
        <f>VLOOKUP(I165,[2]行业排放因子!$A:$B,2,0)</f>
        <v>0.245415556625804</v>
      </c>
    </row>
    <row r="166" spans="1:10" x14ac:dyDescent="0.25">
      <c r="A166" s="5" t="s">
        <v>628</v>
      </c>
      <c r="B166" s="6" t="s">
        <v>12182</v>
      </c>
      <c r="C166" s="6" t="s">
        <v>12429</v>
      </c>
      <c r="D166" s="6" t="s">
        <v>12610</v>
      </c>
      <c r="E166" s="6" t="s">
        <v>12626</v>
      </c>
      <c r="F166" s="6" t="s">
        <v>12627</v>
      </c>
      <c r="G166" s="9" t="s">
        <v>12628</v>
      </c>
      <c r="H166" s="9" t="s">
        <v>18</v>
      </c>
      <c r="I166" s="10" t="str">
        <f>VLOOKUP(F166,[3]分类结果!$F:$G,2,0)</f>
        <v>其他制造业</v>
      </c>
      <c r="J166" s="11">
        <f>VLOOKUP(I166,[2]行业排放因子!$A:$B,2,0)</f>
        <v>0.245415556625804</v>
      </c>
    </row>
    <row r="167" spans="1:10" x14ac:dyDescent="0.25">
      <c r="A167" s="5" t="s">
        <v>631</v>
      </c>
      <c r="B167" s="6" t="s">
        <v>12182</v>
      </c>
      <c r="C167" s="6" t="s">
        <v>12429</v>
      </c>
      <c r="D167" s="6" t="s">
        <v>12610</v>
      </c>
      <c r="E167" s="6" t="s">
        <v>12629</v>
      </c>
      <c r="F167" s="6" t="s">
        <v>12630</v>
      </c>
      <c r="G167" s="9"/>
      <c r="H167" s="9" t="s">
        <v>18</v>
      </c>
      <c r="I167" s="10" t="str">
        <f>VLOOKUP(F167,[3]分类结果!$F:$G,2,0)</f>
        <v>交通运输、仓储、邮电通信业</v>
      </c>
      <c r="J167" s="11">
        <f>VLOOKUP(I167,[2]行业排放因子!$A:$B,2,0)</f>
        <v>667.48066458135202</v>
      </c>
    </row>
    <row r="168" spans="1:10" x14ac:dyDescent="0.25">
      <c r="A168" s="5" t="s">
        <v>635</v>
      </c>
      <c r="B168" s="6" t="s">
        <v>12182</v>
      </c>
      <c r="C168" s="6" t="s">
        <v>12429</v>
      </c>
      <c r="D168" s="6" t="s">
        <v>12610</v>
      </c>
      <c r="E168" s="6" t="s">
        <v>12631</v>
      </c>
      <c r="F168" s="6" t="s">
        <v>12632</v>
      </c>
      <c r="G168" s="9"/>
      <c r="H168" s="9" t="s">
        <v>18</v>
      </c>
      <c r="I168" s="10" t="str">
        <f>VLOOKUP(F168,[3]分类结果!$F:$G,2,0)</f>
        <v>其他制造业</v>
      </c>
      <c r="J168" s="11">
        <f>VLOOKUP(I168,[2]行业排放因子!$A:$B,2,0)</f>
        <v>0.245415556625804</v>
      </c>
    </row>
    <row r="169" spans="1:10" x14ac:dyDescent="0.25">
      <c r="A169" s="5" t="s">
        <v>639</v>
      </c>
      <c r="B169" s="6" t="s">
        <v>12182</v>
      </c>
      <c r="C169" s="6" t="s">
        <v>12429</v>
      </c>
      <c r="D169" s="6" t="s">
        <v>12610</v>
      </c>
      <c r="E169" s="6" t="s">
        <v>12633</v>
      </c>
      <c r="F169" s="6" t="s">
        <v>12634</v>
      </c>
      <c r="G169" s="9"/>
      <c r="H169" s="9" t="s">
        <v>18</v>
      </c>
      <c r="I169" s="10" t="str">
        <f>VLOOKUP(F169,[3]分类结果!$F:$G,2,0)</f>
        <v>其他制造业</v>
      </c>
      <c r="J169" s="11">
        <f>VLOOKUP(I169,[2]行业排放因子!$A:$B,2,0)</f>
        <v>0.245415556625804</v>
      </c>
    </row>
    <row r="170" spans="1:10" x14ac:dyDescent="0.25">
      <c r="A170" s="5" t="s">
        <v>643</v>
      </c>
      <c r="B170" s="6" t="s">
        <v>12182</v>
      </c>
      <c r="C170" s="6" t="s">
        <v>12429</v>
      </c>
      <c r="D170" s="6" t="s">
        <v>12610</v>
      </c>
      <c r="E170" s="6" t="s">
        <v>12635</v>
      </c>
      <c r="F170" s="6" t="s">
        <v>12636</v>
      </c>
      <c r="G170" s="9"/>
      <c r="H170" s="9" t="s">
        <v>18</v>
      </c>
      <c r="I170" s="10" t="str">
        <f>VLOOKUP(F170,[3]分类结果!$F:$G,2,0)</f>
        <v>其他制造业</v>
      </c>
      <c r="J170" s="11">
        <f>VLOOKUP(I170,[2]行业排放因子!$A:$B,2,0)</f>
        <v>0.245415556625804</v>
      </c>
    </row>
    <row r="171" spans="1:10" x14ac:dyDescent="0.25">
      <c r="A171" s="5" t="s">
        <v>647</v>
      </c>
      <c r="B171" s="6" t="s">
        <v>12182</v>
      </c>
      <c r="C171" s="6" t="s">
        <v>12429</v>
      </c>
      <c r="D171" s="6" t="s">
        <v>12610</v>
      </c>
      <c r="E171" s="6" t="s">
        <v>12637</v>
      </c>
      <c r="F171" s="6" t="s">
        <v>12638</v>
      </c>
      <c r="G171" s="9"/>
      <c r="H171" s="9" t="s">
        <v>18</v>
      </c>
      <c r="I171" s="10" t="str">
        <f>VLOOKUP(F171,[3]分类结果!$F:$G,2,0)</f>
        <v>其他制造业</v>
      </c>
      <c r="J171" s="11">
        <f>VLOOKUP(I171,[2]行业排放因子!$A:$B,2,0)</f>
        <v>0.245415556625804</v>
      </c>
    </row>
    <row r="172" spans="1:10" x14ac:dyDescent="0.25">
      <c r="A172" s="5" t="s">
        <v>651</v>
      </c>
      <c r="B172" s="6" t="s">
        <v>12182</v>
      </c>
      <c r="C172" s="6" t="s">
        <v>12429</v>
      </c>
      <c r="D172" s="6" t="s">
        <v>12610</v>
      </c>
      <c r="E172" s="6" t="s">
        <v>12639</v>
      </c>
      <c r="F172" s="6" t="s">
        <v>12640</v>
      </c>
      <c r="G172" s="9"/>
      <c r="H172" s="9" t="s">
        <v>18</v>
      </c>
      <c r="I172" s="10" t="str">
        <f>VLOOKUP(F172,[3]分类结果!$F:$G,2,0)</f>
        <v>其他制造业</v>
      </c>
      <c r="J172" s="11">
        <f>VLOOKUP(I172,[2]行业排放因子!$A:$B,2,0)</f>
        <v>0.245415556625804</v>
      </c>
    </row>
    <row r="173" spans="1:10" x14ac:dyDescent="0.25">
      <c r="A173" s="5" t="s">
        <v>655</v>
      </c>
      <c r="B173" s="6" t="s">
        <v>12182</v>
      </c>
      <c r="C173" s="6" t="s">
        <v>12429</v>
      </c>
      <c r="D173" s="6" t="s">
        <v>12610</v>
      </c>
      <c r="E173" s="6" t="s">
        <v>12641</v>
      </c>
      <c r="F173" s="6" t="s">
        <v>12642</v>
      </c>
      <c r="G173" s="9"/>
      <c r="H173" s="9" t="s">
        <v>18</v>
      </c>
      <c r="I173" s="10" t="str">
        <f>VLOOKUP(F173,[3]分类结果!$F:$G,2,0)</f>
        <v>其他制造业</v>
      </c>
      <c r="J173" s="11">
        <f>VLOOKUP(I173,[2]行业排放因子!$A:$B,2,0)</f>
        <v>0.245415556625804</v>
      </c>
    </row>
    <row r="174" spans="1:10" x14ac:dyDescent="0.25">
      <c r="A174" s="5" t="s">
        <v>659</v>
      </c>
      <c r="B174" s="6" t="s">
        <v>12182</v>
      </c>
      <c r="C174" s="6" t="s">
        <v>12429</v>
      </c>
      <c r="D174" s="6" t="s">
        <v>12643</v>
      </c>
      <c r="E174" s="6" t="s">
        <v>12644</v>
      </c>
      <c r="F174" s="6" t="s">
        <v>12645</v>
      </c>
      <c r="G174" s="9" t="s">
        <v>12646</v>
      </c>
      <c r="H174" s="9" t="s">
        <v>18</v>
      </c>
      <c r="I174" s="10" t="str">
        <f>VLOOKUP(F174,[3]分类结果!$F:$G,2,0)</f>
        <v>其他制造业</v>
      </c>
      <c r="J174" s="11">
        <f>VLOOKUP(I174,[2]行业排放因子!$A:$B,2,0)</f>
        <v>0.245415556625804</v>
      </c>
    </row>
    <row r="175" spans="1:10" x14ac:dyDescent="0.25">
      <c r="A175" s="5" t="s">
        <v>663</v>
      </c>
      <c r="B175" s="6" t="s">
        <v>12182</v>
      </c>
      <c r="C175" s="6" t="s">
        <v>12429</v>
      </c>
      <c r="D175" s="6" t="s">
        <v>12643</v>
      </c>
      <c r="E175" s="6" t="s">
        <v>12647</v>
      </c>
      <c r="F175" s="6" t="s">
        <v>12648</v>
      </c>
      <c r="G175" s="9"/>
      <c r="H175" s="9" t="s">
        <v>18</v>
      </c>
      <c r="I175" s="10" t="str">
        <f>VLOOKUP(F175,[3]分类结果!$F:$G,2,0)</f>
        <v>建筑业</v>
      </c>
      <c r="J175" s="11">
        <f>VLOOKUP(I175,[2]行业排放因子!$A:$B,2,0)</f>
        <v>41.715972243531198</v>
      </c>
    </row>
    <row r="176" spans="1:10" x14ac:dyDescent="0.25">
      <c r="A176" s="5" t="s">
        <v>666</v>
      </c>
      <c r="B176" s="6" t="s">
        <v>12182</v>
      </c>
      <c r="C176" s="6" t="s">
        <v>12429</v>
      </c>
      <c r="D176" s="6" t="s">
        <v>12643</v>
      </c>
      <c r="E176" s="6" t="s">
        <v>12649</v>
      </c>
      <c r="F176" s="6" t="s">
        <v>12650</v>
      </c>
      <c r="G176" s="9" t="s">
        <v>12651</v>
      </c>
      <c r="H176" s="9" t="s">
        <v>18</v>
      </c>
      <c r="I176" s="10" t="str">
        <f>VLOOKUP(F176,[3]分类结果!$F:$G,2,0)</f>
        <v>其他制造业</v>
      </c>
      <c r="J176" s="11">
        <f>VLOOKUP(I176,[2]行业排放因子!$A:$B,2,0)</f>
        <v>0.245415556625804</v>
      </c>
    </row>
    <row r="177" spans="1:10" x14ac:dyDescent="0.25">
      <c r="A177" s="5" t="s">
        <v>670</v>
      </c>
      <c r="B177" s="6" t="s">
        <v>12182</v>
      </c>
      <c r="C177" s="6" t="s">
        <v>12429</v>
      </c>
      <c r="D177" s="6" t="s">
        <v>12643</v>
      </c>
      <c r="E177" s="6" t="s">
        <v>12652</v>
      </c>
      <c r="F177" s="6" t="s">
        <v>12653</v>
      </c>
      <c r="G177" s="9"/>
      <c r="H177" s="9" t="s">
        <v>18</v>
      </c>
      <c r="I177" s="10" t="str">
        <f>VLOOKUP(F177,[3]分类结果!$F:$G,2,0)</f>
        <v>其他制造业</v>
      </c>
      <c r="J177" s="11">
        <f>VLOOKUP(I177,[2]行业排放因子!$A:$B,2,0)</f>
        <v>0.245415556625804</v>
      </c>
    </row>
    <row r="178" spans="1:10" x14ac:dyDescent="0.25">
      <c r="A178" s="5" t="s">
        <v>674</v>
      </c>
      <c r="B178" s="6" t="s">
        <v>12182</v>
      </c>
      <c r="C178" s="6" t="s">
        <v>12429</v>
      </c>
      <c r="D178" s="6" t="s">
        <v>12643</v>
      </c>
      <c r="E178" s="6" t="s">
        <v>12654</v>
      </c>
      <c r="F178" s="6" t="s">
        <v>12655</v>
      </c>
      <c r="G178" s="9"/>
      <c r="H178" s="9" t="s">
        <v>18</v>
      </c>
      <c r="I178" s="10" t="str">
        <f>VLOOKUP(F178,[3]分类结果!$F:$G,2,0)</f>
        <v>其他制造业</v>
      </c>
      <c r="J178" s="11">
        <f>VLOOKUP(I178,[2]行业排放因子!$A:$B,2,0)</f>
        <v>0.245415556625804</v>
      </c>
    </row>
    <row r="179" spans="1:10" x14ac:dyDescent="0.25">
      <c r="A179" s="5" t="s">
        <v>677</v>
      </c>
      <c r="B179" s="6" t="s">
        <v>12182</v>
      </c>
      <c r="C179" s="6" t="s">
        <v>12429</v>
      </c>
      <c r="D179" s="6" t="s">
        <v>12643</v>
      </c>
      <c r="E179" s="6" t="s">
        <v>12656</v>
      </c>
      <c r="F179" s="6" t="s">
        <v>12657</v>
      </c>
      <c r="G179" s="9"/>
      <c r="H179" s="9" t="s">
        <v>18</v>
      </c>
      <c r="I179" s="10" t="str">
        <f>VLOOKUP(F179,[3]分类结果!$F:$G,2,0)</f>
        <v>其他制造业</v>
      </c>
      <c r="J179" s="11">
        <f>VLOOKUP(I179,[2]行业排放因子!$A:$B,2,0)</f>
        <v>0.245415556625804</v>
      </c>
    </row>
    <row r="180" spans="1:10" x14ac:dyDescent="0.25">
      <c r="A180" s="5" t="s">
        <v>681</v>
      </c>
      <c r="B180" s="6" t="s">
        <v>12182</v>
      </c>
      <c r="C180" s="6" t="s">
        <v>12429</v>
      </c>
      <c r="D180" s="6" t="s">
        <v>12643</v>
      </c>
      <c r="E180" s="6" t="s">
        <v>12658</v>
      </c>
      <c r="F180" s="6" t="s">
        <v>12659</v>
      </c>
      <c r="G180" s="9"/>
      <c r="H180" s="9" t="s">
        <v>18</v>
      </c>
      <c r="I180" s="10" t="str">
        <f>VLOOKUP(F180,[3]分类结果!$F:$G,2,0)</f>
        <v>其他制造业</v>
      </c>
      <c r="J180" s="11">
        <f>VLOOKUP(I180,[2]行业排放因子!$A:$B,2,0)</f>
        <v>0.245415556625804</v>
      </c>
    </row>
    <row r="181" spans="1:10" x14ac:dyDescent="0.25">
      <c r="A181" s="5" t="s">
        <v>687</v>
      </c>
      <c r="B181" s="6" t="s">
        <v>12182</v>
      </c>
      <c r="C181" s="6" t="s">
        <v>12429</v>
      </c>
      <c r="D181" s="6" t="s">
        <v>12643</v>
      </c>
      <c r="E181" s="6" t="s">
        <v>12660</v>
      </c>
      <c r="F181" s="6" t="s">
        <v>12661</v>
      </c>
      <c r="G181" s="9"/>
      <c r="H181" s="9" t="s">
        <v>18</v>
      </c>
      <c r="I181" s="10" t="str">
        <f>VLOOKUP(F181,[3]分类结果!$F:$G,2,0)</f>
        <v>其他制造业</v>
      </c>
      <c r="J181" s="11">
        <f>VLOOKUP(I181,[2]行业排放因子!$A:$B,2,0)</f>
        <v>0.245415556625804</v>
      </c>
    </row>
    <row r="182" spans="1:10" x14ac:dyDescent="0.25">
      <c r="A182" s="5" t="s">
        <v>691</v>
      </c>
      <c r="B182" s="6" t="s">
        <v>12182</v>
      </c>
      <c r="C182" s="6" t="s">
        <v>12429</v>
      </c>
      <c r="D182" s="6" t="s">
        <v>12643</v>
      </c>
      <c r="E182" s="6" t="s">
        <v>12662</v>
      </c>
      <c r="F182" s="6" t="s">
        <v>12663</v>
      </c>
      <c r="G182" s="9"/>
      <c r="H182" s="9" t="s">
        <v>18</v>
      </c>
      <c r="I182" s="10" t="str">
        <f>VLOOKUP(F182,[3]分类结果!$F:$G,2,0)</f>
        <v>其他制造业</v>
      </c>
      <c r="J182" s="11">
        <f>VLOOKUP(I182,[2]行业排放因子!$A:$B,2,0)</f>
        <v>0.245415556625804</v>
      </c>
    </row>
    <row r="183" spans="1:10" x14ac:dyDescent="0.25">
      <c r="A183" s="5" t="s">
        <v>695</v>
      </c>
      <c r="B183" s="6" t="s">
        <v>12182</v>
      </c>
      <c r="C183" s="6" t="s">
        <v>12429</v>
      </c>
      <c r="D183" s="6" t="s">
        <v>12643</v>
      </c>
      <c r="E183" s="6" t="s">
        <v>12664</v>
      </c>
      <c r="F183" s="6" t="s">
        <v>12665</v>
      </c>
      <c r="G183" s="9"/>
      <c r="H183" s="9" t="s">
        <v>18</v>
      </c>
      <c r="I183" s="10" t="str">
        <f>VLOOKUP(F183,[3]分类结果!$F:$G,2,0)</f>
        <v>其他制造业</v>
      </c>
      <c r="J183" s="11">
        <f>VLOOKUP(I183,[2]行业排放因子!$A:$B,2,0)</f>
        <v>0.245415556625804</v>
      </c>
    </row>
    <row r="184" spans="1:10" x14ac:dyDescent="0.25">
      <c r="A184" s="5" t="s">
        <v>699</v>
      </c>
      <c r="B184" s="6" t="s">
        <v>12182</v>
      </c>
      <c r="C184" s="6" t="s">
        <v>12429</v>
      </c>
      <c r="D184" s="6" t="s">
        <v>12643</v>
      </c>
      <c r="E184" s="6" t="s">
        <v>12666</v>
      </c>
      <c r="F184" s="6" t="s">
        <v>12667</v>
      </c>
      <c r="G184" s="9"/>
      <c r="H184" s="9" t="s">
        <v>18</v>
      </c>
      <c r="I184" s="10" t="str">
        <f>VLOOKUP(F184,[3]分类结果!$F:$G,2,0)</f>
        <v>其他制造业</v>
      </c>
      <c r="J184" s="11">
        <f>VLOOKUP(I184,[2]行业排放因子!$A:$B,2,0)</f>
        <v>0.245415556625804</v>
      </c>
    </row>
    <row r="185" spans="1:10" x14ac:dyDescent="0.25">
      <c r="A185" s="5" t="s">
        <v>703</v>
      </c>
      <c r="B185" s="6" t="s">
        <v>12182</v>
      </c>
      <c r="C185" s="6" t="s">
        <v>12429</v>
      </c>
      <c r="D185" s="6" t="s">
        <v>12643</v>
      </c>
      <c r="E185" s="6" t="s">
        <v>12668</v>
      </c>
      <c r="F185" s="6" t="s">
        <v>12669</v>
      </c>
      <c r="G185" s="9"/>
      <c r="H185" s="9" t="s">
        <v>18</v>
      </c>
      <c r="I185" s="10" t="str">
        <f>VLOOKUP(F185,[3]分类结果!$F:$G,2,0)</f>
        <v>其他制造业</v>
      </c>
      <c r="J185" s="11">
        <f>VLOOKUP(I185,[2]行业排放因子!$A:$B,2,0)</f>
        <v>0.245415556625804</v>
      </c>
    </row>
    <row r="186" spans="1:10" x14ac:dyDescent="0.25">
      <c r="A186" s="5" t="s">
        <v>707</v>
      </c>
      <c r="B186" s="6" t="s">
        <v>12182</v>
      </c>
      <c r="C186" s="6" t="s">
        <v>12429</v>
      </c>
      <c r="D186" s="6" t="s">
        <v>12643</v>
      </c>
      <c r="E186" s="6" t="s">
        <v>12670</v>
      </c>
      <c r="F186" s="6" t="s">
        <v>12671</v>
      </c>
      <c r="G186" s="9"/>
      <c r="H186" s="9" t="s">
        <v>18</v>
      </c>
      <c r="I186" s="10" t="str">
        <f>VLOOKUP(F186,[3]分类结果!$F:$G,2,0)</f>
        <v>其他制造业</v>
      </c>
      <c r="J186" s="11">
        <f>VLOOKUP(I186,[2]行业排放因子!$A:$B,2,0)</f>
        <v>0.245415556625804</v>
      </c>
    </row>
    <row r="187" spans="1:10" x14ac:dyDescent="0.25">
      <c r="A187" s="5" t="s">
        <v>711</v>
      </c>
      <c r="B187" s="6" t="s">
        <v>12182</v>
      </c>
      <c r="C187" s="6" t="s">
        <v>12429</v>
      </c>
      <c r="D187" s="6" t="s">
        <v>12643</v>
      </c>
      <c r="E187" s="6" t="s">
        <v>12672</v>
      </c>
      <c r="F187" s="6" t="s">
        <v>12673</v>
      </c>
      <c r="G187" s="9"/>
      <c r="H187" s="9" t="s">
        <v>18</v>
      </c>
      <c r="I187" s="10" t="str">
        <f>VLOOKUP(F187,[3]分类结果!$F:$G,2,0)</f>
        <v>其他制造业</v>
      </c>
      <c r="J187" s="11">
        <f>VLOOKUP(I187,[2]行业排放因子!$A:$B,2,0)</f>
        <v>0.245415556625804</v>
      </c>
    </row>
    <row r="188" spans="1:10" x14ac:dyDescent="0.25">
      <c r="A188" s="5" t="s">
        <v>715</v>
      </c>
      <c r="B188" s="6" t="s">
        <v>12182</v>
      </c>
      <c r="C188" s="6" t="s">
        <v>12429</v>
      </c>
      <c r="D188" s="6" t="s">
        <v>12674</v>
      </c>
      <c r="E188" s="6" t="s">
        <v>12675</v>
      </c>
      <c r="F188" s="6" t="s">
        <v>12676</v>
      </c>
      <c r="G188" s="9" t="s">
        <v>12677</v>
      </c>
      <c r="H188" s="9" t="s">
        <v>18</v>
      </c>
      <c r="I188" s="10" t="str">
        <f>VLOOKUP(F188,[3]分类结果!$F:$G,2,0)</f>
        <v>其他制造业</v>
      </c>
      <c r="J188" s="11">
        <f>VLOOKUP(I188,[2]行业排放因子!$A:$B,2,0)</f>
        <v>0.245415556625804</v>
      </c>
    </row>
    <row r="189" spans="1:10" x14ac:dyDescent="0.25">
      <c r="A189" s="5" t="s">
        <v>721</v>
      </c>
      <c r="B189" s="6" t="s">
        <v>12182</v>
      </c>
      <c r="C189" s="6" t="s">
        <v>12429</v>
      </c>
      <c r="D189" s="6" t="s">
        <v>12674</v>
      </c>
      <c r="E189" s="6" t="s">
        <v>12678</v>
      </c>
      <c r="F189" s="6" t="s">
        <v>12679</v>
      </c>
      <c r="G189" s="9" t="s">
        <v>12680</v>
      </c>
      <c r="H189" s="9" t="s">
        <v>18</v>
      </c>
      <c r="I189" s="10" t="str">
        <f>VLOOKUP(F189,[3]分类结果!$F:$G,2,0)</f>
        <v>其他制造业</v>
      </c>
      <c r="J189" s="11">
        <f>VLOOKUP(I189,[2]行业排放因子!$A:$B,2,0)</f>
        <v>0.245415556625804</v>
      </c>
    </row>
    <row r="190" spans="1:10" x14ac:dyDescent="0.25">
      <c r="A190" s="5" t="s">
        <v>725</v>
      </c>
      <c r="B190" s="6" t="s">
        <v>12182</v>
      </c>
      <c r="C190" s="6" t="s">
        <v>12429</v>
      </c>
      <c r="D190" s="6" t="s">
        <v>12674</v>
      </c>
      <c r="E190" s="6" t="s">
        <v>12681</v>
      </c>
      <c r="F190" s="6" t="s">
        <v>12682</v>
      </c>
      <c r="G190" s="9" t="s">
        <v>12683</v>
      </c>
      <c r="H190" s="9" t="s">
        <v>18</v>
      </c>
      <c r="I190" s="10" t="str">
        <f>VLOOKUP(F190,[3]分类结果!$F:$G,2,0)</f>
        <v>其他制造业</v>
      </c>
      <c r="J190" s="11">
        <f>VLOOKUP(I190,[2]行业排放因子!$A:$B,2,0)</f>
        <v>0.245415556625804</v>
      </c>
    </row>
    <row r="191" spans="1:10" x14ac:dyDescent="0.25">
      <c r="A191" s="5" t="s">
        <v>729</v>
      </c>
      <c r="B191" s="6" t="s">
        <v>12182</v>
      </c>
      <c r="C191" s="6" t="s">
        <v>12429</v>
      </c>
      <c r="D191" s="6" t="s">
        <v>12674</v>
      </c>
      <c r="E191" s="6" t="s">
        <v>12684</v>
      </c>
      <c r="F191" s="6" t="s">
        <v>12685</v>
      </c>
      <c r="G191" s="9" t="s">
        <v>12686</v>
      </c>
      <c r="H191" s="9" t="s">
        <v>18</v>
      </c>
      <c r="I191" s="10" t="str">
        <f>VLOOKUP(F191,[3]分类结果!$F:$G,2,0)</f>
        <v>其他制造业</v>
      </c>
      <c r="J191" s="11">
        <f>VLOOKUP(I191,[2]行业排放因子!$A:$B,2,0)</f>
        <v>0.245415556625804</v>
      </c>
    </row>
    <row r="192" spans="1:10" x14ac:dyDescent="0.25">
      <c r="A192" s="5" t="s">
        <v>733</v>
      </c>
      <c r="B192" s="6" t="s">
        <v>12182</v>
      </c>
      <c r="C192" s="6" t="s">
        <v>12429</v>
      </c>
      <c r="D192" s="6" t="s">
        <v>12674</v>
      </c>
      <c r="E192" s="6" t="s">
        <v>12687</v>
      </c>
      <c r="F192" s="6" t="s">
        <v>12688</v>
      </c>
      <c r="G192" s="9" t="s">
        <v>12689</v>
      </c>
      <c r="H192" s="9" t="s">
        <v>18</v>
      </c>
      <c r="I192" s="10" t="str">
        <f>VLOOKUP(F192,[3]分类结果!$F:$G,2,0)</f>
        <v>其他制造业</v>
      </c>
      <c r="J192" s="11">
        <f>VLOOKUP(I192,[2]行业排放因子!$A:$B,2,0)</f>
        <v>0.245415556625804</v>
      </c>
    </row>
    <row r="193" spans="1:10" x14ac:dyDescent="0.25">
      <c r="A193" s="5" t="s">
        <v>736</v>
      </c>
      <c r="B193" s="6" t="s">
        <v>12182</v>
      </c>
      <c r="C193" s="6" t="s">
        <v>12429</v>
      </c>
      <c r="D193" s="6" t="s">
        <v>12674</v>
      </c>
      <c r="E193" s="6" t="s">
        <v>12690</v>
      </c>
      <c r="F193" s="6" t="s">
        <v>12691</v>
      </c>
      <c r="G193" s="9" t="s">
        <v>12692</v>
      </c>
      <c r="H193" s="9" t="s">
        <v>18</v>
      </c>
      <c r="I193" s="10" t="str">
        <f>VLOOKUP(F193,[3]分类结果!$F:$G,2,0)</f>
        <v>其他制造业</v>
      </c>
      <c r="J193" s="11">
        <f>VLOOKUP(I193,[2]行业排放因子!$A:$B,2,0)</f>
        <v>0.245415556625804</v>
      </c>
    </row>
    <row r="194" spans="1:10" x14ac:dyDescent="0.25">
      <c r="A194" s="5" t="s">
        <v>740</v>
      </c>
      <c r="B194" s="6" t="s">
        <v>12182</v>
      </c>
      <c r="C194" s="6" t="s">
        <v>12429</v>
      </c>
      <c r="D194" s="6" t="s">
        <v>12674</v>
      </c>
      <c r="E194" s="6" t="s">
        <v>12693</v>
      </c>
      <c r="F194" s="6" t="s">
        <v>12694</v>
      </c>
      <c r="G194" s="9" t="s">
        <v>12695</v>
      </c>
      <c r="H194" s="9" t="s">
        <v>18</v>
      </c>
      <c r="I194" s="10" t="str">
        <f>VLOOKUP(F194,[3]分类结果!$F:$G,2,0)</f>
        <v>其他制造业</v>
      </c>
      <c r="J194" s="11">
        <f>VLOOKUP(I194,[2]行业排放因子!$A:$B,2,0)</f>
        <v>0.245415556625804</v>
      </c>
    </row>
    <row r="195" spans="1:10" x14ac:dyDescent="0.25">
      <c r="A195" s="5" t="s">
        <v>744</v>
      </c>
      <c r="B195" s="6" t="s">
        <v>12182</v>
      </c>
      <c r="C195" s="6" t="s">
        <v>12429</v>
      </c>
      <c r="D195" s="6" t="s">
        <v>12674</v>
      </c>
      <c r="E195" s="6" t="s">
        <v>12696</v>
      </c>
      <c r="F195" s="6" t="s">
        <v>12697</v>
      </c>
      <c r="G195" s="9" t="s">
        <v>12698</v>
      </c>
      <c r="H195" s="9" t="s">
        <v>18</v>
      </c>
      <c r="I195" s="10" t="str">
        <f>VLOOKUP(F195,[3]分类结果!$F:$G,2,0)</f>
        <v>其他制造业</v>
      </c>
      <c r="J195" s="11">
        <f>VLOOKUP(I195,[2]行业排放因子!$A:$B,2,0)</f>
        <v>0.245415556625804</v>
      </c>
    </row>
    <row r="196" spans="1:10" x14ac:dyDescent="0.25">
      <c r="A196" s="5" t="s">
        <v>748</v>
      </c>
      <c r="B196" s="6" t="s">
        <v>12182</v>
      </c>
      <c r="C196" s="6" t="s">
        <v>12429</v>
      </c>
      <c r="D196" s="6" t="s">
        <v>12674</v>
      </c>
      <c r="E196" s="6" t="s">
        <v>12699</v>
      </c>
      <c r="F196" s="6" t="s">
        <v>12700</v>
      </c>
      <c r="G196" s="9" t="s">
        <v>12701</v>
      </c>
      <c r="H196" s="9" t="s">
        <v>18</v>
      </c>
      <c r="I196" s="10" t="str">
        <f>VLOOKUP(F196,[3]分类结果!$F:$G,2,0)</f>
        <v>其他制造业</v>
      </c>
      <c r="J196" s="11">
        <f>VLOOKUP(I196,[2]行业排放因子!$A:$B,2,0)</f>
        <v>0.245415556625804</v>
      </c>
    </row>
    <row r="197" spans="1:10" x14ac:dyDescent="0.25">
      <c r="A197" s="5" t="s">
        <v>757</v>
      </c>
      <c r="B197" s="6" t="s">
        <v>12182</v>
      </c>
      <c r="C197" s="6" t="s">
        <v>12429</v>
      </c>
      <c r="D197" s="6" t="s">
        <v>12674</v>
      </c>
      <c r="E197" s="6" t="s">
        <v>12702</v>
      </c>
      <c r="F197" s="6" t="s">
        <v>12703</v>
      </c>
      <c r="G197" s="9" t="s">
        <v>12704</v>
      </c>
      <c r="H197" s="9" t="s">
        <v>18</v>
      </c>
      <c r="I197" s="10" t="str">
        <f>VLOOKUP(F197,[3]分类结果!$F:$G,2,0)</f>
        <v>其他制造业</v>
      </c>
      <c r="J197" s="11">
        <f>VLOOKUP(I197,[2]行业排放因子!$A:$B,2,0)</f>
        <v>0.245415556625804</v>
      </c>
    </row>
    <row r="198" spans="1:10" x14ac:dyDescent="0.25">
      <c r="A198" s="5" t="s">
        <v>761</v>
      </c>
      <c r="B198" s="6" t="s">
        <v>12182</v>
      </c>
      <c r="C198" s="6" t="s">
        <v>12429</v>
      </c>
      <c r="D198" s="6" t="s">
        <v>12674</v>
      </c>
      <c r="E198" s="6" t="s">
        <v>12705</v>
      </c>
      <c r="F198" s="6" t="s">
        <v>12706</v>
      </c>
      <c r="G198" s="9" t="s">
        <v>12707</v>
      </c>
      <c r="H198" s="9" t="s">
        <v>18</v>
      </c>
      <c r="I198" s="10" t="str">
        <f>VLOOKUP(F198,[3]分类结果!$F:$G,2,0)</f>
        <v>其他制造业</v>
      </c>
      <c r="J198" s="11">
        <f>VLOOKUP(I198,[2]行业排放因子!$A:$B,2,0)</f>
        <v>0.245415556625804</v>
      </c>
    </row>
    <row r="199" spans="1:10" x14ac:dyDescent="0.25">
      <c r="A199" s="5" t="s">
        <v>765</v>
      </c>
      <c r="B199" s="6" t="s">
        <v>12182</v>
      </c>
      <c r="C199" s="6" t="s">
        <v>12429</v>
      </c>
      <c r="D199" s="6" t="s">
        <v>12708</v>
      </c>
      <c r="E199" s="6" t="s">
        <v>12709</v>
      </c>
      <c r="F199" s="6" t="s">
        <v>12710</v>
      </c>
      <c r="G199" s="9"/>
      <c r="H199" s="9" t="s">
        <v>18</v>
      </c>
      <c r="I199" s="10" t="str">
        <f>VLOOKUP(F199,[3]分类结果!$F:$G,2,0)</f>
        <v>其他制造业</v>
      </c>
      <c r="J199" s="11">
        <f>VLOOKUP(I199,[2]行业排放因子!$A:$B,2,0)</f>
        <v>0.245415556625804</v>
      </c>
    </row>
    <row r="200" spans="1:10" x14ac:dyDescent="0.25">
      <c r="A200" s="5" t="s">
        <v>769</v>
      </c>
      <c r="B200" s="6" t="s">
        <v>12182</v>
      </c>
      <c r="C200" s="6" t="s">
        <v>12429</v>
      </c>
      <c r="D200" s="6" t="s">
        <v>12708</v>
      </c>
      <c r="E200" s="6" t="s">
        <v>12711</v>
      </c>
      <c r="F200" s="6" t="s">
        <v>12712</v>
      </c>
      <c r="G200" s="9"/>
      <c r="H200" s="9" t="s">
        <v>18</v>
      </c>
      <c r="I200" s="10" t="str">
        <f>VLOOKUP(F200,[3]分类结果!$F:$G,2,0)</f>
        <v>其他制造业</v>
      </c>
      <c r="J200" s="11">
        <f>VLOOKUP(I200,[2]行业排放因子!$A:$B,2,0)</f>
        <v>0.245415556625804</v>
      </c>
    </row>
    <row r="201" spans="1:10" x14ac:dyDescent="0.25">
      <c r="A201" s="5" t="s">
        <v>775</v>
      </c>
      <c r="B201" s="6" t="s">
        <v>12182</v>
      </c>
      <c r="C201" s="6" t="s">
        <v>12429</v>
      </c>
      <c r="D201" s="6" t="s">
        <v>12713</v>
      </c>
      <c r="E201" s="6" t="s">
        <v>12714</v>
      </c>
      <c r="F201" s="6" t="s">
        <v>12715</v>
      </c>
      <c r="G201" s="9" t="s">
        <v>12716</v>
      </c>
      <c r="H201" s="9" t="s">
        <v>18</v>
      </c>
      <c r="I201" s="10" t="str">
        <f>VLOOKUP(F201,[3]分类结果!$F:$G,2,0)</f>
        <v>交通运输、仓储、邮电通信业</v>
      </c>
      <c r="J201" s="11">
        <f>VLOOKUP(I201,[2]行业排放因子!$A:$B,2,0)</f>
        <v>667.48066458135202</v>
      </c>
    </row>
    <row r="202" spans="1:10" x14ac:dyDescent="0.25">
      <c r="A202" s="5" t="s">
        <v>780</v>
      </c>
      <c r="B202" s="6" t="s">
        <v>12182</v>
      </c>
      <c r="C202" s="6" t="s">
        <v>12429</v>
      </c>
      <c r="D202" s="6" t="s">
        <v>12713</v>
      </c>
      <c r="E202" s="6" t="s">
        <v>12717</v>
      </c>
      <c r="F202" s="6" t="s">
        <v>12718</v>
      </c>
      <c r="G202" s="9" t="s">
        <v>12719</v>
      </c>
      <c r="H202" s="9" t="s">
        <v>18</v>
      </c>
      <c r="I202" s="10" t="str">
        <f>VLOOKUP(F202,[3]分类结果!$F:$G,2,0)</f>
        <v>交通运输、仓储、邮电通信业</v>
      </c>
      <c r="J202" s="11">
        <f>VLOOKUP(I202,[2]行业排放因子!$A:$B,2,0)</f>
        <v>667.48066458135202</v>
      </c>
    </row>
    <row r="203" spans="1:10" x14ac:dyDescent="0.25">
      <c r="A203" s="5" t="s">
        <v>783</v>
      </c>
      <c r="B203" s="6" t="s">
        <v>12182</v>
      </c>
      <c r="C203" s="6" t="s">
        <v>12429</v>
      </c>
      <c r="D203" s="6" t="s">
        <v>12713</v>
      </c>
      <c r="E203" s="6" t="s">
        <v>12720</v>
      </c>
      <c r="F203" s="6" t="s">
        <v>12721</v>
      </c>
      <c r="G203" s="9" t="s">
        <v>12722</v>
      </c>
      <c r="H203" s="9" t="s">
        <v>18</v>
      </c>
      <c r="I203" s="10" t="str">
        <f>VLOOKUP(F203,[3]分类结果!$F:$G,2,0)</f>
        <v>交通运输、仓储、邮电通信业</v>
      </c>
      <c r="J203" s="11">
        <f>VLOOKUP(I203,[2]行业排放因子!$A:$B,2,0)</f>
        <v>667.48066458135202</v>
      </c>
    </row>
    <row r="204" spans="1:10" x14ac:dyDescent="0.25">
      <c r="A204" s="5" t="s">
        <v>787</v>
      </c>
      <c r="B204" s="6" t="s">
        <v>12182</v>
      </c>
      <c r="C204" s="6" t="s">
        <v>12429</v>
      </c>
      <c r="D204" s="6" t="s">
        <v>12713</v>
      </c>
      <c r="E204" s="6" t="s">
        <v>12723</v>
      </c>
      <c r="F204" s="6" t="s">
        <v>12724</v>
      </c>
      <c r="G204" s="9" t="s">
        <v>12725</v>
      </c>
      <c r="H204" s="9" t="s">
        <v>18</v>
      </c>
      <c r="I204" s="10" t="str">
        <f>VLOOKUP(F204,[3]分类结果!$F:$G,2,0)</f>
        <v>交通运输、仓储、邮电通信业</v>
      </c>
      <c r="J204" s="11">
        <f>VLOOKUP(I204,[2]行业排放因子!$A:$B,2,0)</f>
        <v>667.48066458135202</v>
      </c>
    </row>
    <row r="205" spans="1:10" x14ac:dyDescent="0.25">
      <c r="A205" s="5" t="s">
        <v>791</v>
      </c>
      <c r="B205" s="6" t="s">
        <v>12182</v>
      </c>
      <c r="C205" s="6" t="s">
        <v>12429</v>
      </c>
      <c r="D205" s="6" t="s">
        <v>12713</v>
      </c>
      <c r="E205" s="6" t="s">
        <v>12726</v>
      </c>
      <c r="F205" s="6" t="s">
        <v>12727</v>
      </c>
      <c r="G205" s="9" t="s">
        <v>12728</v>
      </c>
      <c r="H205" s="9" t="s">
        <v>18</v>
      </c>
      <c r="I205" s="10" t="str">
        <f>VLOOKUP(F205,[3]分类结果!$F:$G,2,0)</f>
        <v>其他制造业</v>
      </c>
      <c r="J205" s="11">
        <f>VLOOKUP(I205,[2]行业排放因子!$A:$B,2,0)</f>
        <v>0.245415556625804</v>
      </c>
    </row>
    <row r="206" spans="1:10" x14ac:dyDescent="0.25">
      <c r="A206" s="5" t="s">
        <v>795</v>
      </c>
      <c r="B206" s="6" t="s">
        <v>12182</v>
      </c>
      <c r="C206" s="6" t="s">
        <v>12429</v>
      </c>
      <c r="D206" s="6" t="s">
        <v>12713</v>
      </c>
      <c r="E206" s="6" t="s">
        <v>12729</v>
      </c>
      <c r="F206" s="6" t="s">
        <v>12730</v>
      </c>
      <c r="G206" s="9"/>
      <c r="H206" s="9" t="s">
        <v>18</v>
      </c>
      <c r="I206" s="10" t="str">
        <f>VLOOKUP(F206,[3]分类结果!$F:$G,2,0)</f>
        <v>其他制造业</v>
      </c>
      <c r="J206" s="11">
        <f>VLOOKUP(I206,[2]行业排放因子!$A:$B,2,0)</f>
        <v>0.245415556625804</v>
      </c>
    </row>
    <row r="207" spans="1:10" x14ac:dyDescent="0.25">
      <c r="A207" s="5" t="s">
        <v>799</v>
      </c>
      <c r="B207" s="6" t="s">
        <v>12182</v>
      </c>
      <c r="C207" s="6" t="s">
        <v>12429</v>
      </c>
      <c r="D207" s="6" t="s">
        <v>12713</v>
      </c>
      <c r="E207" s="6" t="s">
        <v>12731</v>
      </c>
      <c r="F207" s="6" t="s">
        <v>12732</v>
      </c>
      <c r="G207" s="9"/>
      <c r="H207" s="9" t="s">
        <v>18</v>
      </c>
      <c r="I207" s="10" t="str">
        <f>VLOOKUP(F207,[3]分类结果!$F:$G,2,0)</f>
        <v>其他制造业</v>
      </c>
      <c r="J207" s="11">
        <f>VLOOKUP(I207,[2]行业排放因子!$A:$B,2,0)</f>
        <v>0.245415556625804</v>
      </c>
    </row>
    <row r="208" spans="1:10" x14ac:dyDescent="0.25">
      <c r="A208" s="5" t="s">
        <v>804</v>
      </c>
      <c r="B208" s="6" t="s">
        <v>12182</v>
      </c>
      <c r="C208" s="6" t="s">
        <v>12429</v>
      </c>
      <c r="D208" s="6" t="s">
        <v>12713</v>
      </c>
      <c r="E208" s="6" t="s">
        <v>12733</v>
      </c>
      <c r="F208" s="6" t="s">
        <v>12734</v>
      </c>
      <c r="G208" s="9"/>
      <c r="H208" s="9" t="s">
        <v>18</v>
      </c>
      <c r="I208" s="10" t="str">
        <f>VLOOKUP(F208,[3]分类结果!$F:$G,2,0)</f>
        <v>其他制造业</v>
      </c>
      <c r="J208" s="11">
        <f>VLOOKUP(I208,[2]行业排放因子!$A:$B,2,0)</f>
        <v>0.245415556625804</v>
      </c>
    </row>
    <row r="209" spans="1:10" x14ac:dyDescent="0.25">
      <c r="A209" s="5" t="s">
        <v>807</v>
      </c>
      <c r="B209" s="6" t="s">
        <v>12182</v>
      </c>
      <c r="C209" s="6" t="s">
        <v>12429</v>
      </c>
      <c r="D209" s="6" t="s">
        <v>12713</v>
      </c>
      <c r="E209" s="6" t="s">
        <v>12735</v>
      </c>
      <c r="F209" s="6" t="s">
        <v>12736</v>
      </c>
      <c r="G209" s="9" t="s">
        <v>12737</v>
      </c>
      <c r="H209" s="9" t="s">
        <v>18</v>
      </c>
      <c r="I209" s="10" t="str">
        <f>VLOOKUP(F209,[3]分类结果!$F:$G,2,0)</f>
        <v>其他制造业</v>
      </c>
      <c r="J209" s="11">
        <f>VLOOKUP(I209,[2]行业排放因子!$A:$B,2,0)</f>
        <v>0.245415556625804</v>
      </c>
    </row>
    <row r="210" spans="1:10" x14ac:dyDescent="0.25">
      <c r="A210" s="5" t="s">
        <v>811</v>
      </c>
      <c r="B210" s="6" t="s">
        <v>12182</v>
      </c>
      <c r="C210" s="6" t="s">
        <v>12429</v>
      </c>
      <c r="D210" s="6" t="s">
        <v>12713</v>
      </c>
      <c r="E210" s="6" t="s">
        <v>12738</v>
      </c>
      <c r="F210" s="6" t="s">
        <v>12739</v>
      </c>
      <c r="G210" s="9" t="s">
        <v>12740</v>
      </c>
      <c r="H210" s="9" t="s">
        <v>18</v>
      </c>
      <c r="I210" s="10" t="str">
        <f>VLOOKUP(F210,[3]分类结果!$F:$G,2,0)</f>
        <v>其他制造业</v>
      </c>
      <c r="J210" s="11">
        <f>VLOOKUP(I210,[2]行业排放因子!$A:$B,2,0)</f>
        <v>0.245415556625804</v>
      </c>
    </row>
    <row r="211" spans="1:10" x14ac:dyDescent="0.25">
      <c r="A211" s="5" t="s">
        <v>815</v>
      </c>
      <c r="B211" s="6" t="s">
        <v>12182</v>
      </c>
      <c r="C211" s="6" t="s">
        <v>12429</v>
      </c>
      <c r="D211" s="6" t="s">
        <v>12713</v>
      </c>
      <c r="E211" s="6" t="s">
        <v>12741</v>
      </c>
      <c r="F211" s="6" t="s">
        <v>12742</v>
      </c>
      <c r="G211" s="9" t="s">
        <v>12743</v>
      </c>
      <c r="H211" s="9" t="s">
        <v>18</v>
      </c>
      <c r="I211" s="10" t="str">
        <f>VLOOKUP(F211,[3]分类结果!$F:$G,2,0)</f>
        <v>其他制造业</v>
      </c>
      <c r="J211" s="11">
        <f>VLOOKUP(I211,[2]行业排放因子!$A:$B,2,0)</f>
        <v>0.245415556625804</v>
      </c>
    </row>
    <row r="212" spans="1:10" x14ac:dyDescent="0.25">
      <c r="A212" s="5" t="s">
        <v>818</v>
      </c>
      <c r="B212" s="6" t="s">
        <v>12182</v>
      </c>
      <c r="C212" s="6" t="s">
        <v>12429</v>
      </c>
      <c r="D212" s="6" t="s">
        <v>12713</v>
      </c>
      <c r="E212" s="6" t="s">
        <v>12744</v>
      </c>
      <c r="F212" s="6" t="s">
        <v>12745</v>
      </c>
      <c r="G212" s="9"/>
      <c r="H212" s="9" t="s">
        <v>18</v>
      </c>
      <c r="I212" s="10" t="str">
        <f>VLOOKUP(F212,[3]分类结果!$F:$G,2,0)</f>
        <v>其他制造业</v>
      </c>
      <c r="J212" s="11">
        <f>VLOOKUP(I212,[2]行业排放因子!$A:$B,2,0)</f>
        <v>0.245415556625804</v>
      </c>
    </row>
    <row r="213" spans="1:10" x14ac:dyDescent="0.25">
      <c r="A213" s="5" t="s">
        <v>821</v>
      </c>
      <c r="B213" s="6" t="s">
        <v>12182</v>
      </c>
      <c r="C213" s="6" t="s">
        <v>12429</v>
      </c>
      <c r="D213" s="6" t="s">
        <v>12746</v>
      </c>
      <c r="E213" s="6" t="s">
        <v>12747</v>
      </c>
      <c r="F213" s="6" t="s">
        <v>12748</v>
      </c>
      <c r="G213" s="9"/>
      <c r="H213" s="9" t="s">
        <v>18</v>
      </c>
      <c r="I213" s="10" t="str">
        <f>VLOOKUP(F213,[3]分类结果!$F:$G,2,0)</f>
        <v>其他制造业</v>
      </c>
      <c r="J213" s="11">
        <f>VLOOKUP(I213,[2]行业排放因子!$A:$B,2,0)</f>
        <v>0.245415556625804</v>
      </c>
    </row>
    <row r="214" spans="1:10" x14ac:dyDescent="0.25">
      <c r="A214" s="5" t="s">
        <v>826</v>
      </c>
      <c r="B214" s="6" t="s">
        <v>12182</v>
      </c>
      <c r="C214" s="6" t="s">
        <v>12429</v>
      </c>
      <c r="D214" s="6" t="s">
        <v>12746</v>
      </c>
      <c r="E214" s="6" t="s">
        <v>12749</v>
      </c>
      <c r="F214" s="6" t="s">
        <v>12750</v>
      </c>
      <c r="G214" s="9"/>
      <c r="H214" s="9" t="s">
        <v>18</v>
      </c>
      <c r="I214" s="10" t="str">
        <f>VLOOKUP(F214,[3]分类结果!$F:$G,2,0)</f>
        <v>其他制造业</v>
      </c>
      <c r="J214" s="11">
        <f>VLOOKUP(I214,[2]行业排放因子!$A:$B,2,0)</f>
        <v>0.245415556625804</v>
      </c>
    </row>
    <row r="215" spans="1:10" x14ac:dyDescent="0.25">
      <c r="A215" s="5" t="s">
        <v>830</v>
      </c>
      <c r="B215" s="6" t="s">
        <v>12182</v>
      </c>
      <c r="C215" s="6" t="s">
        <v>12429</v>
      </c>
      <c r="D215" s="6" t="s">
        <v>12751</v>
      </c>
      <c r="E215" s="6" t="s">
        <v>12752</v>
      </c>
      <c r="F215" s="6" t="s">
        <v>12751</v>
      </c>
      <c r="G215" s="9" t="s">
        <v>12753</v>
      </c>
      <c r="H215" s="9" t="s">
        <v>18</v>
      </c>
      <c r="I215" s="10" t="str">
        <f>VLOOKUP(F215,[3]分类结果!$F:$G,2,0)</f>
        <v>其他制造业</v>
      </c>
      <c r="J215" s="11">
        <f>VLOOKUP(I215,[2]行业排放因子!$A:$B,2,0)</f>
        <v>0.245415556625804</v>
      </c>
    </row>
    <row r="216" spans="1:10" x14ac:dyDescent="0.25">
      <c r="A216" s="5" t="s">
        <v>834</v>
      </c>
      <c r="B216" s="6" t="s">
        <v>12182</v>
      </c>
      <c r="C216" s="6" t="s">
        <v>12429</v>
      </c>
      <c r="D216" s="6" t="s">
        <v>12429</v>
      </c>
      <c r="E216" s="6" t="s">
        <v>12754</v>
      </c>
      <c r="F216" s="6" t="s">
        <v>12755</v>
      </c>
      <c r="G216" s="9" t="s">
        <v>12756</v>
      </c>
      <c r="H216" s="9" t="s">
        <v>18</v>
      </c>
      <c r="I216" s="10" t="str">
        <f>VLOOKUP(F216,[3]分类结果!$F:$G,2,0)</f>
        <v>交通运输、仓储、邮电通信业</v>
      </c>
      <c r="J216" s="11">
        <f>VLOOKUP(I216,[2]行业排放因子!$A:$B,2,0)</f>
        <v>667.48066458135202</v>
      </c>
    </row>
    <row r="217" spans="1:10" x14ac:dyDescent="0.25">
      <c r="A217" s="5" t="s">
        <v>838</v>
      </c>
      <c r="B217" s="6" t="s">
        <v>12182</v>
      </c>
      <c r="C217" s="6" t="s">
        <v>12757</v>
      </c>
      <c r="D217" s="6" t="s">
        <v>12757</v>
      </c>
      <c r="E217" s="6" t="s">
        <v>12758</v>
      </c>
      <c r="F217" s="6" t="s">
        <v>12759</v>
      </c>
      <c r="G217" s="9" t="s">
        <v>12760</v>
      </c>
      <c r="H217" s="9" t="s">
        <v>18</v>
      </c>
      <c r="I217" s="10" t="str">
        <f>VLOOKUP(F217,[3]分类结果!$F:$G,2,0)</f>
        <v>建筑业</v>
      </c>
      <c r="J217" s="11">
        <f>VLOOKUP(I217,[2]行业排放因子!$A:$B,2,0)</f>
        <v>41.715972243531198</v>
      </c>
    </row>
    <row r="218" spans="1:10" x14ac:dyDescent="0.25">
      <c r="A218" s="5" t="s">
        <v>842</v>
      </c>
      <c r="B218" s="6" t="s">
        <v>12182</v>
      </c>
      <c r="C218" s="6" t="s">
        <v>12757</v>
      </c>
      <c r="D218" s="6" t="s">
        <v>12757</v>
      </c>
      <c r="E218" s="6" t="s">
        <v>12761</v>
      </c>
      <c r="F218" s="6" t="s">
        <v>12762</v>
      </c>
      <c r="G218" s="9" t="s">
        <v>12763</v>
      </c>
      <c r="H218" s="9" t="s">
        <v>18</v>
      </c>
      <c r="I218" s="10" t="str">
        <f>VLOOKUP(F218,[3]分类结果!$F:$G,2,0)</f>
        <v>其他制造业</v>
      </c>
      <c r="J218" s="11">
        <f>VLOOKUP(I218,[2]行业排放因子!$A:$B,2,0)</f>
        <v>0.245415556625804</v>
      </c>
    </row>
    <row r="219" spans="1:10" x14ac:dyDescent="0.25">
      <c r="A219" s="5" t="s">
        <v>846</v>
      </c>
      <c r="B219" s="6" t="s">
        <v>12182</v>
      </c>
      <c r="C219" s="6" t="s">
        <v>12757</v>
      </c>
      <c r="D219" s="6" t="s">
        <v>12757</v>
      </c>
      <c r="E219" s="6" t="s">
        <v>12764</v>
      </c>
      <c r="F219" s="6" t="s">
        <v>12765</v>
      </c>
      <c r="G219" s="9" t="s">
        <v>12766</v>
      </c>
      <c r="H219" s="9" t="s">
        <v>18</v>
      </c>
      <c r="I219" s="10" t="str">
        <f>VLOOKUP(F219,[3]分类结果!$F:$G,2,0)</f>
        <v>建筑业</v>
      </c>
      <c r="J219" s="11">
        <f>VLOOKUP(I219,[2]行业排放因子!$A:$B,2,0)</f>
        <v>41.715972243531198</v>
      </c>
    </row>
    <row r="220" spans="1:10" x14ac:dyDescent="0.25">
      <c r="A220" s="5" t="s">
        <v>850</v>
      </c>
      <c r="B220" s="6" t="s">
        <v>12182</v>
      </c>
      <c r="C220" s="6" t="s">
        <v>12757</v>
      </c>
      <c r="D220" s="6" t="s">
        <v>12757</v>
      </c>
      <c r="E220" s="6" t="s">
        <v>12767</v>
      </c>
      <c r="F220" s="6" t="s">
        <v>12768</v>
      </c>
      <c r="G220" s="9" t="s">
        <v>12769</v>
      </c>
      <c r="H220" s="9" t="s">
        <v>18</v>
      </c>
      <c r="I220" s="10" t="str">
        <f>VLOOKUP(F220,[3]分类结果!$F:$G,2,0)</f>
        <v>建筑业</v>
      </c>
      <c r="J220" s="11">
        <f>VLOOKUP(I220,[2]行业排放因子!$A:$B,2,0)</f>
        <v>41.715972243531198</v>
      </c>
    </row>
    <row r="221" spans="1:10" x14ac:dyDescent="0.25">
      <c r="A221" s="5" t="s">
        <v>854</v>
      </c>
      <c r="B221" s="6" t="s">
        <v>12182</v>
      </c>
      <c r="C221" s="6" t="s">
        <v>12757</v>
      </c>
      <c r="D221" s="6" t="s">
        <v>12757</v>
      </c>
      <c r="E221" s="6" t="s">
        <v>12770</v>
      </c>
      <c r="F221" s="6" t="s">
        <v>12771</v>
      </c>
      <c r="G221" s="9" t="s">
        <v>12772</v>
      </c>
      <c r="H221" s="9" t="s">
        <v>18</v>
      </c>
      <c r="I221" s="10" t="str">
        <f>VLOOKUP(F221,[3]分类结果!$F:$G,2,0)</f>
        <v>其他矿采选业</v>
      </c>
      <c r="J221" s="11">
        <f>VLOOKUP(I221,[2]行业排放因子!$A:$B,2,0)</f>
        <v>6.0323112418060303</v>
      </c>
    </row>
    <row r="222" spans="1:10" x14ac:dyDescent="0.25">
      <c r="A222" s="5" t="s">
        <v>858</v>
      </c>
      <c r="B222" s="6" t="s">
        <v>12182</v>
      </c>
      <c r="C222" s="6" t="s">
        <v>12773</v>
      </c>
      <c r="D222" s="6" t="s">
        <v>12773</v>
      </c>
      <c r="E222" s="6" t="s">
        <v>12774</v>
      </c>
      <c r="F222" s="6" t="s">
        <v>12775</v>
      </c>
      <c r="G222" s="9"/>
      <c r="H222" s="9" t="s">
        <v>18</v>
      </c>
      <c r="I222" s="10" t="str">
        <f>VLOOKUP(F222,[3]分类结果!$F:$G,2,0)</f>
        <v>其他制造业</v>
      </c>
      <c r="J222" s="11">
        <f>VLOOKUP(I222,[2]行业排放因子!$A:$B,2,0)</f>
        <v>0.245415556625804</v>
      </c>
    </row>
    <row r="223" spans="1:10" x14ac:dyDescent="0.25">
      <c r="A223" s="5" t="s">
        <v>862</v>
      </c>
      <c r="B223" s="6" t="s">
        <v>12182</v>
      </c>
      <c r="C223" s="6" t="s">
        <v>12773</v>
      </c>
      <c r="D223" s="6" t="s">
        <v>12773</v>
      </c>
      <c r="E223" s="6" t="s">
        <v>12776</v>
      </c>
      <c r="F223" s="6" t="s">
        <v>12777</v>
      </c>
      <c r="G223" s="9"/>
      <c r="H223" s="9" t="s">
        <v>18</v>
      </c>
      <c r="I223" s="10" t="str">
        <f>VLOOKUP(F223,[3]分类结果!$F:$G,2,0)</f>
        <v>其他制造业</v>
      </c>
      <c r="J223" s="11">
        <f>VLOOKUP(I223,[2]行业排放因子!$A:$B,2,0)</f>
        <v>0.245415556625804</v>
      </c>
    </row>
    <row r="224" spans="1:10" x14ac:dyDescent="0.25">
      <c r="A224" s="5" t="s">
        <v>865</v>
      </c>
      <c r="B224" s="6" t="s">
        <v>12182</v>
      </c>
      <c r="C224" s="6" t="s">
        <v>12773</v>
      </c>
      <c r="D224" s="6" t="s">
        <v>12773</v>
      </c>
      <c r="E224" s="6" t="s">
        <v>12778</v>
      </c>
      <c r="F224" s="6" t="s">
        <v>12779</v>
      </c>
      <c r="G224" s="9"/>
      <c r="H224" s="9" t="s">
        <v>18</v>
      </c>
      <c r="I224" s="10" t="str">
        <f>VLOOKUP(F224,[3]分类结果!$F:$G,2,0)</f>
        <v>其他制造业</v>
      </c>
      <c r="J224" s="11">
        <f>VLOOKUP(I224,[2]行业排放因子!$A:$B,2,0)</f>
        <v>0.245415556625804</v>
      </c>
    </row>
    <row r="225" spans="1:10" x14ac:dyDescent="0.25">
      <c r="A225" s="5" t="s">
        <v>868</v>
      </c>
      <c r="B225" s="6" t="s">
        <v>12182</v>
      </c>
      <c r="C225" s="6" t="s">
        <v>12773</v>
      </c>
      <c r="D225" s="6" t="s">
        <v>12773</v>
      </c>
      <c r="E225" s="6" t="s">
        <v>12780</v>
      </c>
      <c r="F225" s="6" t="s">
        <v>12781</v>
      </c>
      <c r="G225" s="9"/>
      <c r="H225" s="9" t="s">
        <v>18</v>
      </c>
      <c r="I225" s="10" t="str">
        <f>VLOOKUP(F225,[3]分类结果!$F:$G,2,0)</f>
        <v>其他制造业</v>
      </c>
      <c r="J225" s="11">
        <f>VLOOKUP(I225,[2]行业排放因子!$A:$B,2,0)</f>
        <v>0.245415556625804</v>
      </c>
    </row>
    <row r="226" spans="1:10" x14ac:dyDescent="0.25">
      <c r="A226" s="5" t="s">
        <v>871</v>
      </c>
      <c r="B226" s="6" t="s">
        <v>12182</v>
      </c>
      <c r="C226" s="6" t="s">
        <v>12773</v>
      </c>
      <c r="D226" s="6" t="s">
        <v>12773</v>
      </c>
      <c r="E226" s="6" t="s">
        <v>12782</v>
      </c>
      <c r="F226" s="6" t="s">
        <v>12783</v>
      </c>
      <c r="G226" s="9"/>
      <c r="H226" s="9" t="s">
        <v>18</v>
      </c>
      <c r="I226" s="10" t="str">
        <f>VLOOKUP(F226,[3]分类结果!$F:$G,2,0)</f>
        <v>其他制造业</v>
      </c>
      <c r="J226" s="11">
        <f>VLOOKUP(I226,[2]行业排放因子!$A:$B,2,0)</f>
        <v>0.245415556625804</v>
      </c>
    </row>
    <row r="227" spans="1:10" x14ac:dyDescent="0.25">
      <c r="A227" s="5" t="s">
        <v>875</v>
      </c>
      <c r="B227" s="6" t="s">
        <v>12182</v>
      </c>
      <c r="C227" s="6" t="s">
        <v>12773</v>
      </c>
      <c r="D227" s="6" t="s">
        <v>12773</v>
      </c>
      <c r="E227" s="6" t="s">
        <v>12784</v>
      </c>
      <c r="F227" s="6" t="s">
        <v>12785</v>
      </c>
      <c r="G227" s="9"/>
      <c r="H227" s="9" t="s">
        <v>18</v>
      </c>
      <c r="I227" s="10" t="str">
        <f>VLOOKUP(F227,[3]分类结果!$F:$G,2,0)</f>
        <v>其他制造业</v>
      </c>
      <c r="J227" s="11">
        <f>VLOOKUP(I227,[2]行业排放因子!$A:$B,2,0)</f>
        <v>0.245415556625804</v>
      </c>
    </row>
    <row r="228" spans="1:10" x14ac:dyDescent="0.25">
      <c r="A228" s="5" t="s">
        <v>878</v>
      </c>
      <c r="B228" s="6" t="s">
        <v>12182</v>
      </c>
      <c r="C228" s="6" t="s">
        <v>12773</v>
      </c>
      <c r="D228" s="6" t="s">
        <v>12773</v>
      </c>
      <c r="E228" s="6" t="s">
        <v>12786</v>
      </c>
      <c r="F228" s="6" t="s">
        <v>12787</v>
      </c>
      <c r="G228" s="9"/>
      <c r="H228" s="9" t="s">
        <v>18</v>
      </c>
      <c r="I228" s="10" t="str">
        <f>VLOOKUP(F228,[3]分类结果!$F:$G,2,0)</f>
        <v>其他制造业</v>
      </c>
      <c r="J228" s="11">
        <f>VLOOKUP(I228,[2]行业排放因子!$A:$B,2,0)</f>
        <v>0.245415556625804</v>
      </c>
    </row>
    <row r="229" spans="1:10" x14ac:dyDescent="0.25">
      <c r="A229" s="5" t="s">
        <v>881</v>
      </c>
      <c r="B229" s="6" t="s">
        <v>12182</v>
      </c>
      <c r="C229" s="6" t="s">
        <v>12773</v>
      </c>
      <c r="D229" s="6" t="s">
        <v>12773</v>
      </c>
      <c r="E229" s="6" t="s">
        <v>12788</v>
      </c>
      <c r="F229" s="6" t="s">
        <v>12789</v>
      </c>
      <c r="G229" s="9"/>
      <c r="H229" s="9" t="s">
        <v>18</v>
      </c>
      <c r="I229" s="10" t="str">
        <f>VLOOKUP(F229,[3]分类结果!$F:$G,2,0)</f>
        <v>其他制造业</v>
      </c>
      <c r="J229" s="11">
        <f>VLOOKUP(I229,[2]行业排放因子!$A:$B,2,0)</f>
        <v>0.245415556625804</v>
      </c>
    </row>
    <row r="230" spans="1:10" x14ac:dyDescent="0.25">
      <c r="A230" s="5" t="s">
        <v>884</v>
      </c>
      <c r="B230" s="6" t="s">
        <v>12182</v>
      </c>
      <c r="C230" s="6" t="s">
        <v>12773</v>
      </c>
      <c r="D230" s="6" t="s">
        <v>12773</v>
      </c>
      <c r="E230" s="6" t="s">
        <v>12790</v>
      </c>
      <c r="F230" s="6" t="s">
        <v>12791</v>
      </c>
      <c r="G230" s="9"/>
      <c r="H230" s="9" t="s">
        <v>18</v>
      </c>
      <c r="I230" s="10" t="str">
        <f>VLOOKUP(F230,[3]分类结果!$F:$G,2,0)</f>
        <v>其他制造业</v>
      </c>
      <c r="J230" s="11">
        <f>VLOOKUP(I230,[2]行业排放因子!$A:$B,2,0)</f>
        <v>0.245415556625804</v>
      </c>
    </row>
    <row r="231" spans="1:10" x14ac:dyDescent="0.25">
      <c r="A231" s="5" t="s">
        <v>887</v>
      </c>
      <c r="B231" s="6" t="s">
        <v>12182</v>
      </c>
      <c r="C231" s="6" t="s">
        <v>12773</v>
      </c>
      <c r="D231" s="6" t="s">
        <v>12773</v>
      </c>
      <c r="E231" s="6" t="s">
        <v>12792</v>
      </c>
      <c r="F231" s="6" t="s">
        <v>12793</v>
      </c>
      <c r="G231" s="9"/>
      <c r="H231" s="9" t="s">
        <v>18</v>
      </c>
      <c r="I231" s="10" t="str">
        <f>VLOOKUP(F231,[3]分类结果!$F:$G,2,0)</f>
        <v>其他制造业</v>
      </c>
      <c r="J231" s="11">
        <f>VLOOKUP(I231,[2]行业排放因子!$A:$B,2,0)</f>
        <v>0.245415556625804</v>
      </c>
    </row>
    <row r="232" spans="1:10" x14ac:dyDescent="0.25">
      <c r="A232" s="5" t="s">
        <v>890</v>
      </c>
      <c r="B232" s="6" t="s">
        <v>12182</v>
      </c>
      <c r="C232" s="6" t="s">
        <v>12773</v>
      </c>
      <c r="D232" s="6" t="s">
        <v>12773</v>
      </c>
      <c r="E232" s="6" t="s">
        <v>12794</v>
      </c>
      <c r="F232" s="6" t="s">
        <v>12795</v>
      </c>
      <c r="G232" s="9"/>
      <c r="H232" s="9" t="s">
        <v>18</v>
      </c>
      <c r="I232" s="10" t="str">
        <f>VLOOKUP(F232,[3]分类结果!$F:$G,2,0)</f>
        <v>其他制造业</v>
      </c>
      <c r="J232" s="11">
        <f>VLOOKUP(I232,[2]行业排放因子!$A:$B,2,0)</f>
        <v>0.245415556625804</v>
      </c>
    </row>
    <row r="233" spans="1:10" x14ac:dyDescent="0.25">
      <c r="A233" s="5" t="s">
        <v>893</v>
      </c>
      <c r="B233" s="6" t="s">
        <v>12182</v>
      </c>
      <c r="C233" s="6" t="s">
        <v>12773</v>
      </c>
      <c r="D233" s="6" t="s">
        <v>12773</v>
      </c>
      <c r="E233" s="6" t="s">
        <v>12796</v>
      </c>
      <c r="F233" s="6" t="s">
        <v>12797</v>
      </c>
      <c r="G233" s="9" t="s">
        <v>12798</v>
      </c>
      <c r="H233" s="9" t="s">
        <v>18</v>
      </c>
      <c r="I233" s="10" t="str">
        <f>VLOOKUP(F233,[3]分类结果!$F:$G,2,0)</f>
        <v>其他制造业</v>
      </c>
      <c r="J233" s="11">
        <f>VLOOKUP(I233,[2]行业排放因子!$A:$B,2,0)</f>
        <v>0.245415556625804</v>
      </c>
    </row>
    <row r="234" spans="1:10" x14ac:dyDescent="0.25">
      <c r="A234" s="5" t="s">
        <v>896</v>
      </c>
      <c r="B234" s="6" t="s">
        <v>12182</v>
      </c>
      <c r="C234" s="6" t="s">
        <v>12773</v>
      </c>
      <c r="D234" s="6" t="s">
        <v>12773</v>
      </c>
      <c r="E234" s="6" t="s">
        <v>12799</v>
      </c>
      <c r="F234" s="6" t="s">
        <v>12800</v>
      </c>
      <c r="G234" s="9" t="s">
        <v>12801</v>
      </c>
      <c r="H234" s="9" t="s">
        <v>18</v>
      </c>
      <c r="I234" s="10" t="str">
        <f>VLOOKUP(F234,[3]分类结果!$F:$G,2,0)</f>
        <v>其他制造业</v>
      </c>
      <c r="J234" s="11">
        <f>VLOOKUP(I234,[2]行业排放因子!$A:$B,2,0)</f>
        <v>0.245415556625804</v>
      </c>
    </row>
    <row r="235" spans="1:10" x14ac:dyDescent="0.25">
      <c r="A235" s="5" t="s">
        <v>899</v>
      </c>
      <c r="B235" s="6" t="s">
        <v>12182</v>
      </c>
      <c r="C235" s="6" t="s">
        <v>12773</v>
      </c>
      <c r="D235" s="6" t="s">
        <v>12773</v>
      </c>
      <c r="E235" s="6" t="s">
        <v>12802</v>
      </c>
      <c r="F235" s="6" t="s">
        <v>12803</v>
      </c>
      <c r="G235" s="9" t="s">
        <v>12804</v>
      </c>
      <c r="H235" s="9" t="s">
        <v>18</v>
      </c>
      <c r="I235" s="10" t="str">
        <f>VLOOKUP(F235,[3]分类结果!$F:$G,2,0)</f>
        <v>其他制造业</v>
      </c>
      <c r="J235" s="11">
        <f>VLOOKUP(I235,[2]行业排放因子!$A:$B,2,0)</f>
        <v>0.245415556625804</v>
      </c>
    </row>
    <row r="236" spans="1:10" x14ac:dyDescent="0.25">
      <c r="A236" s="5" t="s">
        <v>902</v>
      </c>
      <c r="B236" s="6" t="s">
        <v>12182</v>
      </c>
      <c r="C236" s="6" t="s">
        <v>12773</v>
      </c>
      <c r="D236" s="6" t="s">
        <v>12773</v>
      </c>
      <c r="E236" s="6" t="s">
        <v>12805</v>
      </c>
      <c r="F236" s="6" t="s">
        <v>12806</v>
      </c>
      <c r="G236" s="9"/>
      <c r="H236" s="9" t="s">
        <v>18</v>
      </c>
      <c r="I236" s="10" t="str">
        <f>VLOOKUP(F236,[3]分类结果!$F:$G,2,0)</f>
        <v>其他制造业</v>
      </c>
      <c r="J236" s="11">
        <f>VLOOKUP(I236,[2]行业排放因子!$A:$B,2,0)</f>
        <v>0.245415556625804</v>
      </c>
    </row>
    <row r="237" spans="1:10" x14ac:dyDescent="0.25">
      <c r="A237" s="5" t="s">
        <v>905</v>
      </c>
      <c r="B237" s="6" t="s">
        <v>12182</v>
      </c>
      <c r="C237" s="6" t="s">
        <v>12773</v>
      </c>
      <c r="D237" s="6" t="s">
        <v>12773</v>
      </c>
      <c r="E237" s="6" t="s">
        <v>12807</v>
      </c>
      <c r="F237" s="6" t="s">
        <v>12808</v>
      </c>
      <c r="G237" s="9" t="s">
        <v>12809</v>
      </c>
      <c r="H237" s="9" t="s">
        <v>18</v>
      </c>
      <c r="I237" s="10" t="str">
        <f>VLOOKUP(F237,[3]分类结果!$F:$G,2,0)</f>
        <v>电子及通信设备制造业</v>
      </c>
      <c r="J237" s="11">
        <f>VLOOKUP(I237,[2]行业排放因子!$A:$B,2,0)</f>
        <v>7.5202868648033796</v>
      </c>
    </row>
    <row r="238" spans="1:10" x14ac:dyDescent="0.25">
      <c r="A238" s="5" t="s">
        <v>908</v>
      </c>
      <c r="B238" s="6" t="s">
        <v>12182</v>
      </c>
      <c r="C238" s="6" t="s">
        <v>12773</v>
      </c>
      <c r="D238" s="6" t="s">
        <v>12810</v>
      </c>
      <c r="E238" s="6" t="s">
        <v>12811</v>
      </c>
      <c r="F238" s="6" t="s">
        <v>12812</v>
      </c>
      <c r="G238" s="9"/>
      <c r="H238" s="9" t="s">
        <v>18</v>
      </c>
      <c r="I238" s="10" t="str">
        <f>VLOOKUP(F238,[3]分类结果!$F:$G,2,0)</f>
        <v>其他制造业</v>
      </c>
      <c r="J238" s="11">
        <f>VLOOKUP(I238,[2]行业排放因子!$A:$B,2,0)</f>
        <v>0.245415556625804</v>
      </c>
    </row>
    <row r="239" spans="1:10" x14ac:dyDescent="0.25">
      <c r="A239" s="5" t="s">
        <v>911</v>
      </c>
      <c r="B239" s="6" t="s">
        <v>12182</v>
      </c>
      <c r="C239" s="6" t="s">
        <v>12773</v>
      </c>
      <c r="D239" s="6" t="s">
        <v>12810</v>
      </c>
      <c r="E239" s="6" t="s">
        <v>12813</v>
      </c>
      <c r="F239" s="6" t="s">
        <v>12814</v>
      </c>
      <c r="G239" s="9"/>
      <c r="H239" s="9" t="s">
        <v>18</v>
      </c>
      <c r="I239" s="10" t="str">
        <f>VLOOKUP(F239,[3]分类结果!$F:$G,2,0)</f>
        <v>其他制造业</v>
      </c>
      <c r="J239" s="11">
        <f>VLOOKUP(I239,[2]行业排放因子!$A:$B,2,0)</f>
        <v>0.245415556625804</v>
      </c>
    </row>
    <row r="240" spans="1:10" x14ac:dyDescent="0.25">
      <c r="A240" s="5" t="s">
        <v>914</v>
      </c>
      <c r="B240" s="6" t="s">
        <v>12182</v>
      </c>
      <c r="C240" s="6" t="s">
        <v>12773</v>
      </c>
      <c r="D240" s="6" t="s">
        <v>12810</v>
      </c>
      <c r="E240" s="6" t="s">
        <v>12815</v>
      </c>
      <c r="F240" s="6" t="s">
        <v>12816</v>
      </c>
      <c r="G240" s="9"/>
      <c r="H240" s="9" t="s">
        <v>18</v>
      </c>
      <c r="I240" s="10" t="str">
        <f>VLOOKUP(F240,[3]分类结果!$F:$G,2,0)</f>
        <v>其他制造业</v>
      </c>
      <c r="J240" s="11">
        <f>VLOOKUP(I240,[2]行业排放因子!$A:$B,2,0)</f>
        <v>0.245415556625804</v>
      </c>
    </row>
    <row r="241" spans="1:10" x14ac:dyDescent="0.25">
      <c r="A241" s="5" t="s">
        <v>917</v>
      </c>
      <c r="B241" s="6" t="s">
        <v>12182</v>
      </c>
      <c r="C241" s="6" t="s">
        <v>12773</v>
      </c>
      <c r="D241" s="6" t="s">
        <v>12810</v>
      </c>
      <c r="E241" s="6" t="s">
        <v>12817</v>
      </c>
      <c r="F241" s="6" t="s">
        <v>12818</v>
      </c>
      <c r="G241" s="9"/>
      <c r="H241" s="9" t="s">
        <v>18</v>
      </c>
      <c r="I241" s="10" t="str">
        <f>VLOOKUP(F241,[3]分类结果!$F:$G,2,0)</f>
        <v>其他制造业</v>
      </c>
      <c r="J241" s="11">
        <f>VLOOKUP(I241,[2]行业排放因子!$A:$B,2,0)</f>
        <v>0.245415556625804</v>
      </c>
    </row>
    <row r="242" spans="1:10" x14ac:dyDescent="0.25">
      <c r="A242" s="5" t="s">
        <v>920</v>
      </c>
      <c r="B242" s="6" t="s">
        <v>12182</v>
      </c>
      <c r="C242" s="6" t="s">
        <v>12773</v>
      </c>
      <c r="D242" s="6" t="s">
        <v>12810</v>
      </c>
      <c r="E242" s="6" t="s">
        <v>12819</v>
      </c>
      <c r="F242" s="6" t="s">
        <v>12820</v>
      </c>
      <c r="G242" s="9"/>
      <c r="H242" s="9" t="s">
        <v>18</v>
      </c>
      <c r="I242" s="10" t="str">
        <f>VLOOKUP(F242,[3]分类结果!$F:$G,2,0)</f>
        <v>农、林、牧、渔及水利业</v>
      </c>
      <c r="J242" s="11">
        <f>VLOOKUP(I242,[2]行业排放因子!$A:$B,2,0)</f>
        <v>90.746322689478703</v>
      </c>
    </row>
    <row r="243" spans="1:10" x14ac:dyDescent="0.25">
      <c r="A243" s="5" t="s">
        <v>923</v>
      </c>
      <c r="B243" s="6" t="s">
        <v>12182</v>
      </c>
      <c r="C243" s="6" t="s">
        <v>12773</v>
      </c>
      <c r="D243" s="6" t="s">
        <v>12810</v>
      </c>
      <c r="E243" s="6" t="s">
        <v>12821</v>
      </c>
      <c r="F243" s="6" t="s">
        <v>12822</v>
      </c>
      <c r="G243" s="9"/>
      <c r="H243" s="9" t="s">
        <v>18</v>
      </c>
      <c r="I243" s="10" t="str">
        <f>VLOOKUP(F243,[3]分类结果!$F:$G,2,0)</f>
        <v>其他制造业</v>
      </c>
      <c r="J243" s="11">
        <f>VLOOKUP(I243,[2]行业排放因子!$A:$B,2,0)</f>
        <v>0.245415556625804</v>
      </c>
    </row>
    <row r="244" spans="1:10" x14ac:dyDescent="0.25">
      <c r="A244" s="5" t="s">
        <v>926</v>
      </c>
      <c r="B244" s="6" t="s">
        <v>12182</v>
      </c>
      <c r="C244" s="6" t="s">
        <v>12773</v>
      </c>
      <c r="D244" s="6" t="s">
        <v>12810</v>
      </c>
      <c r="E244" s="6" t="s">
        <v>12823</v>
      </c>
      <c r="F244" s="6" t="s">
        <v>12824</v>
      </c>
      <c r="G244" s="9"/>
      <c r="H244" s="9" t="s">
        <v>18</v>
      </c>
      <c r="I244" s="10" t="str">
        <f>VLOOKUP(F244,[3]分类结果!$F:$G,2,0)</f>
        <v>其他制造业</v>
      </c>
      <c r="J244" s="11">
        <f>VLOOKUP(I244,[2]行业排放因子!$A:$B,2,0)</f>
        <v>0.245415556625804</v>
      </c>
    </row>
    <row r="245" spans="1:10" x14ac:dyDescent="0.25">
      <c r="A245" s="5" t="s">
        <v>929</v>
      </c>
      <c r="B245" s="6" t="s">
        <v>12182</v>
      </c>
      <c r="C245" s="6" t="s">
        <v>12773</v>
      </c>
      <c r="D245" s="6" t="s">
        <v>12773</v>
      </c>
      <c r="E245" s="6" t="s">
        <v>12825</v>
      </c>
      <c r="F245" s="6" t="s">
        <v>12826</v>
      </c>
      <c r="G245" s="9"/>
      <c r="H245" s="9" t="s">
        <v>18</v>
      </c>
      <c r="I245" s="10" t="str">
        <f>VLOOKUP(F245,[3]分类结果!$F:$G,2,0)</f>
        <v>其他制造业</v>
      </c>
      <c r="J245" s="11">
        <f>VLOOKUP(I245,[2]行业排放因子!$A:$B,2,0)</f>
        <v>0.245415556625804</v>
      </c>
    </row>
    <row r="246" spans="1:10" x14ac:dyDescent="0.25">
      <c r="A246" s="5" t="s">
        <v>932</v>
      </c>
      <c r="B246" s="6" t="s">
        <v>12182</v>
      </c>
      <c r="C246" s="6" t="s">
        <v>12773</v>
      </c>
      <c r="D246" s="6" t="s">
        <v>12773</v>
      </c>
      <c r="E246" s="6" t="s">
        <v>12827</v>
      </c>
      <c r="F246" s="6" t="s">
        <v>12828</v>
      </c>
      <c r="G246" s="9"/>
      <c r="H246" s="9" t="s">
        <v>18</v>
      </c>
      <c r="I246" s="10" t="str">
        <f>VLOOKUP(F246,[3]分类结果!$F:$G,2,0)</f>
        <v>其他制造业</v>
      </c>
      <c r="J246" s="11">
        <f>VLOOKUP(I246,[2]行业排放因子!$A:$B,2,0)</f>
        <v>0.245415556625804</v>
      </c>
    </row>
    <row r="247" spans="1:10" x14ac:dyDescent="0.25">
      <c r="A247" s="5" t="s">
        <v>936</v>
      </c>
      <c r="B247" s="6" t="s">
        <v>12182</v>
      </c>
      <c r="C247" s="6" t="s">
        <v>12773</v>
      </c>
      <c r="D247" s="6" t="s">
        <v>12773</v>
      </c>
      <c r="E247" s="6" t="s">
        <v>12829</v>
      </c>
      <c r="F247" s="6" t="s">
        <v>12830</v>
      </c>
      <c r="G247" s="9"/>
      <c r="H247" s="9" t="s">
        <v>18</v>
      </c>
      <c r="I247" s="10" t="str">
        <f>VLOOKUP(F247,[3]分类结果!$F:$G,2,0)</f>
        <v>其他制造业</v>
      </c>
      <c r="J247" s="11">
        <f>VLOOKUP(I247,[2]行业排放因子!$A:$B,2,0)</f>
        <v>0.245415556625804</v>
      </c>
    </row>
    <row r="248" spans="1:10" x14ac:dyDescent="0.25">
      <c r="A248" s="5" t="s">
        <v>939</v>
      </c>
      <c r="B248" s="6" t="s">
        <v>12182</v>
      </c>
      <c r="C248" s="6" t="s">
        <v>12773</v>
      </c>
      <c r="D248" s="6" t="s">
        <v>12773</v>
      </c>
      <c r="E248" s="6" t="s">
        <v>12831</v>
      </c>
      <c r="F248" s="6" t="s">
        <v>12832</v>
      </c>
      <c r="G248" s="9" t="s">
        <v>12833</v>
      </c>
      <c r="H248" s="9" t="s">
        <v>18</v>
      </c>
      <c r="I248" s="10" t="str">
        <f>VLOOKUP(F248,[3]分类结果!$F:$G,2,0)</f>
        <v>其他制造业</v>
      </c>
      <c r="J248" s="11">
        <f>VLOOKUP(I248,[2]行业排放因子!$A:$B,2,0)</f>
        <v>0.245415556625804</v>
      </c>
    </row>
    <row r="249" spans="1:10" x14ac:dyDescent="0.25">
      <c r="A249" s="5" t="s">
        <v>943</v>
      </c>
      <c r="B249" s="6" t="s">
        <v>12182</v>
      </c>
      <c r="C249" s="6" t="s">
        <v>12834</v>
      </c>
      <c r="D249" s="6" t="s">
        <v>12835</v>
      </c>
      <c r="E249" s="6" t="s">
        <v>12836</v>
      </c>
      <c r="F249" s="6" t="s">
        <v>12835</v>
      </c>
      <c r="G249" s="9" t="s">
        <v>12837</v>
      </c>
      <c r="H249" s="9" t="s">
        <v>18</v>
      </c>
      <c r="I249" s="10" t="str">
        <f>VLOOKUP(F249,[3]分类结果!$F:$G,2,0)</f>
        <v>其他制造业</v>
      </c>
      <c r="J249" s="11">
        <f>VLOOKUP(I249,[2]行业排放因子!$A:$B,2,0)</f>
        <v>0.245415556625804</v>
      </c>
    </row>
    <row r="250" spans="1:10" x14ac:dyDescent="0.25">
      <c r="A250" s="5" t="s">
        <v>945</v>
      </c>
      <c r="B250" s="6" t="s">
        <v>12182</v>
      </c>
      <c r="C250" s="6" t="s">
        <v>12834</v>
      </c>
      <c r="D250" s="6" t="s">
        <v>12838</v>
      </c>
      <c r="E250" s="6" t="s">
        <v>12839</v>
      </c>
      <c r="F250" s="6" t="s">
        <v>12838</v>
      </c>
      <c r="G250" s="9" t="s">
        <v>12840</v>
      </c>
      <c r="H250" s="9" t="s">
        <v>18</v>
      </c>
      <c r="I250" s="10" t="str">
        <f>VLOOKUP(F250,[3]分类结果!$F:$G,2,0)</f>
        <v>其他制造业</v>
      </c>
      <c r="J250" s="11">
        <f>VLOOKUP(I250,[2]行业排放因子!$A:$B,2,0)</f>
        <v>0.245415556625804</v>
      </c>
    </row>
    <row r="251" spans="1:10" x14ac:dyDescent="0.25">
      <c r="A251" s="5" t="s">
        <v>948</v>
      </c>
      <c r="B251" s="6" t="s">
        <v>12182</v>
      </c>
      <c r="C251" s="6" t="s">
        <v>12834</v>
      </c>
      <c r="D251" s="6" t="s">
        <v>12841</v>
      </c>
      <c r="E251" s="6" t="s">
        <v>12842</v>
      </c>
      <c r="F251" s="6" t="s">
        <v>12841</v>
      </c>
      <c r="G251" s="9" t="s">
        <v>12843</v>
      </c>
      <c r="H251" s="9" t="s">
        <v>18</v>
      </c>
      <c r="I251" s="10" t="str">
        <f>VLOOKUP(F251,[3]分类结果!$F:$G,2,0)</f>
        <v>其他制造业</v>
      </c>
      <c r="J251" s="11">
        <f>VLOOKUP(I251,[2]行业排放因子!$A:$B,2,0)</f>
        <v>0.245415556625804</v>
      </c>
    </row>
    <row r="252" spans="1:10" x14ac:dyDescent="0.25">
      <c r="A252" s="5" t="s">
        <v>951</v>
      </c>
      <c r="B252" s="6" t="s">
        <v>12182</v>
      </c>
      <c r="C252" s="6" t="s">
        <v>12834</v>
      </c>
      <c r="D252" s="6" t="s">
        <v>12844</v>
      </c>
      <c r="E252" s="6" t="s">
        <v>12845</v>
      </c>
      <c r="F252" s="6" t="s">
        <v>12844</v>
      </c>
      <c r="G252" s="9" t="s">
        <v>12846</v>
      </c>
      <c r="H252" s="9" t="s">
        <v>18</v>
      </c>
      <c r="I252" s="10" t="str">
        <f>VLOOKUP(F252,[3]分类结果!$F:$G,2,0)</f>
        <v>其他制造业</v>
      </c>
      <c r="J252" s="11">
        <f>VLOOKUP(I252,[2]行业排放因子!$A:$B,2,0)</f>
        <v>0.245415556625804</v>
      </c>
    </row>
    <row r="253" spans="1:10" x14ac:dyDescent="0.25">
      <c r="A253" s="5" t="s">
        <v>954</v>
      </c>
      <c r="B253" s="6" t="s">
        <v>12182</v>
      </c>
      <c r="C253" s="6" t="s">
        <v>12834</v>
      </c>
      <c r="D253" s="6" t="s">
        <v>12847</v>
      </c>
      <c r="E253" s="6" t="s">
        <v>12848</v>
      </c>
      <c r="F253" s="6" t="s">
        <v>12849</v>
      </c>
      <c r="G253" s="9"/>
      <c r="H253" s="9" t="s">
        <v>18</v>
      </c>
      <c r="I253" s="10" t="str">
        <f>VLOOKUP(F253,[3]分类结果!$F:$G,2,0)</f>
        <v>其他制造业</v>
      </c>
      <c r="J253" s="11">
        <f>VLOOKUP(I253,[2]行业排放因子!$A:$B,2,0)</f>
        <v>0.245415556625804</v>
      </c>
    </row>
    <row r="254" spans="1:10" x14ac:dyDescent="0.25">
      <c r="A254" s="5" t="s">
        <v>957</v>
      </c>
      <c r="B254" s="6" t="s">
        <v>12182</v>
      </c>
      <c r="C254" s="6" t="s">
        <v>12834</v>
      </c>
      <c r="D254" s="6" t="s">
        <v>12850</v>
      </c>
      <c r="E254" s="6" t="s">
        <v>12851</v>
      </c>
      <c r="F254" s="6" t="s">
        <v>12850</v>
      </c>
      <c r="G254" s="9"/>
      <c r="H254" s="9" t="s">
        <v>18</v>
      </c>
      <c r="I254" s="10" t="str">
        <f>VLOOKUP(F254,[3]分类结果!$F:$G,2,0)</f>
        <v>其他制造业</v>
      </c>
      <c r="J254" s="11">
        <f>VLOOKUP(I254,[2]行业排放因子!$A:$B,2,0)</f>
        <v>0.245415556625804</v>
      </c>
    </row>
    <row r="255" spans="1:10" x14ac:dyDescent="0.25">
      <c r="A255" s="5" t="s">
        <v>961</v>
      </c>
      <c r="B255" s="6" t="s">
        <v>12182</v>
      </c>
      <c r="C255" s="6" t="s">
        <v>12834</v>
      </c>
      <c r="D255" s="6" t="s">
        <v>12852</v>
      </c>
      <c r="E255" s="6" t="s">
        <v>12853</v>
      </c>
      <c r="F255" s="6" t="s">
        <v>12852</v>
      </c>
      <c r="G255" s="9" t="s">
        <v>12854</v>
      </c>
      <c r="H255" s="9" t="s">
        <v>18</v>
      </c>
      <c r="I255" s="10" t="str">
        <f>VLOOKUP(F255,[3]分类结果!$F:$G,2,0)</f>
        <v>医药制造业</v>
      </c>
      <c r="J255" s="11">
        <f>VLOOKUP(I255,[2]行业排放因子!$A:$B,2,0)</f>
        <v>1.8175069540650799</v>
      </c>
    </row>
    <row r="256" spans="1:10" x14ac:dyDescent="0.25">
      <c r="A256" s="5" t="s">
        <v>964</v>
      </c>
      <c r="B256" s="6" t="s">
        <v>12182</v>
      </c>
      <c r="C256" s="6" t="s">
        <v>12834</v>
      </c>
      <c r="D256" s="6" t="s">
        <v>12855</v>
      </c>
      <c r="E256" s="6" t="s">
        <v>12856</v>
      </c>
      <c r="F256" s="6" t="s">
        <v>12855</v>
      </c>
      <c r="G256" s="9" t="s">
        <v>12857</v>
      </c>
      <c r="H256" s="9" t="s">
        <v>18</v>
      </c>
      <c r="I256" s="10" t="str">
        <f>VLOOKUP(F256,[3]分类结果!$F:$G,2,0)</f>
        <v>批发、零售和餐饮业</v>
      </c>
      <c r="J256" s="11">
        <f>VLOOKUP(I256,[2]行业排放因子!$A:$B,2,0)</f>
        <v>55.4303896721051</v>
      </c>
    </row>
    <row r="257" spans="1:10" x14ac:dyDescent="0.25">
      <c r="A257" s="5" t="s">
        <v>967</v>
      </c>
      <c r="B257" s="6" t="s">
        <v>12182</v>
      </c>
      <c r="C257" s="6" t="s">
        <v>12834</v>
      </c>
      <c r="D257" s="6" t="s">
        <v>12858</v>
      </c>
      <c r="E257" s="6" t="s">
        <v>12859</v>
      </c>
      <c r="F257" s="6" t="s">
        <v>12858</v>
      </c>
      <c r="G257" s="9" t="s">
        <v>12860</v>
      </c>
      <c r="H257" s="9" t="s">
        <v>18</v>
      </c>
      <c r="I257" s="10" t="str">
        <f>VLOOKUP(F257,[3]分类结果!$F:$G,2,0)</f>
        <v>其他制造业</v>
      </c>
      <c r="J257" s="11">
        <f>VLOOKUP(I257,[2]行业排放因子!$A:$B,2,0)</f>
        <v>0.245415556625804</v>
      </c>
    </row>
    <row r="258" spans="1:10" x14ac:dyDescent="0.25">
      <c r="A258" s="5" t="s">
        <v>970</v>
      </c>
      <c r="B258" s="6" t="s">
        <v>12182</v>
      </c>
      <c r="C258" s="6" t="s">
        <v>12834</v>
      </c>
      <c r="D258" s="6" t="s">
        <v>12861</v>
      </c>
      <c r="E258" s="6" t="s">
        <v>12862</v>
      </c>
      <c r="F258" s="6" t="s">
        <v>12861</v>
      </c>
      <c r="G258" s="9" t="s">
        <v>12863</v>
      </c>
      <c r="H258" s="9" t="s">
        <v>18</v>
      </c>
      <c r="I258" s="10" t="str">
        <f>VLOOKUP(F258,[3]分类结果!$F:$G,2,0)</f>
        <v>批发、零售和餐饮业</v>
      </c>
      <c r="J258" s="11">
        <f>VLOOKUP(I258,[2]行业排放因子!$A:$B,2,0)</f>
        <v>55.4303896721051</v>
      </c>
    </row>
    <row r="259" spans="1:10" x14ac:dyDescent="0.25">
      <c r="A259" s="5" t="s">
        <v>973</v>
      </c>
      <c r="B259" s="6" t="s">
        <v>12182</v>
      </c>
      <c r="C259" s="6" t="s">
        <v>12834</v>
      </c>
      <c r="D259" s="6" t="s">
        <v>12864</v>
      </c>
      <c r="E259" s="6" t="s">
        <v>12865</v>
      </c>
      <c r="F259" s="6" t="s">
        <v>12864</v>
      </c>
      <c r="G259" s="9" t="s">
        <v>12866</v>
      </c>
      <c r="H259" s="9" t="s">
        <v>18</v>
      </c>
      <c r="I259" s="10" t="str">
        <f>VLOOKUP(F259,[3]分类结果!$F:$G,2,0)</f>
        <v>其他制造业</v>
      </c>
      <c r="J259" s="11">
        <f>VLOOKUP(I259,[2]行业排放因子!$A:$B,2,0)</f>
        <v>0.245415556625804</v>
      </c>
    </row>
    <row r="260" spans="1:10" x14ac:dyDescent="0.25">
      <c r="A260" s="5" t="s">
        <v>976</v>
      </c>
      <c r="B260" s="6" t="s">
        <v>12182</v>
      </c>
      <c r="C260" s="6" t="s">
        <v>12834</v>
      </c>
      <c r="D260" s="6" t="s">
        <v>12834</v>
      </c>
      <c r="E260" s="6" t="s">
        <v>12867</v>
      </c>
      <c r="F260" s="6" t="s">
        <v>12868</v>
      </c>
      <c r="G260" s="9"/>
      <c r="H260" s="9" t="s">
        <v>18</v>
      </c>
      <c r="I260" s="10" t="str">
        <f>VLOOKUP(F260,[3]分类结果!$F:$G,2,0)</f>
        <v>其他制造业</v>
      </c>
      <c r="J260" s="11">
        <f>VLOOKUP(I260,[2]行业排放因子!$A:$B,2,0)</f>
        <v>0.245415556625804</v>
      </c>
    </row>
    <row r="261" spans="1:10" x14ac:dyDescent="0.25">
      <c r="A261" s="5" t="s">
        <v>979</v>
      </c>
      <c r="B261" s="6" t="s">
        <v>12182</v>
      </c>
      <c r="C261" s="6" t="s">
        <v>12834</v>
      </c>
      <c r="D261" s="6" t="s">
        <v>12834</v>
      </c>
      <c r="E261" s="6" t="s">
        <v>12869</v>
      </c>
      <c r="F261" s="6" t="s">
        <v>12870</v>
      </c>
      <c r="G261" s="9"/>
      <c r="H261" s="9" t="s">
        <v>18</v>
      </c>
      <c r="I261" s="10" t="str">
        <f>VLOOKUP(F261,[3]分类结果!$F:$G,2,0)</f>
        <v>其他制造业</v>
      </c>
      <c r="J261" s="11">
        <f>VLOOKUP(I261,[2]行业排放因子!$A:$B,2,0)</f>
        <v>0.245415556625804</v>
      </c>
    </row>
    <row r="262" spans="1:10" x14ac:dyDescent="0.25">
      <c r="A262" s="5" t="s">
        <v>982</v>
      </c>
      <c r="B262" s="6" t="s">
        <v>12182</v>
      </c>
      <c r="C262" s="6" t="s">
        <v>12834</v>
      </c>
      <c r="D262" s="6" t="s">
        <v>12834</v>
      </c>
      <c r="E262" s="6" t="s">
        <v>12871</v>
      </c>
      <c r="F262" s="6" t="s">
        <v>12872</v>
      </c>
      <c r="G262" s="9"/>
      <c r="H262" s="9" t="s">
        <v>18</v>
      </c>
      <c r="I262" s="10" t="str">
        <f>VLOOKUP(F262,[3]分类结果!$F:$G,2,0)</f>
        <v>其他制造业</v>
      </c>
      <c r="J262" s="11">
        <f>VLOOKUP(I262,[2]行业排放因子!$A:$B,2,0)</f>
        <v>0.245415556625804</v>
      </c>
    </row>
    <row r="263" spans="1:10" x14ac:dyDescent="0.25">
      <c r="A263" s="5" t="s">
        <v>985</v>
      </c>
      <c r="B263" s="6" t="s">
        <v>12182</v>
      </c>
      <c r="C263" s="6" t="s">
        <v>12834</v>
      </c>
      <c r="D263" s="6" t="s">
        <v>12834</v>
      </c>
      <c r="E263" s="6" t="s">
        <v>12873</v>
      </c>
      <c r="F263" s="6" t="s">
        <v>12874</v>
      </c>
      <c r="G263" s="9" t="s">
        <v>12875</v>
      </c>
      <c r="H263" s="9" t="s">
        <v>18</v>
      </c>
      <c r="I263" s="10" t="str">
        <f>VLOOKUP(F263,[3]分类结果!$F:$G,2,0)</f>
        <v>其他制造业</v>
      </c>
      <c r="J263" s="11">
        <f>VLOOKUP(I263,[2]行业排放因子!$A:$B,2,0)</f>
        <v>0.245415556625804</v>
      </c>
    </row>
    <row r="264" spans="1:10" x14ac:dyDescent="0.25">
      <c r="A264" s="5" t="s">
        <v>988</v>
      </c>
      <c r="B264" s="6" t="s">
        <v>12182</v>
      </c>
      <c r="C264" s="6" t="s">
        <v>12834</v>
      </c>
      <c r="D264" s="6" t="s">
        <v>12834</v>
      </c>
      <c r="E264" s="6" t="s">
        <v>12876</v>
      </c>
      <c r="F264" s="6" t="s">
        <v>12877</v>
      </c>
      <c r="G264" s="9"/>
      <c r="H264" s="9" t="s">
        <v>18</v>
      </c>
      <c r="I264" s="10" t="str">
        <f>VLOOKUP(F264,[3]分类结果!$F:$G,2,0)</f>
        <v>其他制造业</v>
      </c>
      <c r="J264" s="11">
        <f>VLOOKUP(I264,[2]行业排放因子!$A:$B,2,0)</f>
        <v>0.245415556625804</v>
      </c>
    </row>
    <row r="265" spans="1:10" x14ac:dyDescent="0.25">
      <c r="A265" s="5" t="s">
        <v>992</v>
      </c>
      <c r="B265" s="6" t="s">
        <v>12182</v>
      </c>
      <c r="C265" s="6" t="s">
        <v>12834</v>
      </c>
      <c r="D265" s="6" t="s">
        <v>12834</v>
      </c>
      <c r="E265" s="6" t="s">
        <v>12878</v>
      </c>
      <c r="F265" s="6" t="s">
        <v>12879</v>
      </c>
      <c r="G265" s="9" t="s">
        <v>12880</v>
      </c>
      <c r="H265" s="9" t="s">
        <v>18</v>
      </c>
      <c r="I265" s="10" t="str">
        <f>VLOOKUP(F265,[3]分类结果!$F:$G,2,0)</f>
        <v>批发、零售和餐饮业</v>
      </c>
      <c r="J265" s="11">
        <f>VLOOKUP(I265,[2]行业排放因子!$A:$B,2,0)</f>
        <v>55.4303896721051</v>
      </c>
    </row>
    <row r="266" spans="1:10" x14ac:dyDescent="0.25">
      <c r="A266" s="5" t="s">
        <v>995</v>
      </c>
      <c r="B266" s="6" t="s">
        <v>12881</v>
      </c>
      <c r="C266" s="6" t="s">
        <v>12882</v>
      </c>
      <c r="D266" s="6" t="s">
        <v>12881</v>
      </c>
      <c r="E266" s="6" t="s">
        <v>12883</v>
      </c>
      <c r="F266" s="6" t="s">
        <v>12884</v>
      </c>
      <c r="G266" s="9"/>
      <c r="H266" s="9" t="s">
        <v>18</v>
      </c>
      <c r="I266" s="10" t="str">
        <f>VLOOKUP(F266,[3]分类结果!$F:$G,2,0)</f>
        <v>其他制造业</v>
      </c>
      <c r="J266" s="11">
        <f>VLOOKUP(I266,[2]行业排放因子!$A:$B,2,0)</f>
        <v>0.245415556625804</v>
      </c>
    </row>
    <row r="267" spans="1:10" x14ac:dyDescent="0.25">
      <c r="A267" s="5" t="s">
        <v>998</v>
      </c>
      <c r="B267" s="6" t="s">
        <v>12881</v>
      </c>
      <c r="C267" s="6" t="s">
        <v>12882</v>
      </c>
      <c r="D267" s="6" t="s">
        <v>12881</v>
      </c>
      <c r="E267" s="6" t="s">
        <v>12885</v>
      </c>
      <c r="F267" s="6" t="s">
        <v>12886</v>
      </c>
      <c r="G267" s="9"/>
      <c r="H267" s="9" t="s">
        <v>18</v>
      </c>
      <c r="I267" s="10" t="str">
        <f>VLOOKUP(F267,[3]分类结果!$F:$G,2,0)</f>
        <v>其他制造业</v>
      </c>
      <c r="J267" s="11">
        <f>VLOOKUP(I267,[2]行业排放因子!$A:$B,2,0)</f>
        <v>0.245415556625804</v>
      </c>
    </row>
    <row r="268" spans="1:10" x14ac:dyDescent="0.25">
      <c r="A268" s="5" t="s">
        <v>1001</v>
      </c>
      <c r="B268" s="6" t="s">
        <v>12881</v>
      </c>
      <c r="C268" s="6" t="s">
        <v>12887</v>
      </c>
      <c r="D268" s="6" t="s">
        <v>12881</v>
      </c>
      <c r="E268" s="6" t="s">
        <v>12888</v>
      </c>
      <c r="F268" s="6" t="s">
        <v>12887</v>
      </c>
      <c r="G268" s="9"/>
      <c r="H268" s="9" t="s">
        <v>18</v>
      </c>
      <c r="I268" s="10" t="str">
        <f>VLOOKUP(F268,[3]分类结果!$F:$G,2,0)</f>
        <v>其他制造业</v>
      </c>
      <c r="J268" s="11">
        <f>VLOOKUP(I268,[2]行业排放因子!$A:$B,2,0)</f>
        <v>0.245415556625804</v>
      </c>
    </row>
    <row r="269" spans="1:10" x14ac:dyDescent="0.25">
      <c r="A269" s="5" t="s">
        <v>1004</v>
      </c>
      <c r="B269" s="6" t="s">
        <v>12881</v>
      </c>
      <c r="C269" s="6" t="s">
        <v>12889</v>
      </c>
      <c r="D269" s="6" t="s">
        <v>12881</v>
      </c>
      <c r="E269" s="6" t="s">
        <v>12890</v>
      </c>
      <c r="F269" s="6" t="s">
        <v>12889</v>
      </c>
      <c r="G269" s="9"/>
      <c r="H269" s="9" t="s">
        <v>18</v>
      </c>
      <c r="I269" s="10" t="str">
        <f>VLOOKUP(F269,[3]分类结果!$F:$G,2,0)</f>
        <v>其他制造业</v>
      </c>
      <c r="J269" s="11">
        <f>VLOOKUP(I269,[2]行业排放因子!$A:$B,2,0)</f>
        <v>0.245415556625804</v>
      </c>
    </row>
    <row r="270" spans="1:10" x14ac:dyDescent="0.25">
      <c r="A270" s="5" t="s">
        <v>1007</v>
      </c>
      <c r="B270" s="6" t="s">
        <v>12881</v>
      </c>
      <c r="C270" s="6" t="s">
        <v>12891</v>
      </c>
      <c r="D270" s="6" t="s">
        <v>12881</v>
      </c>
      <c r="E270" s="6" t="s">
        <v>12892</v>
      </c>
      <c r="F270" s="6" t="s">
        <v>12891</v>
      </c>
      <c r="G270" s="9"/>
      <c r="H270" s="9" t="s">
        <v>18</v>
      </c>
      <c r="I270" s="10" t="str">
        <f>VLOOKUP(F270,[3]分类结果!$F:$G,2,0)</f>
        <v>其他制造业</v>
      </c>
      <c r="J270" s="11">
        <f>VLOOKUP(I270,[2]行业排放因子!$A:$B,2,0)</f>
        <v>0.245415556625804</v>
      </c>
    </row>
    <row r="271" spans="1:10" x14ac:dyDescent="0.25">
      <c r="A271" s="5" t="s">
        <v>1010</v>
      </c>
      <c r="B271" s="6" t="s">
        <v>12881</v>
      </c>
      <c r="C271" s="6" t="s">
        <v>12893</v>
      </c>
      <c r="D271" s="6" t="s">
        <v>12881</v>
      </c>
      <c r="E271" s="6" t="s">
        <v>12894</v>
      </c>
      <c r="F271" s="6" t="s">
        <v>12895</v>
      </c>
      <c r="G271" s="9"/>
      <c r="H271" s="9" t="s">
        <v>18</v>
      </c>
      <c r="I271" s="10" t="str">
        <f>VLOOKUP(F271,[3]分类结果!$F:$G,2,0)</f>
        <v>其他制造业</v>
      </c>
      <c r="J271" s="11">
        <f>VLOOKUP(I271,[2]行业排放因子!$A:$B,2,0)</f>
        <v>0.245415556625804</v>
      </c>
    </row>
    <row r="272" spans="1:10" x14ac:dyDescent="0.25">
      <c r="A272" s="5" t="s">
        <v>1013</v>
      </c>
      <c r="B272" s="6" t="s">
        <v>12881</v>
      </c>
      <c r="C272" s="6" t="s">
        <v>12893</v>
      </c>
      <c r="D272" s="6" t="s">
        <v>12881</v>
      </c>
      <c r="E272" s="6" t="s">
        <v>12896</v>
      </c>
      <c r="F272" s="6" t="s">
        <v>12897</v>
      </c>
      <c r="G272" s="9"/>
      <c r="H272" s="9" t="s">
        <v>18</v>
      </c>
      <c r="I272" s="10" t="str">
        <f>VLOOKUP(F272,[3]分类结果!$F:$G,2,0)</f>
        <v>其他制造业</v>
      </c>
      <c r="J272" s="11">
        <f>VLOOKUP(I272,[2]行业排放因子!$A:$B,2,0)</f>
        <v>0.245415556625804</v>
      </c>
    </row>
    <row r="273" spans="1:10" x14ac:dyDescent="0.25">
      <c r="A273" s="5" t="s">
        <v>1016</v>
      </c>
      <c r="B273" s="6" t="s">
        <v>12881</v>
      </c>
      <c r="C273" s="6" t="s">
        <v>12893</v>
      </c>
      <c r="D273" s="6" t="s">
        <v>12881</v>
      </c>
      <c r="E273" s="6" t="s">
        <v>12898</v>
      </c>
      <c r="F273" s="6" t="s">
        <v>12899</v>
      </c>
      <c r="G273" s="9"/>
      <c r="H273" s="9" t="s">
        <v>18</v>
      </c>
      <c r="I273" s="10" t="str">
        <f>VLOOKUP(F273,[3]分类结果!$F:$G,2,0)</f>
        <v>其他制造业</v>
      </c>
      <c r="J273" s="11">
        <f>VLOOKUP(I273,[2]行业排放因子!$A:$B,2,0)</f>
        <v>0.245415556625804</v>
      </c>
    </row>
    <row r="274" spans="1:10" x14ac:dyDescent="0.25">
      <c r="A274" s="5" t="s">
        <v>1019</v>
      </c>
      <c r="B274" s="6" t="s">
        <v>12881</v>
      </c>
      <c r="C274" s="6" t="s">
        <v>12900</v>
      </c>
      <c r="D274" s="6" t="s">
        <v>12881</v>
      </c>
      <c r="E274" s="6" t="s">
        <v>12901</v>
      </c>
      <c r="F274" s="6" t="s">
        <v>12900</v>
      </c>
      <c r="G274" s="9"/>
      <c r="H274" s="9" t="s">
        <v>18</v>
      </c>
      <c r="I274" s="10" t="str">
        <f>VLOOKUP(F274,[3]分类结果!$F:$G,2,0)</f>
        <v>其他制造业</v>
      </c>
      <c r="J274" s="11">
        <f>VLOOKUP(I274,[2]行业排放因子!$A:$B,2,0)</f>
        <v>0.245415556625804</v>
      </c>
    </row>
    <row r="275" spans="1:10" x14ac:dyDescent="0.25">
      <c r="A275" s="5" t="s">
        <v>1022</v>
      </c>
      <c r="B275" s="6" t="s">
        <v>12881</v>
      </c>
      <c r="C275" s="6" t="s">
        <v>12902</v>
      </c>
      <c r="D275" s="6" t="s">
        <v>12881</v>
      </c>
      <c r="E275" s="6" t="s">
        <v>12903</v>
      </c>
      <c r="F275" s="6" t="s">
        <v>12902</v>
      </c>
      <c r="G275" s="9"/>
      <c r="H275" s="9" t="s">
        <v>18</v>
      </c>
      <c r="I275" s="10" t="str">
        <f>VLOOKUP(F275,[3]分类结果!$F:$G,2,0)</f>
        <v>其他矿采选业</v>
      </c>
      <c r="J275" s="11">
        <f>VLOOKUP(I275,[2]行业排放因子!$A:$B,2,0)</f>
        <v>6.0323112418060303</v>
      </c>
    </row>
    <row r="276" spans="1:10" x14ac:dyDescent="0.25">
      <c r="A276" s="5" t="s">
        <v>1025</v>
      </c>
      <c r="B276" s="6" t="s">
        <v>12881</v>
      </c>
      <c r="C276" s="6" t="s">
        <v>12904</v>
      </c>
      <c r="D276" s="6" t="s">
        <v>12881</v>
      </c>
      <c r="E276" s="6" t="s">
        <v>12905</v>
      </c>
      <c r="F276" s="6" t="s">
        <v>12906</v>
      </c>
      <c r="G276" s="9"/>
      <c r="H276" s="9" t="s">
        <v>18</v>
      </c>
      <c r="I276" s="10" t="str">
        <f>VLOOKUP(F276,[3]分类结果!$F:$G,2,0)</f>
        <v>其他制造业</v>
      </c>
      <c r="J276" s="11">
        <f>VLOOKUP(I276,[2]行业排放因子!$A:$B,2,0)</f>
        <v>0.245415556625804</v>
      </c>
    </row>
    <row r="277" spans="1:10" x14ac:dyDescent="0.25">
      <c r="A277" s="5" t="s">
        <v>1028</v>
      </c>
      <c r="B277" s="6" t="s">
        <v>12881</v>
      </c>
      <c r="C277" s="6" t="s">
        <v>12907</v>
      </c>
      <c r="D277" s="6" t="s">
        <v>12908</v>
      </c>
      <c r="E277" s="6" t="s">
        <v>12909</v>
      </c>
      <c r="F277" s="6" t="s">
        <v>12908</v>
      </c>
      <c r="G277" s="9" t="s">
        <v>12910</v>
      </c>
      <c r="H277" s="9" t="s">
        <v>18</v>
      </c>
      <c r="I277" s="10" t="str">
        <f>VLOOKUP(F277,[3]分类结果!$F:$G,2,0)</f>
        <v>其他制造业</v>
      </c>
      <c r="J277" s="11">
        <f>VLOOKUP(I277,[2]行业排放因子!$A:$B,2,0)</f>
        <v>0.245415556625804</v>
      </c>
    </row>
    <row r="278" spans="1:10" x14ac:dyDescent="0.25">
      <c r="A278" s="5" t="s">
        <v>1031</v>
      </c>
      <c r="B278" s="6" t="s">
        <v>12881</v>
      </c>
      <c r="C278" s="6" t="s">
        <v>12907</v>
      </c>
      <c r="D278" s="6" t="s">
        <v>12911</v>
      </c>
      <c r="E278" s="6" t="s">
        <v>12912</v>
      </c>
      <c r="F278" s="6" t="s">
        <v>12911</v>
      </c>
      <c r="G278" s="9" t="s">
        <v>12913</v>
      </c>
      <c r="H278" s="9" t="s">
        <v>18</v>
      </c>
      <c r="I278" s="10" t="str">
        <f>VLOOKUP(F278,[3]分类结果!$F:$G,2,0)</f>
        <v>其他制造业</v>
      </c>
      <c r="J278" s="11">
        <f>VLOOKUP(I278,[2]行业排放因子!$A:$B,2,0)</f>
        <v>0.245415556625804</v>
      </c>
    </row>
    <row r="279" spans="1:10" x14ac:dyDescent="0.25">
      <c r="A279" s="5" t="s">
        <v>1034</v>
      </c>
      <c r="B279" s="6" t="s">
        <v>12881</v>
      </c>
      <c r="C279" s="6" t="s">
        <v>12907</v>
      </c>
      <c r="D279" s="6" t="s">
        <v>12881</v>
      </c>
      <c r="E279" s="6" t="s">
        <v>12914</v>
      </c>
      <c r="F279" s="6" t="s">
        <v>12915</v>
      </c>
      <c r="G279" s="9" t="s">
        <v>12916</v>
      </c>
      <c r="H279" s="9" t="s">
        <v>18</v>
      </c>
      <c r="I279" s="10" t="str">
        <f>VLOOKUP(F279,[3]分类结果!$F:$G,2,0)</f>
        <v>其他制造业</v>
      </c>
      <c r="J279" s="11">
        <f>VLOOKUP(I279,[2]行业排放因子!$A:$B,2,0)</f>
        <v>0.245415556625804</v>
      </c>
    </row>
    <row r="280" spans="1:10" x14ac:dyDescent="0.25">
      <c r="A280" s="5" t="s">
        <v>1037</v>
      </c>
      <c r="B280" s="6" t="s">
        <v>12917</v>
      </c>
      <c r="C280" s="6" t="s">
        <v>12918</v>
      </c>
      <c r="D280" s="6" t="s">
        <v>12917</v>
      </c>
      <c r="E280" s="6" t="s">
        <v>12919</v>
      </c>
      <c r="F280" s="6" t="s">
        <v>12920</v>
      </c>
      <c r="G280" s="9" t="s">
        <v>12921</v>
      </c>
      <c r="H280" s="9" t="s">
        <v>18</v>
      </c>
      <c r="I280" s="10" t="str">
        <f>VLOOKUP(F280,[3]分类结果!$F:$G,2,0)</f>
        <v>其他制造业</v>
      </c>
      <c r="J280" s="11">
        <f>VLOOKUP(I280,[2]行业排放因子!$A:$B,2,0)</f>
        <v>0.245415556625804</v>
      </c>
    </row>
    <row r="281" spans="1:10" x14ac:dyDescent="0.25">
      <c r="A281" s="5" t="s">
        <v>1040</v>
      </c>
      <c r="B281" s="6" t="s">
        <v>12917</v>
      </c>
      <c r="C281" s="6" t="s">
        <v>12918</v>
      </c>
      <c r="D281" s="6" t="s">
        <v>12917</v>
      </c>
      <c r="E281" s="6" t="s">
        <v>12922</v>
      </c>
      <c r="F281" s="6" t="s">
        <v>12923</v>
      </c>
      <c r="G281" s="9" t="s">
        <v>12924</v>
      </c>
      <c r="H281" s="9" t="s">
        <v>18</v>
      </c>
      <c r="I281" s="10" t="str">
        <f>VLOOKUP(F281,[3]分类结果!$F:$G,2,0)</f>
        <v>其他制造业</v>
      </c>
      <c r="J281" s="11">
        <f>VLOOKUP(I281,[2]行业排放因子!$A:$B,2,0)</f>
        <v>0.245415556625804</v>
      </c>
    </row>
    <row r="282" spans="1:10" x14ac:dyDescent="0.25">
      <c r="A282" s="5" t="s">
        <v>1043</v>
      </c>
      <c r="B282" s="6" t="s">
        <v>12917</v>
      </c>
      <c r="C282" s="6" t="s">
        <v>12918</v>
      </c>
      <c r="D282" s="6" t="s">
        <v>12917</v>
      </c>
      <c r="E282" s="6" t="s">
        <v>12925</v>
      </c>
      <c r="F282" s="6" t="s">
        <v>12926</v>
      </c>
      <c r="G282" s="9" t="s">
        <v>12927</v>
      </c>
      <c r="H282" s="9" t="s">
        <v>18</v>
      </c>
      <c r="I282" s="10" t="str">
        <f>VLOOKUP(F282,[3]分类结果!$F:$G,2,0)</f>
        <v>其他制造业</v>
      </c>
      <c r="J282" s="11">
        <f>VLOOKUP(I282,[2]行业排放因子!$A:$B,2,0)</f>
        <v>0.245415556625804</v>
      </c>
    </row>
    <row r="283" spans="1:10" x14ac:dyDescent="0.25">
      <c r="A283" s="5" t="s">
        <v>1046</v>
      </c>
      <c r="B283" s="6" t="s">
        <v>12917</v>
      </c>
      <c r="C283" s="6" t="s">
        <v>12918</v>
      </c>
      <c r="D283" s="6" t="s">
        <v>12917</v>
      </c>
      <c r="E283" s="6" t="s">
        <v>12928</v>
      </c>
      <c r="F283" s="6" t="s">
        <v>12929</v>
      </c>
      <c r="G283" s="9"/>
      <c r="H283" s="9" t="s">
        <v>18</v>
      </c>
      <c r="I283" s="10" t="str">
        <f>VLOOKUP(F283,[3]分类结果!$F:$G,2,0)</f>
        <v>其他制造业</v>
      </c>
      <c r="J283" s="11">
        <f>VLOOKUP(I283,[2]行业排放因子!$A:$B,2,0)</f>
        <v>0.245415556625804</v>
      </c>
    </row>
    <row r="284" spans="1:10" x14ac:dyDescent="0.25">
      <c r="A284" s="5" t="s">
        <v>1049</v>
      </c>
      <c r="B284" s="6" t="s">
        <v>12917</v>
      </c>
      <c r="C284" s="6" t="s">
        <v>12930</v>
      </c>
      <c r="D284" s="6" t="s">
        <v>12917</v>
      </c>
      <c r="E284" s="6" t="s">
        <v>12931</v>
      </c>
      <c r="F284" s="6" t="s">
        <v>12932</v>
      </c>
      <c r="G284" s="9" t="s">
        <v>12933</v>
      </c>
      <c r="H284" s="9" t="s">
        <v>18</v>
      </c>
      <c r="I284" s="10" t="str">
        <f>VLOOKUP(F284,[3]分类结果!$F:$G,2,0)</f>
        <v>其他制造业</v>
      </c>
      <c r="J284" s="11">
        <f>VLOOKUP(I284,[2]行业排放因子!$A:$B,2,0)</f>
        <v>0.245415556625804</v>
      </c>
    </row>
    <row r="285" spans="1:10" x14ac:dyDescent="0.25">
      <c r="A285" s="5" t="s">
        <v>1052</v>
      </c>
      <c r="B285" s="6" t="s">
        <v>12917</v>
      </c>
      <c r="C285" s="6" t="s">
        <v>12930</v>
      </c>
      <c r="D285" s="6" t="s">
        <v>12917</v>
      </c>
      <c r="E285" s="6" t="s">
        <v>12934</v>
      </c>
      <c r="F285" s="6" t="s">
        <v>12935</v>
      </c>
      <c r="G285" s="9" t="s">
        <v>12936</v>
      </c>
      <c r="H285" s="9" t="s">
        <v>18</v>
      </c>
      <c r="I285" s="10" t="str">
        <f>VLOOKUP(F285,[3]分类结果!$F:$G,2,0)</f>
        <v>其他制造业</v>
      </c>
      <c r="J285" s="11">
        <f>VLOOKUP(I285,[2]行业排放因子!$A:$B,2,0)</f>
        <v>0.245415556625804</v>
      </c>
    </row>
    <row r="286" spans="1:10" x14ac:dyDescent="0.25">
      <c r="A286" s="5" t="s">
        <v>1056</v>
      </c>
      <c r="B286" s="6" t="s">
        <v>12917</v>
      </c>
      <c r="C286" s="6" t="s">
        <v>12930</v>
      </c>
      <c r="D286" s="6" t="s">
        <v>12917</v>
      </c>
      <c r="E286" s="6" t="s">
        <v>12937</v>
      </c>
      <c r="F286" s="6" t="s">
        <v>12938</v>
      </c>
      <c r="G286" s="9"/>
      <c r="H286" s="9" t="s">
        <v>18</v>
      </c>
      <c r="I286" s="10" t="str">
        <f>VLOOKUP(F286,[3]分类结果!$F:$G,2,0)</f>
        <v>其他制造业</v>
      </c>
      <c r="J286" s="11">
        <f>VLOOKUP(I286,[2]行业排放因子!$A:$B,2,0)</f>
        <v>0.245415556625804</v>
      </c>
    </row>
    <row r="287" spans="1:10" x14ac:dyDescent="0.25">
      <c r="A287" s="5" t="s">
        <v>1059</v>
      </c>
      <c r="B287" s="6" t="s">
        <v>12917</v>
      </c>
      <c r="C287" s="6" t="s">
        <v>12939</v>
      </c>
      <c r="D287" s="6" t="s">
        <v>12917</v>
      </c>
      <c r="E287" s="6" t="s">
        <v>12940</v>
      </c>
      <c r="F287" s="6" t="s">
        <v>12939</v>
      </c>
      <c r="G287" s="9" t="s">
        <v>12941</v>
      </c>
      <c r="H287" s="9" t="s">
        <v>18</v>
      </c>
      <c r="I287" s="10" t="str">
        <f>VLOOKUP(F287,[3]分类结果!$F:$G,2,0)</f>
        <v>建筑业</v>
      </c>
      <c r="J287" s="11">
        <f>VLOOKUP(I287,[2]行业排放因子!$A:$B,2,0)</f>
        <v>41.715972243531198</v>
      </c>
    </row>
    <row r="288" spans="1:10" x14ac:dyDescent="0.25">
      <c r="A288" s="5" t="s">
        <v>1062</v>
      </c>
      <c r="B288" s="6" t="s">
        <v>12917</v>
      </c>
      <c r="C288" s="6" t="s">
        <v>12942</v>
      </c>
      <c r="D288" s="6" t="s">
        <v>12917</v>
      </c>
      <c r="E288" s="6" t="s">
        <v>12943</v>
      </c>
      <c r="F288" s="6" t="s">
        <v>12942</v>
      </c>
      <c r="G288" s="9" t="s">
        <v>12944</v>
      </c>
      <c r="H288" s="9" t="s">
        <v>18</v>
      </c>
      <c r="I288" s="10" t="str">
        <f>VLOOKUP(F288,[3]分类结果!$F:$G,2,0)</f>
        <v>其他制造业</v>
      </c>
      <c r="J288" s="11">
        <f>VLOOKUP(I288,[2]行业排放因子!$A:$B,2,0)</f>
        <v>0.245415556625804</v>
      </c>
    </row>
    <row r="289" spans="1:10" x14ac:dyDescent="0.25">
      <c r="A289" s="5" t="s">
        <v>1065</v>
      </c>
      <c r="B289" s="6" t="s">
        <v>12917</v>
      </c>
      <c r="C289" s="6" t="s">
        <v>12945</v>
      </c>
      <c r="D289" s="6" t="s">
        <v>12917</v>
      </c>
      <c r="E289" s="6" t="s">
        <v>12946</v>
      </c>
      <c r="F289" s="6" t="s">
        <v>12945</v>
      </c>
      <c r="G289" s="9" t="s">
        <v>12947</v>
      </c>
      <c r="H289" s="9" t="s">
        <v>18</v>
      </c>
      <c r="I289" s="10" t="str">
        <f>VLOOKUP(F289,[3]分类结果!$F:$G,2,0)</f>
        <v>建筑业</v>
      </c>
      <c r="J289" s="11">
        <f>VLOOKUP(I289,[2]行业排放因子!$A:$B,2,0)</f>
        <v>41.715972243531198</v>
      </c>
    </row>
  </sheetData>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购销发票税收分类编码</vt:lpstr>
      <vt:lpstr>服务发票税收分类编码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sth</dc:creator>
  <cp:lastModifiedBy>彦 梁</cp:lastModifiedBy>
  <dcterms:created xsi:type="dcterms:W3CDTF">2026-01-31T07:37:00Z</dcterms:created>
  <dcterms:modified xsi:type="dcterms:W3CDTF">2026-03-21T01:48:23Z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6ACD2CDA96453EC97131BD69671B49A7_43</vt:lpwstr>
  </property>
  <property fmtid="{D5CDD505-2E9C-101B-9397-08002B2CF9AE}" pid="3" name="KSOProductBuildVer">
    <vt:lpwstr>2052-7.2.2.8955</vt:lpwstr>
  </property>
</Properties>
</file>